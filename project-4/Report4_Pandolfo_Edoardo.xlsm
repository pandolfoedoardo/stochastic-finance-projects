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8" codeName="{643B0D74-A683-FBA9-23B4-8A0AA6E0B6B9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/Users/edoardopandolfo/Desktop/Primo anno magistrale/Stochastic Methods For Finance/"/>
    </mc:Choice>
  </mc:AlternateContent>
  <xr:revisionPtr revIDLastSave="0" documentId="13_ncr:1_{6B08C696-C726-5944-829B-4DAD395A3CB1}" xr6:coauthVersionLast="47" xr6:coauthVersionMax="47" xr10:uidLastSave="{00000000-0000-0000-0000-000000000000}"/>
  <bookViews>
    <workbookView xWindow="0" yWindow="660" windowWidth="28720" windowHeight="16800" xr2:uid="{5C474BE6-EDC7-8C40-A342-042A1E626F77}"/>
  </bookViews>
  <sheets>
    <sheet name="Foglio1" sheetId="1" r:id="rId1"/>
    <sheet name="EWMA" sheetId="2" r:id="rId2"/>
    <sheet name="MonteCarlo" sheetId="3" r:id="rId3"/>
    <sheet name="Historical Var" sheetId="4" r:id="rId4"/>
    <sheet name="Historycal simulation" sheetId="5" r:id="rId5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1" l="1"/>
  <c r="L7" i="1"/>
  <c r="K8" i="1"/>
  <c r="L8" i="1"/>
  <c r="K9" i="1"/>
  <c r="L9" i="1"/>
  <c r="K10" i="1"/>
  <c r="L10" i="1"/>
  <c r="K11" i="1"/>
  <c r="L11" i="1"/>
  <c r="K12" i="1"/>
  <c r="L12" i="1"/>
  <c r="K13" i="1"/>
  <c r="L13" i="1"/>
  <c r="K14" i="1"/>
  <c r="L14" i="1"/>
  <c r="K15" i="1"/>
  <c r="L15" i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K25" i="1"/>
  <c r="L25" i="1"/>
  <c r="K26" i="1"/>
  <c r="L26" i="1"/>
  <c r="K27" i="1"/>
  <c r="L27" i="1"/>
  <c r="K28" i="1"/>
  <c r="L28" i="1"/>
  <c r="K29" i="1"/>
  <c r="L29" i="1"/>
  <c r="K30" i="1"/>
  <c r="L30" i="1"/>
  <c r="K31" i="1"/>
  <c r="L31" i="1"/>
  <c r="K32" i="1"/>
  <c r="L32" i="1"/>
  <c r="K33" i="1"/>
  <c r="L33" i="1"/>
  <c r="K34" i="1"/>
  <c r="L34" i="1"/>
  <c r="K35" i="1"/>
  <c r="L35" i="1"/>
  <c r="K36" i="1"/>
  <c r="L36" i="1"/>
  <c r="K37" i="1"/>
  <c r="L37" i="1"/>
  <c r="K38" i="1"/>
  <c r="L38" i="1"/>
  <c r="K39" i="1"/>
  <c r="L39" i="1"/>
  <c r="K40" i="1"/>
  <c r="L40" i="1"/>
  <c r="K41" i="1"/>
  <c r="L41" i="1"/>
  <c r="K42" i="1"/>
  <c r="L42" i="1"/>
  <c r="K43" i="1"/>
  <c r="L43" i="1"/>
  <c r="K44" i="1"/>
  <c r="L44" i="1"/>
  <c r="K45" i="1"/>
  <c r="L45" i="1"/>
  <c r="K46" i="1"/>
  <c r="L46" i="1"/>
  <c r="K47" i="1"/>
  <c r="L47" i="1"/>
  <c r="K48" i="1"/>
  <c r="L48" i="1"/>
  <c r="K49" i="1"/>
  <c r="L49" i="1"/>
  <c r="K50" i="1"/>
  <c r="L50" i="1"/>
  <c r="K51" i="1"/>
  <c r="L51" i="1"/>
  <c r="K52" i="1"/>
  <c r="L52" i="1"/>
  <c r="K53" i="1"/>
  <c r="L53" i="1"/>
  <c r="K54" i="1"/>
  <c r="L54" i="1"/>
  <c r="K55" i="1"/>
  <c r="L55" i="1"/>
  <c r="K56" i="1"/>
  <c r="L56" i="1"/>
  <c r="K57" i="1"/>
  <c r="L57" i="1"/>
  <c r="K58" i="1"/>
  <c r="L58" i="1"/>
  <c r="K59" i="1"/>
  <c r="L59" i="1"/>
  <c r="K60" i="1"/>
  <c r="L60" i="1"/>
  <c r="K61" i="1"/>
  <c r="L61" i="1"/>
  <c r="K62" i="1"/>
  <c r="L62" i="1"/>
  <c r="K63" i="1"/>
  <c r="L63" i="1"/>
  <c r="K64" i="1"/>
  <c r="L64" i="1"/>
  <c r="K65" i="1"/>
  <c r="L65" i="1"/>
  <c r="K66" i="1"/>
  <c r="L66" i="1"/>
  <c r="K67" i="1"/>
  <c r="L67" i="1"/>
  <c r="K68" i="1"/>
  <c r="L68" i="1"/>
  <c r="K69" i="1"/>
  <c r="L69" i="1"/>
  <c r="K70" i="1"/>
  <c r="L70" i="1"/>
  <c r="K71" i="1"/>
  <c r="L71" i="1"/>
  <c r="K72" i="1"/>
  <c r="L72" i="1"/>
  <c r="K73" i="1"/>
  <c r="L73" i="1"/>
  <c r="K74" i="1"/>
  <c r="L74" i="1"/>
  <c r="K75" i="1"/>
  <c r="L75" i="1"/>
  <c r="K76" i="1"/>
  <c r="L76" i="1"/>
  <c r="K77" i="1"/>
  <c r="L77" i="1"/>
  <c r="K78" i="1"/>
  <c r="L78" i="1"/>
  <c r="K79" i="1"/>
  <c r="L79" i="1"/>
  <c r="K80" i="1"/>
  <c r="L80" i="1"/>
  <c r="K81" i="1"/>
  <c r="L81" i="1"/>
  <c r="K82" i="1"/>
  <c r="L82" i="1"/>
  <c r="K83" i="1"/>
  <c r="L83" i="1"/>
  <c r="K84" i="1"/>
  <c r="L84" i="1"/>
  <c r="K85" i="1"/>
  <c r="L85" i="1"/>
  <c r="K86" i="1"/>
  <c r="L86" i="1"/>
  <c r="K87" i="1"/>
  <c r="L87" i="1"/>
  <c r="K88" i="1"/>
  <c r="L88" i="1"/>
  <c r="K89" i="1"/>
  <c r="L89" i="1"/>
  <c r="K90" i="1"/>
  <c r="L90" i="1"/>
  <c r="K91" i="1"/>
  <c r="L91" i="1"/>
  <c r="K92" i="1"/>
  <c r="L92" i="1"/>
  <c r="K93" i="1"/>
  <c r="L93" i="1"/>
  <c r="K94" i="1"/>
  <c r="L94" i="1"/>
  <c r="K95" i="1"/>
  <c r="L95" i="1"/>
  <c r="K96" i="1"/>
  <c r="L96" i="1"/>
  <c r="K97" i="1"/>
  <c r="L97" i="1"/>
  <c r="K98" i="1"/>
  <c r="L98" i="1"/>
  <c r="K99" i="1"/>
  <c r="L99" i="1"/>
  <c r="K100" i="1"/>
  <c r="L100" i="1"/>
  <c r="K101" i="1"/>
  <c r="L101" i="1"/>
  <c r="K102" i="1"/>
  <c r="L102" i="1"/>
  <c r="K103" i="1"/>
  <c r="L103" i="1"/>
  <c r="K104" i="1"/>
  <c r="L104" i="1"/>
  <c r="K105" i="1"/>
  <c r="L105" i="1"/>
  <c r="K106" i="1"/>
  <c r="L106" i="1"/>
  <c r="K107" i="1"/>
  <c r="L107" i="1"/>
  <c r="K108" i="1"/>
  <c r="L108" i="1"/>
  <c r="K109" i="1"/>
  <c r="L109" i="1"/>
  <c r="K110" i="1"/>
  <c r="L110" i="1"/>
  <c r="K111" i="1"/>
  <c r="L111" i="1"/>
  <c r="K112" i="1"/>
  <c r="L112" i="1"/>
  <c r="K113" i="1"/>
  <c r="L113" i="1"/>
  <c r="K114" i="1"/>
  <c r="L114" i="1"/>
  <c r="K115" i="1"/>
  <c r="L115" i="1"/>
  <c r="K116" i="1"/>
  <c r="L116" i="1"/>
  <c r="K117" i="1"/>
  <c r="L117" i="1"/>
  <c r="K118" i="1"/>
  <c r="L118" i="1"/>
  <c r="K119" i="1"/>
  <c r="L119" i="1"/>
  <c r="K120" i="1"/>
  <c r="L120" i="1"/>
  <c r="K121" i="1"/>
  <c r="L121" i="1"/>
  <c r="K122" i="1"/>
  <c r="L122" i="1"/>
  <c r="K123" i="1"/>
  <c r="L123" i="1"/>
  <c r="K124" i="1"/>
  <c r="L124" i="1"/>
  <c r="K125" i="1"/>
  <c r="L125" i="1"/>
  <c r="K126" i="1"/>
  <c r="L126" i="1"/>
  <c r="K127" i="1"/>
  <c r="L127" i="1"/>
  <c r="K128" i="1"/>
  <c r="L128" i="1"/>
  <c r="L6" i="1"/>
  <c r="K6" i="1"/>
  <c r="AG116" i="1"/>
  <c r="AG115" i="1"/>
  <c r="AG114" i="1"/>
  <c r="AF116" i="1"/>
  <c r="Z118" i="1"/>
  <c r="AF115" i="1"/>
  <c r="AF114" i="1"/>
  <c r="AE116" i="1"/>
  <c r="AE115" i="1"/>
  <c r="AE114" i="1"/>
  <c r="O19" i="1"/>
  <c r="P14" i="1"/>
  <c r="O7" i="1"/>
  <c r="P13" i="1" s="1"/>
  <c r="N4" i="5"/>
  <c r="B130" i="5"/>
  <c r="B129" i="5" s="1"/>
  <c r="B128" i="5" s="1"/>
  <c r="B127" i="5" s="1"/>
  <c r="B126" i="5" s="1"/>
  <c r="B125" i="5" s="1"/>
  <c r="B124" i="5" s="1"/>
  <c r="B123" i="5" s="1"/>
  <c r="B122" i="5" s="1"/>
  <c r="B121" i="5" s="1"/>
  <c r="B120" i="5" s="1"/>
  <c r="B119" i="5" s="1"/>
  <c r="B118" i="5" s="1"/>
  <c r="B117" i="5" s="1"/>
  <c r="B116" i="5" s="1"/>
  <c r="B115" i="5" s="1"/>
  <c r="B114" i="5" s="1"/>
  <c r="B113" i="5" s="1"/>
  <c r="B112" i="5" s="1"/>
  <c r="B111" i="5" s="1"/>
  <c r="B110" i="5" s="1"/>
  <c r="B109" i="5" s="1"/>
  <c r="B108" i="5" s="1"/>
  <c r="B107" i="5" s="1"/>
  <c r="B106" i="5" s="1"/>
  <c r="B105" i="5" s="1"/>
  <c r="B104" i="5" s="1"/>
  <c r="B103" i="5" s="1"/>
  <c r="B102" i="5" s="1"/>
  <c r="B101" i="5" s="1"/>
  <c r="B100" i="5" s="1"/>
  <c r="B99" i="5" s="1"/>
  <c r="B98" i="5" s="1"/>
  <c r="B97" i="5" s="1"/>
  <c r="B96" i="5" s="1"/>
  <c r="B95" i="5" s="1"/>
  <c r="B94" i="5" s="1"/>
  <c r="B93" i="5" s="1"/>
  <c r="B92" i="5" s="1"/>
  <c r="B91" i="5" s="1"/>
  <c r="B90" i="5" s="1"/>
  <c r="B89" i="5" s="1"/>
  <c r="B88" i="5" s="1"/>
  <c r="B87" i="5" s="1"/>
  <c r="B86" i="5" s="1"/>
  <c r="B85" i="5" s="1"/>
  <c r="B84" i="5" s="1"/>
  <c r="B83" i="5" s="1"/>
  <c r="B82" i="5" s="1"/>
  <c r="B81" i="5" s="1"/>
  <c r="B80" i="5" s="1"/>
  <c r="B79" i="5" s="1"/>
  <c r="B78" i="5" s="1"/>
  <c r="B77" i="5" s="1"/>
  <c r="B76" i="5" s="1"/>
  <c r="B75" i="5" s="1"/>
  <c r="B74" i="5" s="1"/>
  <c r="B73" i="5" s="1"/>
  <c r="B72" i="5" s="1"/>
  <c r="B71" i="5" s="1"/>
  <c r="B70" i="5" s="1"/>
  <c r="B69" i="5" s="1"/>
  <c r="B68" i="5" s="1"/>
  <c r="B67" i="5" s="1"/>
  <c r="B66" i="5" s="1"/>
  <c r="B65" i="5" s="1"/>
  <c r="B64" i="5" s="1"/>
  <c r="B63" i="5" s="1"/>
  <c r="B62" i="5" s="1"/>
  <c r="B61" i="5" s="1"/>
  <c r="B60" i="5" s="1"/>
  <c r="B59" i="5" s="1"/>
  <c r="B58" i="5" s="1"/>
  <c r="B57" i="5" s="1"/>
  <c r="B56" i="5" s="1"/>
  <c r="B55" i="5" s="1"/>
  <c r="B54" i="5" s="1"/>
  <c r="B53" i="5" s="1"/>
  <c r="B52" i="5" s="1"/>
  <c r="B51" i="5" s="1"/>
  <c r="B50" i="5" s="1"/>
  <c r="B49" i="5" s="1"/>
  <c r="B48" i="5" s="1"/>
  <c r="B47" i="5" s="1"/>
  <c r="B46" i="5" s="1"/>
  <c r="B45" i="5" s="1"/>
  <c r="B44" i="5" s="1"/>
  <c r="B43" i="5" s="1"/>
  <c r="B42" i="5" s="1"/>
  <c r="B41" i="5" s="1"/>
  <c r="B40" i="5" s="1"/>
  <c r="B39" i="5" s="1"/>
  <c r="B38" i="5" s="1"/>
  <c r="B37" i="5" s="1"/>
  <c r="B36" i="5" s="1"/>
  <c r="B35" i="5" s="1"/>
  <c r="B34" i="5" s="1"/>
  <c r="B33" i="5" s="1"/>
  <c r="B32" i="5" s="1"/>
  <c r="B31" i="5" s="1"/>
  <c r="B30" i="5" s="1"/>
  <c r="B29" i="5" s="1"/>
  <c r="B28" i="5" s="1"/>
  <c r="B27" i="5" s="1"/>
  <c r="B26" i="5" s="1"/>
  <c r="B25" i="5" s="1"/>
  <c r="B24" i="5" s="1"/>
  <c r="B23" i="5" s="1"/>
  <c r="B22" i="5" s="1"/>
  <c r="B21" i="5" s="1"/>
  <c r="B20" i="5" s="1"/>
  <c r="B19" i="5" s="1"/>
  <c r="B18" i="5" s="1"/>
  <c r="B17" i="5" s="1"/>
  <c r="B16" i="5" s="1"/>
  <c r="B15" i="5" s="1"/>
  <c r="B14" i="5" s="1"/>
  <c r="B13" i="5" s="1"/>
  <c r="B12" i="5" s="1"/>
  <c r="B11" i="5" s="1"/>
  <c r="B10" i="5" s="1"/>
  <c r="B9" i="5" s="1"/>
  <c r="B8" i="5" s="1"/>
  <c r="B131" i="5"/>
  <c r="C131" i="5"/>
  <c r="C130" i="5" s="1"/>
  <c r="C129" i="5" s="1"/>
  <c r="C128" i="5" s="1"/>
  <c r="C127" i="5" s="1"/>
  <c r="C126" i="5" s="1"/>
  <c r="C125" i="5" s="1"/>
  <c r="C124" i="5" s="1"/>
  <c r="C123" i="5" s="1"/>
  <c r="C122" i="5" s="1"/>
  <c r="C121" i="5" s="1"/>
  <c r="C120" i="5" s="1"/>
  <c r="C119" i="5" s="1"/>
  <c r="C118" i="5" s="1"/>
  <c r="C117" i="5" s="1"/>
  <c r="C116" i="5" s="1"/>
  <c r="C115" i="5" s="1"/>
  <c r="C114" i="5" s="1"/>
  <c r="C113" i="5" s="1"/>
  <c r="C112" i="5" s="1"/>
  <c r="C111" i="5" s="1"/>
  <c r="C110" i="5" s="1"/>
  <c r="C109" i="5" s="1"/>
  <c r="C108" i="5" s="1"/>
  <c r="C107" i="5" s="1"/>
  <c r="C106" i="5" s="1"/>
  <c r="C105" i="5" s="1"/>
  <c r="C104" i="5" s="1"/>
  <c r="C103" i="5" s="1"/>
  <c r="C102" i="5" s="1"/>
  <c r="C101" i="5" s="1"/>
  <c r="C100" i="5" s="1"/>
  <c r="C99" i="5" s="1"/>
  <c r="C98" i="5" s="1"/>
  <c r="C97" i="5" s="1"/>
  <c r="C96" i="5" s="1"/>
  <c r="C95" i="5" s="1"/>
  <c r="C94" i="5" s="1"/>
  <c r="C93" i="5" s="1"/>
  <c r="C92" i="5" s="1"/>
  <c r="C91" i="5" s="1"/>
  <c r="C90" i="5" s="1"/>
  <c r="C89" i="5" s="1"/>
  <c r="C88" i="5" s="1"/>
  <c r="C87" i="5" s="1"/>
  <c r="C86" i="5" s="1"/>
  <c r="C85" i="5" s="1"/>
  <c r="C84" i="5" s="1"/>
  <c r="C83" i="5" s="1"/>
  <c r="C82" i="5" s="1"/>
  <c r="C81" i="5" s="1"/>
  <c r="C80" i="5" s="1"/>
  <c r="C79" i="5" s="1"/>
  <c r="C78" i="5" s="1"/>
  <c r="C77" i="5" s="1"/>
  <c r="C76" i="5" s="1"/>
  <c r="C75" i="5" s="1"/>
  <c r="C74" i="5" s="1"/>
  <c r="C73" i="5" s="1"/>
  <c r="C72" i="5" s="1"/>
  <c r="C71" i="5" s="1"/>
  <c r="C70" i="5" s="1"/>
  <c r="C69" i="5" s="1"/>
  <c r="C68" i="5" s="1"/>
  <c r="C67" i="5" s="1"/>
  <c r="C66" i="5" s="1"/>
  <c r="C65" i="5" s="1"/>
  <c r="C64" i="5" s="1"/>
  <c r="C63" i="5" s="1"/>
  <c r="C62" i="5" s="1"/>
  <c r="C61" i="5" s="1"/>
  <c r="C60" i="5" s="1"/>
  <c r="C59" i="5" s="1"/>
  <c r="C58" i="5" s="1"/>
  <c r="C57" i="5" s="1"/>
  <c r="C56" i="5" s="1"/>
  <c r="C55" i="5" s="1"/>
  <c r="C54" i="5" s="1"/>
  <c r="C53" i="5" s="1"/>
  <c r="C52" i="5" s="1"/>
  <c r="C51" i="5" s="1"/>
  <c r="C50" i="5" s="1"/>
  <c r="C49" i="5" s="1"/>
  <c r="C48" i="5" s="1"/>
  <c r="C47" i="5" s="1"/>
  <c r="C46" i="5" s="1"/>
  <c r="C45" i="5" s="1"/>
  <c r="C44" i="5" s="1"/>
  <c r="C43" i="5" s="1"/>
  <c r="C42" i="5" s="1"/>
  <c r="C41" i="5" s="1"/>
  <c r="C40" i="5" s="1"/>
  <c r="C39" i="5" s="1"/>
  <c r="C38" i="5" s="1"/>
  <c r="C37" i="5" s="1"/>
  <c r="C36" i="5" s="1"/>
  <c r="C35" i="5" s="1"/>
  <c r="C34" i="5" s="1"/>
  <c r="C33" i="5" s="1"/>
  <c r="C32" i="5" s="1"/>
  <c r="C31" i="5" s="1"/>
  <c r="C30" i="5" s="1"/>
  <c r="C29" i="5" s="1"/>
  <c r="C28" i="5" s="1"/>
  <c r="C27" i="5" s="1"/>
  <c r="C26" i="5" s="1"/>
  <c r="C25" i="5" s="1"/>
  <c r="C24" i="5" s="1"/>
  <c r="C23" i="5" s="1"/>
  <c r="C22" i="5" s="1"/>
  <c r="C21" i="5" s="1"/>
  <c r="C20" i="5" s="1"/>
  <c r="C19" i="5" s="1"/>
  <c r="C18" i="5" s="1"/>
  <c r="C17" i="5" s="1"/>
  <c r="C16" i="5" s="1"/>
  <c r="C15" i="5" s="1"/>
  <c r="C14" i="5" s="1"/>
  <c r="C13" i="5" s="1"/>
  <c r="C12" i="5" s="1"/>
  <c r="C11" i="5" s="1"/>
  <c r="C10" i="5" s="1"/>
  <c r="C9" i="5" s="1"/>
  <c r="C8" i="5" s="1"/>
  <c r="S1" i="4"/>
  <c r="G7" i="4" s="1"/>
  <c r="S3" i="4"/>
  <c r="S5" i="4"/>
  <c r="S4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31" i="5" s="1"/>
  <c r="F133" i="2"/>
  <c r="F132" i="2" s="1"/>
  <c r="F131" i="2" s="1"/>
  <c r="F130" i="2" s="1"/>
  <c r="F129" i="2" s="1"/>
  <c r="F128" i="2" s="1"/>
  <c r="F127" i="2" s="1"/>
  <c r="F126" i="2" s="1"/>
  <c r="F125" i="2" s="1"/>
  <c r="F124" i="2" s="1"/>
  <c r="F123" i="2" s="1"/>
  <c r="F122" i="2" s="1"/>
  <c r="F121" i="2" s="1"/>
  <c r="F120" i="2" s="1"/>
  <c r="F119" i="2" s="1"/>
  <c r="F118" i="2" s="1"/>
  <c r="F117" i="2" s="1"/>
  <c r="F116" i="2" s="1"/>
  <c r="F115" i="2" s="1"/>
  <c r="F114" i="2" s="1"/>
  <c r="F113" i="2" s="1"/>
  <c r="F112" i="2" s="1"/>
  <c r="F111" i="2" s="1"/>
  <c r="F110" i="2" s="1"/>
  <c r="F109" i="2" s="1"/>
  <c r="F108" i="2" s="1"/>
  <c r="F107" i="2" s="1"/>
  <c r="F106" i="2" s="1"/>
  <c r="F105" i="2" s="1"/>
  <c r="F104" i="2" s="1"/>
  <c r="F103" i="2" s="1"/>
  <c r="F102" i="2" s="1"/>
  <c r="F101" i="2" s="1"/>
  <c r="F100" i="2" s="1"/>
  <c r="F99" i="2" s="1"/>
  <c r="F98" i="2" s="1"/>
  <c r="F97" i="2" s="1"/>
  <c r="F96" i="2" s="1"/>
  <c r="F95" i="2" s="1"/>
  <c r="F94" i="2" s="1"/>
  <c r="F93" i="2" s="1"/>
  <c r="F92" i="2" s="1"/>
  <c r="F91" i="2" s="1"/>
  <c r="F90" i="2" s="1"/>
  <c r="F89" i="2" s="1"/>
  <c r="F88" i="2" s="1"/>
  <c r="F87" i="2" s="1"/>
  <c r="F86" i="2" s="1"/>
  <c r="F85" i="2" s="1"/>
  <c r="F84" i="2" s="1"/>
  <c r="F83" i="2" s="1"/>
  <c r="F82" i="2" s="1"/>
  <c r="F81" i="2" s="1"/>
  <c r="F80" i="2" s="1"/>
  <c r="F79" i="2" s="1"/>
  <c r="F78" i="2" s="1"/>
  <c r="F77" i="2" s="1"/>
  <c r="F76" i="2" s="1"/>
  <c r="F75" i="2" s="1"/>
  <c r="F74" i="2" s="1"/>
  <c r="F73" i="2" s="1"/>
  <c r="F72" i="2" s="1"/>
  <c r="F71" i="2" s="1"/>
  <c r="F70" i="2" s="1"/>
  <c r="F69" i="2" s="1"/>
  <c r="F68" i="2" s="1"/>
  <c r="F67" i="2" s="1"/>
  <c r="F66" i="2" s="1"/>
  <c r="F65" i="2" s="1"/>
  <c r="F64" i="2" s="1"/>
  <c r="F63" i="2" s="1"/>
  <c r="F62" i="2" s="1"/>
  <c r="F61" i="2" s="1"/>
  <c r="F60" i="2" s="1"/>
  <c r="F59" i="2" s="1"/>
  <c r="F58" i="2" s="1"/>
  <c r="F57" i="2" s="1"/>
  <c r="F56" i="2" s="1"/>
  <c r="F55" i="2" s="1"/>
  <c r="F54" i="2" s="1"/>
  <c r="F53" i="2" s="1"/>
  <c r="F52" i="2" s="1"/>
  <c r="F51" i="2" s="1"/>
  <c r="F50" i="2" s="1"/>
  <c r="F49" i="2" s="1"/>
  <c r="F48" i="2" s="1"/>
  <c r="F47" i="2" s="1"/>
  <c r="F46" i="2" s="1"/>
  <c r="F45" i="2" s="1"/>
  <c r="F44" i="2" s="1"/>
  <c r="F43" i="2" s="1"/>
  <c r="F42" i="2" s="1"/>
  <c r="F41" i="2" s="1"/>
  <c r="F40" i="2" s="1"/>
  <c r="F39" i="2" s="1"/>
  <c r="F38" i="2" s="1"/>
  <c r="F37" i="2" s="1"/>
  <c r="F36" i="2" s="1"/>
  <c r="F35" i="2" s="1"/>
  <c r="F34" i="2" s="1"/>
  <c r="F33" i="2" s="1"/>
  <c r="F32" i="2" s="1"/>
  <c r="F31" i="2" s="1"/>
  <c r="F30" i="2" s="1"/>
  <c r="F29" i="2" s="1"/>
  <c r="F28" i="2" s="1"/>
  <c r="F27" i="2" s="1"/>
  <c r="F26" i="2" s="1"/>
  <c r="F25" i="2" s="1"/>
  <c r="F24" i="2" s="1"/>
  <c r="F23" i="2" s="1"/>
  <c r="F22" i="2" s="1"/>
  <c r="F21" i="2" s="1"/>
  <c r="F20" i="2" s="1"/>
  <c r="F19" i="2" s="1"/>
  <c r="F18" i="2" s="1"/>
  <c r="F17" i="2" s="1"/>
  <c r="F16" i="2" s="1"/>
  <c r="F15" i="2" s="1"/>
  <c r="F14" i="2" s="1"/>
  <c r="F13" i="2" s="1"/>
  <c r="F12" i="2" s="1"/>
  <c r="F11" i="2" s="1"/>
  <c r="C128" i="2"/>
  <c r="D128" i="2"/>
  <c r="F134" i="2"/>
  <c r="D127" i="2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s="1"/>
  <c r="D80" i="2" s="1"/>
  <c r="D79" i="2" s="1"/>
  <c r="D78" i="2" s="1"/>
  <c r="D77" i="2" s="1"/>
  <c r="D76" i="2" s="1"/>
  <c r="D75" i="2" s="1"/>
  <c r="D74" i="2" s="1"/>
  <c r="D73" i="2" s="1"/>
  <c r="D72" i="2" s="1"/>
  <c r="D71" i="2" s="1"/>
  <c r="D70" i="2" s="1"/>
  <c r="D69" i="2" s="1"/>
  <c r="D68" i="2" s="1"/>
  <c r="D67" i="2" s="1"/>
  <c r="D66" i="2" s="1"/>
  <c r="D65" i="2" s="1"/>
  <c r="D64" i="2" s="1"/>
  <c r="D63" i="2" s="1"/>
  <c r="D62" i="2" s="1"/>
  <c r="D61" i="2" s="1"/>
  <c r="D60" i="2" s="1"/>
  <c r="D59" i="2" s="1"/>
  <c r="D58" i="2" s="1"/>
  <c r="D57" i="2" s="1"/>
  <c r="D56" i="2" s="1"/>
  <c r="D55" i="2" s="1"/>
  <c r="D54" i="2" s="1"/>
  <c r="D53" i="2" s="1"/>
  <c r="D52" i="2" s="1"/>
  <c r="D51" i="2" s="1"/>
  <c r="D50" i="2" s="1"/>
  <c r="D49" i="2" s="1"/>
  <c r="D48" i="2" s="1"/>
  <c r="D47" i="2" s="1"/>
  <c r="D46" i="2" s="1"/>
  <c r="D45" i="2" s="1"/>
  <c r="D44" i="2" s="1"/>
  <c r="D43" i="2" s="1"/>
  <c r="D42" i="2" s="1"/>
  <c r="D41" i="2" s="1"/>
  <c r="D40" i="2" s="1"/>
  <c r="D39" i="2" s="1"/>
  <c r="D38" i="2" s="1"/>
  <c r="D37" i="2" s="1"/>
  <c r="D36" i="2" s="1"/>
  <c r="D35" i="2" s="1"/>
  <c r="D34" i="2" s="1"/>
  <c r="D33" i="2" s="1"/>
  <c r="D32" i="2" s="1"/>
  <c r="D31" i="2" s="1"/>
  <c r="D30" i="2" s="1"/>
  <c r="D29" i="2" s="1"/>
  <c r="D28" i="2" s="1"/>
  <c r="D27" i="2" s="1"/>
  <c r="D26" i="2" s="1"/>
  <c r="D25" i="2" s="1"/>
  <c r="D24" i="2" s="1"/>
  <c r="D23" i="2" s="1"/>
  <c r="D22" i="2" s="1"/>
  <c r="D21" i="2" s="1"/>
  <c r="D20" i="2" s="1"/>
  <c r="D19" i="2" s="1"/>
  <c r="D18" i="2" s="1"/>
  <c r="D17" i="2" s="1"/>
  <c r="D16" i="2" s="1"/>
  <c r="D15" i="2" s="1"/>
  <c r="D14" i="2" s="1"/>
  <c r="D13" i="2" s="1"/>
  <c r="D12" i="2" s="1"/>
  <c r="D11" i="2" s="1"/>
  <c r="D10" i="2" s="1"/>
  <c r="D9" i="2" s="1"/>
  <c r="D8" i="2" s="1"/>
  <c r="D7" i="2" s="1"/>
  <c r="D6" i="2" s="1"/>
  <c r="D5" i="2" s="1"/>
  <c r="I8" i="2" s="1"/>
  <c r="C127" i="2"/>
  <c r="C126" i="2" s="1"/>
  <c r="C125" i="2" s="1"/>
  <c r="C124" i="2" s="1"/>
  <c r="C123" i="2" s="1"/>
  <c r="C122" i="2" s="1"/>
  <c r="C121" i="2" s="1"/>
  <c r="C120" i="2" s="1"/>
  <c r="C119" i="2" s="1"/>
  <c r="C118" i="2" s="1"/>
  <c r="C117" i="2" s="1"/>
  <c r="C116" i="2" s="1"/>
  <c r="C115" i="2" s="1"/>
  <c r="C114" i="2" s="1"/>
  <c r="C113" i="2" s="1"/>
  <c r="C112" i="2" s="1"/>
  <c r="C111" i="2" s="1"/>
  <c r="C110" i="2" s="1"/>
  <c r="C109" i="2" s="1"/>
  <c r="C108" i="2" s="1"/>
  <c r="C107" i="2" s="1"/>
  <c r="C106" i="2" s="1"/>
  <c r="C105" i="2" s="1"/>
  <c r="C104" i="2" s="1"/>
  <c r="C103" i="2" s="1"/>
  <c r="C102" i="2" s="1"/>
  <c r="C101" i="2" s="1"/>
  <c r="C100" i="2" s="1"/>
  <c r="C99" i="2" s="1"/>
  <c r="C98" i="2" s="1"/>
  <c r="C97" i="2" s="1"/>
  <c r="C96" i="2" s="1"/>
  <c r="C95" i="2" s="1"/>
  <c r="C94" i="2" s="1"/>
  <c r="C93" i="2" s="1"/>
  <c r="C92" i="2" s="1"/>
  <c r="C91" i="2" s="1"/>
  <c r="C90" i="2" s="1"/>
  <c r="C89" i="2" s="1"/>
  <c r="C88" i="2" s="1"/>
  <c r="C87" i="2" s="1"/>
  <c r="C86" i="2" s="1"/>
  <c r="C85" i="2" s="1"/>
  <c r="C84" i="2" s="1"/>
  <c r="C83" i="2" s="1"/>
  <c r="C82" i="2" s="1"/>
  <c r="C81" i="2" s="1"/>
  <c r="C80" i="2" s="1"/>
  <c r="C79" i="2" s="1"/>
  <c r="C78" i="2" s="1"/>
  <c r="C77" i="2" s="1"/>
  <c r="C76" i="2" s="1"/>
  <c r="C75" i="2" s="1"/>
  <c r="C74" i="2" s="1"/>
  <c r="C73" i="2" s="1"/>
  <c r="C72" i="2" s="1"/>
  <c r="C71" i="2" s="1"/>
  <c r="C70" i="2" s="1"/>
  <c r="C69" i="2" s="1"/>
  <c r="C68" i="2" s="1"/>
  <c r="C67" i="2" s="1"/>
  <c r="C66" i="2" s="1"/>
  <c r="C65" i="2" s="1"/>
  <c r="C64" i="2" s="1"/>
  <c r="C63" i="2" s="1"/>
  <c r="C62" i="2" s="1"/>
  <c r="C61" i="2" s="1"/>
  <c r="C60" i="2" s="1"/>
  <c r="C59" i="2" s="1"/>
  <c r="C58" i="2" s="1"/>
  <c r="C57" i="2" s="1"/>
  <c r="C56" i="2" s="1"/>
  <c r="C55" i="2" s="1"/>
  <c r="C54" i="2" s="1"/>
  <c r="C53" i="2" s="1"/>
  <c r="C52" i="2" s="1"/>
  <c r="C51" i="2" s="1"/>
  <c r="C50" i="2" s="1"/>
  <c r="C49" i="2" s="1"/>
  <c r="C48" i="2" s="1"/>
  <c r="C47" i="2" s="1"/>
  <c r="C46" i="2" s="1"/>
  <c r="C45" i="2" s="1"/>
  <c r="C44" i="2" s="1"/>
  <c r="C43" i="2" s="1"/>
  <c r="C42" i="2" s="1"/>
  <c r="C41" i="2" s="1"/>
  <c r="C40" i="2" s="1"/>
  <c r="C39" i="2" s="1"/>
  <c r="C38" i="2" s="1"/>
  <c r="C37" i="2" s="1"/>
  <c r="C36" i="2" s="1"/>
  <c r="C35" i="2" s="1"/>
  <c r="C34" i="2" s="1"/>
  <c r="C33" i="2" s="1"/>
  <c r="C32" i="2" s="1"/>
  <c r="C31" i="2" s="1"/>
  <c r="C30" i="2" s="1"/>
  <c r="C29" i="2" s="1"/>
  <c r="C28" i="2" s="1"/>
  <c r="C27" i="2" s="1"/>
  <c r="C26" i="2" s="1"/>
  <c r="C25" i="2" s="1"/>
  <c r="C24" i="2" s="1"/>
  <c r="C23" i="2" s="1"/>
  <c r="C22" i="2" s="1"/>
  <c r="C21" i="2" s="1"/>
  <c r="C20" i="2" s="1"/>
  <c r="C19" i="2" s="1"/>
  <c r="C18" i="2" s="1"/>
  <c r="C17" i="2" s="1"/>
  <c r="C16" i="2" s="1"/>
  <c r="C15" i="2" s="1"/>
  <c r="C14" i="2" s="1"/>
  <c r="C13" i="2" s="1"/>
  <c r="C12" i="2" s="1"/>
  <c r="C11" i="2" s="1"/>
  <c r="C10" i="2" s="1"/>
  <c r="C9" i="2" s="1"/>
  <c r="C8" i="2" s="1"/>
  <c r="C7" i="2" s="1"/>
  <c r="C6" i="2" s="1"/>
  <c r="C5" i="2" s="1"/>
  <c r="H8" i="2" s="1"/>
  <c r="P8" i="1"/>
  <c r="O8" i="1"/>
  <c r="P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7" i="1"/>
  <c r="E6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7" i="1"/>
  <c r="I6" i="1"/>
  <c r="N6" i="5"/>
  <c r="N5" i="5"/>
  <c r="J4" i="2" l="1"/>
  <c r="O21" i="1"/>
  <c r="F8" i="5"/>
  <c r="G131" i="5"/>
  <c r="U8" i="1"/>
  <c r="U7" i="1"/>
  <c r="U6" i="1"/>
  <c r="F131" i="5" l="1"/>
  <c r="P11" i="1"/>
  <c r="D130" i="5"/>
  <c r="D129" i="5" l="1"/>
  <c r="O93" i="1"/>
  <c r="D128" i="5"/>
  <c r="D127" i="5" s="1"/>
  <c r="D126" i="5" s="1"/>
  <c r="D125" i="5" s="1"/>
  <c r="D124" i="5" s="1"/>
  <c r="D123" i="5" s="1"/>
  <c r="D122" i="5" s="1"/>
  <c r="D121" i="5" s="1"/>
  <c r="D120" i="5" s="1"/>
  <c r="D119" i="5" s="1"/>
  <c r="D118" i="5" s="1"/>
  <c r="D117" i="5" s="1"/>
  <c r="D116" i="5" s="1"/>
  <c r="D115" i="5" s="1"/>
  <c r="D114" i="5" s="1"/>
  <c r="D113" i="5" s="1"/>
  <c r="D112" i="5" s="1"/>
  <c r="D111" i="5" s="1"/>
  <c r="D110" i="5" s="1"/>
  <c r="D109" i="5" s="1"/>
  <c r="D108" i="5" s="1"/>
  <c r="D107" i="5" s="1"/>
  <c r="D106" i="5" s="1"/>
  <c r="D105" i="5" s="1"/>
  <c r="D104" i="5" s="1"/>
  <c r="D103" i="5" s="1"/>
  <c r="D102" i="5" s="1"/>
  <c r="D101" i="5" s="1"/>
  <c r="D100" i="5" s="1"/>
  <c r="D99" i="5" s="1"/>
  <c r="D98" i="5" s="1"/>
  <c r="D97" i="5" s="1"/>
  <c r="D96" i="5" s="1"/>
  <c r="D95" i="5" s="1"/>
  <c r="D94" i="5" s="1"/>
  <c r="D93" i="5" s="1"/>
  <c r="D92" i="5" s="1"/>
  <c r="D91" i="5" s="1"/>
  <c r="D90" i="5" s="1"/>
  <c r="D89" i="5" s="1"/>
  <c r="D88" i="5" s="1"/>
  <c r="D87" i="5" s="1"/>
  <c r="D86" i="5" s="1"/>
  <c r="D85" i="5" s="1"/>
  <c r="D84" i="5" s="1"/>
  <c r="D83" i="5" s="1"/>
  <c r="D82" i="5" s="1"/>
  <c r="D81" i="5" s="1"/>
  <c r="D80" i="5" s="1"/>
  <c r="D79" i="5" s="1"/>
  <c r="D78" i="5" s="1"/>
  <c r="D77" i="5" s="1"/>
  <c r="D76" i="5" s="1"/>
  <c r="D75" i="5" s="1"/>
  <c r="D74" i="5" s="1"/>
  <c r="D73" i="5" s="1"/>
  <c r="D72" i="5" s="1"/>
  <c r="D71" i="5" s="1"/>
  <c r="D70" i="5" s="1"/>
  <c r="D69" i="5" s="1"/>
  <c r="D68" i="5" s="1"/>
  <c r="D67" i="5" s="1"/>
  <c r="D66" i="5" s="1"/>
  <c r="D65" i="5" s="1"/>
  <c r="D64" i="5" s="1"/>
  <c r="D63" i="5" s="1"/>
  <c r="D62" i="5" s="1"/>
  <c r="D61" i="5" s="1"/>
  <c r="D60" i="5" s="1"/>
  <c r="D59" i="5" s="1"/>
  <c r="D58" i="5" s="1"/>
  <c r="D57" i="5" s="1"/>
  <c r="D56" i="5" s="1"/>
  <c r="D55" i="5" s="1"/>
  <c r="D54" i="5" s="1"/>
  <c r="D53" i="5" s="1"/>
  <c r="D52" i="5" s="1"/>
  <c r="D51" i="5" s="1"/>
  <c r="D50" i="5" s="1"/>
  <c r="D49" i="5" s="1"/>
  <c r="D48" i="5" s="1"/>
  <c r="D47" i="5" s="1"/>
  <c r="D46" i="5" s="1"/>
  <c r="D45" i="5" s="1"/>
  <c r="D44" i="5" s="1"/>
  <c r="D43" i="5" s="1"/>
  <c r="D42" i="5" s="1"/>
  <c r="D41" i="5" s="1"/>
  <c r="D40" i="5" s="1"/>
  <c r="D39" i="5" s="1"/>
  <c r="D38" i="5" s="1"/>
  <c r="D37" i="5" s="1"/>
  <c r="D36" i="5" s="1"/>
  <c r="D35" i="5" s="1"/>
  <c r="D34" i="5" s="1"/>
  <c r="D33" i="5" s="1"/>
  <c r="D32" i="5" s="1"/>
  <c r="D31" i="5" s="1"/>
  <c r="D30" i="5" s="1"/>
  <c r="D29" i="5" s="1"/>
  <c r="D28" i="5" s="1"/>
  <c r="D27" i="5" s="1"/>
  <c r="D26" i="5" s="1"/>
  <c r="D25" i="5" s="1"/>
  <c r="D24" i="5" s="1"/>
  <c r="D23" i="5" s="1"/>
  <c r="D22" i="5" s="1"/>
  <c r="D21" i="5" s="1"/>
  <c r="D20" i="5" s="1"/>
  <c r="D19" i="5" s="1"/>
  <c r="D18" i="5" s="1"/>
  <c r="D17" i="5" s="1"/>
  <c r="D16" i="5" s="1"/>
  <c r="D15" i="5" s="1"/>
  <c r="D14" i="5" s="1"/>
  <c r="D13" i="5" s="1"/>
  <c r="D12" i="5" s="1"/>
  <c r="D11" i="5" s="1"/>
  <c r="D10" i="5" s="1"/>
  <c r="D9" i="5" s="1"/>
  <c r="D8" i="5" s="1"/>
  <c r="H131" i="5" s="1"/>
  <c r="P7" i="4"/>
  <c r="O52" i="1"/>
  <c r="O99" i="1"/>
  <c r="P103" i="1"/>
  <c r="P57" i="1"/>
  <c r="O73" i="1"/>
  <c r="O9" i="1"/>
  <c r="O108" i="1"/>
  <c r="Q54" i="1"/>
  <c r="P62" i="1"/>
  <c r="F24" i="5"/>
  <c r="J24" i="5" s="1"/>
  <c r="F16" i="5"/>
  <c r="J16" i="5" s="1"/>
  <c r="F99" i="5"/>
  <c r="J99" i="5" s="1"/>
  <c r="F13" i="5"/>
  <c r="J13" i="5" s="1"/>
  <c r="F45" i="5"/>
  <c r="J45" i="5" s="1"/>
  <c r="F77" i="5"/>
  <c r="J77" i="5" s="1"/>
  <c r="F109" i="5"/>
  <c r="J109" i="5" s="1"/>
  <c r="F14" i="5"/>
  <c r="J14" i="5" s="1"/>
  <c r="F46" i="5"/>
  <c r="J46" i="5" s="1"/>
  <c r="F78" i="5"/>
  <c r="J78" i="5" s="1"/>
  <c r="F110" i="5"/>
  <c r="J110" i="5" s="1"/>
  <c r="F44" i="5"/>
  <c r="J44" i="5" s="1"/>
  <c r="F124" i="5"/>
  <c r="J124" i="5" s="1"/>
  <c r="F39" i="5"/>
  <c r="J39" i="5" s="1"/>
  <c r="F91" i="5"/>
  <c r="J91" i="5" s="1"/>
  <c r="F9" i="5"/>
  <c r="J9" i="5" s="1"/>
  <c r="F47" i="5"/>
  <c r="J47" i="5" s="1"/>
  <c r="F88" i="5"/>
  <c r="J88" i="5" s="1"/>
  <c r="F17" i="5"/>
  <c r="J17" i="5" s="1"/>
  <c r="F49" i="5"/>
  <c r="J49" i="5" s="1"/>
  <c r="F81" i="5"/>
  <c r="J81" i="5" s="1"/>
  <c r="F113" i="5"/>
  <c r="J113" i="5" s="1"/>
  <c r="F18" i="5"/>
  <c r="J18" i="5" s="1"/>
  <c r="F50" i="5"/>
  <c r="J50" i="5" s="1"/>
  <c r="F82" i="5"/>
  <c r="J82" i="5" s="1"/>
  <c r="F114" i="5"/>
  <c r="J114" i="5" s="1"/>
  <c r="F95" i="5"/>
  <c r="J95" i="5" s="1"/>
  <c r="F83" i="5"/>
  <c r="J83" i="5" s="1"/>
  <c r="F119" i="5"/>
  <c r="J119" i="5" s="1"/>
  <c r="F75" i="5"/>
  <c r="J75" i="5" s="1"/>
  <c r="F28" i="5"/>
  <c r="J28" i="5" s="1"/>
  <c r="F80" i="5"/>
  <c r="J80" i="5" s="1"/>
  <c r="F36" i="5"/>
  <c r="J36" i="5" s="1"/>
  <c r="F21" i="5"/>
  <c r="J21" i="5" s="1"/>
  <c r="F53" i="5"/>
  <c r="J53" i="5" s="1"/>
  <c r="F85" i="5"/>
  <c r="J85" i="5" s="1"/>
  <c r="F117" i="5"/>
  <c r="J117" i="5" s="1"/>
  <c r="F22" i="5"/>
  <c r="J22" i="5" s="1"/>
  <c r="F54" i="5"/>
  <c r="J54" i="5" s="1"/>
  <c r="F86" i="5"/>
  <c r="J86" i="5" s="1"/>
  <c r="F118" i="5"/>
  <c r="J118" i="5" s="1"/>
  <c r="F84" i="5"/>
  <c r="J84" i="5" s="1"/>
  <c r="F72" i="5"/>
  <c r="J72" i="5" s="1"/>
  <c r="F108" i="5"/>
  <c r="J108" i="5" s="1"/>
  <c r="F23" i="5"/>
  <c r="J23" i="5" s="1"/>
  <c r="F64" i="5"/>
  <c r="J64" i="5" s="1"/>
  <c r="F103" i="5"/>
  <c r="J103" i="5" s="1"/>
  <c r="F123" i="5"/>
  <c r="J123" i="5" s="1"/>
  <c r="F79" i="5"/>
  <c r="J79" i="5" s="1"/>
  <c r="F120" i="5"/>
  <c r="J120" i="5" s="1"/>
  <c r="F35" i="5"/>
  <c r="J35" i="5" s="1"/>
  <c r="F37" i="5"/>
  <c r="J37" i="5" s="1"/>
  <c r="F69" i="5"/>
  <c r="J69" i="5" s="1"/>
  <c r="F101" i="5"/>
  <c r="J101" i="5" s="1"/>
  <c r="F38" i="5"/>
  <c r="J38" i="5" s="1"/>
  <c r="F70" i="5"/>
  <c r="J70" i="5" s="1"/>
  <c r="F102" i="5"/>
  <c r="J102" i="5" s="1"/>
  <c r="F127" i="5"/>
  <c r="J127" i="5" s="1"/>
  <c r="F31" i="5"/>
  <c r="J31" i="5" s="1"/>
  <c r="F115" i="5"/>
  <c r="J115" i="5" s="1"/>
  <c r="F107" i="5"/>
  <c r="J107" i="5" s="1"/>
  <c r="F60" i="5"/>
  <c r="J60" i="5" s="1"/>
  <c r="F111" i="5"/>
  <c r="J111" i="5" s="1"/>
  <c r="F67" i="5"/>
  <c r="J67" i="5" s="1"/>
  <c r="F57" i="5"/>
  <c r="J57" i="5" s="1"/>
  <c r="F121" i="5"/>
  <c r="J121" i="5" s="1"/>
  <c r="F58" i="5"/>
  <c r="J58" i="5" s="1"/>
  <c r="F122" i="5"/>
  <c r="J122" i="5" s="1"/>
  <c r="F12" i="5"/>
  <c r="J12" i="5" s="1"/>
  <c r="F92" i="5"/>
  <c r="J92" i="5" s="1"/>
  <c r="F100" i="5"/>
  <c r="J100" i="5" s="1"/>
  <c r="F56" i="5"/>
  <c r="J56" i="5" s="1"/>
  <c r="F61" i="5"/>
  <c r="J61" i="5" s="1"/>
  <c r="F125" i="5"/>
  <c r="J125" i="5" s="1"/>
  <c r="F62" i="5"/>
  <c r="J62" i="5" s="1"/>
  <c r="F126" i="5"/>
  <c r="J126" i="5" s="1"/>
  <c r="F51" i="5"/>
  <c r="J51" i="5" s="1"/>
  <c r="F128" i="5"/>
  <c r="J128" i="5" s="1"/>
  <c r="F65" i="5"/>
  <c r="J65" i="5" s="1"/>
  <c r="F129" i="5"/>
  <c r="J129" i="5" s="1"/>
  <c r="F66" i="5"/>
  <c r="J66" i="5" s="1"/>
  <c r="F130" i="5"/>
  <c r="J130" i="5" s="1"/>
  <c r="F40" i="5"/>
  <c r="J40" i="5" s="1"/>
  <c r="F71" i="5"/>
  <c r="J71" i="5" s="1"/>
  <c r="F25" i="5"/>
  <c r="J25" i="5" s="1"/>
  <c r="F89" i="5"/>
  <c r="J89" i="5" s="1"/>
  <c r="F26" i="5"/>
  <c r="J26" i="5" s="1"/>
  <c r="F90" i="5"/>
  <c r="J90" i="5" s="1"/>
  <c r="F27" i="5"/>
  <c r="J27" i="5" s="1"/>
  <c r="F41" i="5"/>
  <c r="J41" i="5" s="1"/>
  <c r="F42" i="5"/>
  <c r="J42" i="5" s="1"/>
  <c r="F20" i="5"/>
  <c r="J20" i="5" s="1"/>
  <c r="F104" i="5"/>
  <c r="J104" i="5" s="1"/>
  <c r="F11" i="5"/>
  <c r="J11" i="5" s="1"/>
  <c r="F68" i="5"/>
  <c r="J68" i="5" s="1"/>
  <c r="F73" i="5"/>
  <c r="J73" i="5" s="1"/>
  <c r="F74" i="5"/>
  <c r="J74" i="5" s="1"/>
  <c r="F19" i="5"/>
  <c r="J19" i="5" s="1"/>
  <c r="F15" i="5"/>
  <c r="J15" i="5" s="1"/>
  <c r="F93" i="5"/>
  <c r="J93" i="5" s="1"/>
  <c r="F94" i="5"/>
  <c r="J94" i="5" s="1"/>
  <c r="F87" i="5"/>
  <c r="J87" i="5" s="1"/>
  <c r="J131" i="5"/>
  <c r="F97" i="5"/>
  <c r="J97" i="5" s="1"/>
  <c r="F98" i="5"/>
  <c r="J98" i="5" s="1"/>
  <c r="F76" i="5"/>
  <c r="J76" i="5" s="1"/>
  <c r="F105" i="5"/>
  <c r="J105" i="5" s="1"/>
  <c r="F106" i="5"/>
  <c r="J106" i="5" s="1"/>
  <c r="F55" i="5"/>
  <c r="J55" i="5" s="1"/>
  <c r="F112" i="5"/>
  <c r="J112" i="5" s="1"/>
  <c r="F10" i="5"/>
  <c r="J10" i="5" s="1"/>
  <c r="F116" i="5"/>
  <c r="J116" i="5" s="1"/>
  <c r="F96" i="5"/>
  <c r="J96" i="5" s="1"/>
  <c r="F59" i="5"/>
  <c r="J59" i="5" s="1"/>
  <c r="F29" i="5"/>
  <c r="J29" i="5" s="1"/>
  <c r="F30" i="5"/>
  <c r="J30" i="5" s="1"/>
  <c r="F63" i="5"/>
  <c r="J63" i="5" s="1"/>
  <c r="F43" i="5"/>
  <c r="J43" i="5" s="1"/>
  <c r="F48" i="5"/>
  <c r="J48" i="5" s="1"/>
  <c r="F33" i="5"/>
  <c r="J33" i="5" s="1"/>
  <c r="F34" i="5"/>
  <c r="J34" i="5" s="1"/>
  <c r="F52" i="5"/>
  <c r="J52" i="5" s="1"/>
  <c r="F32" i="5"/>
  <c r="J32" i="5" s="1"/>
  <c r="G40" i="5"/>
  <c r="K40" i="5" s="1"/>
  <c r="G100" i="5"/>
  <c r="K100" i="5" s="1"/>
  <c r="G56" i="5"/>
  <c r="K56" i="5" s="1"/>
  <c r="G104" i="5"/>
  <c r="K104" i="5" s="1"/>
  <c r="G8" i="5"/>
  <c r="G13" i="5"/>
  <c r="K13" i="5" s="1"/>
  <c r="G45" i="5"/>
  <c r="K45" i="5" s="1"/>
  <c r="G77" i="5"/>
  <c r="K77" i="5" s="1"/>
  <c r="G109" i="5"/>
  <c r="K109" i="5" s="1"/>
  <c r="G94" i="5"/>
  <c r="K94" i="5" s="1"/>
  <c r="G34" i="5"/>
  <c r="K34" i="5" s="1"/>
  <c r="G66" i="5"/>
  <c r="K66" i="5" s="1"/>
  <c r="G19" i="5"/>
  <c r="K19" i="5" s="1"/>
  <c r="G51" i="5"/>
  <c r="K51" i="5" s="1"/>
  <c r="G83" i="5"/>
  <c r="K83" i="5" s="1"/>
  <c r="G115" i="5"/>
  <c r="K115" i="5" s="1"/>
  <c r="G92" i="5"/>
  <c r="K92" i="5" s="1"/>
  <c r="G128" i="5"/>
  <c r="K128" i="5" s="1"/>
  <c r="G84" i="5"/>
  <c r="K84" i="5" s="1"/>
  <c r="G18" i="5"/>
  <c r="K18" i="5" s="1"/>
  <c r="G17" i="5"/>
  <c r="K17" i="5" s="1"/>
  <c r="G49" i="5"/>
  <c r="K49" i="5" s="1"/>
  <c r="G81" i="5"/>
  <c r="K81" i="5" s="1"/>
  <c r="G113" i="5"/>
  <c r="K113" i="5" s="1"/>
  <c r="G106" i="5"/>
  <c r="K106" i="5" s="1"/>
  <c r="G38" i="5"/>
  <c r="K38" i="5" s="1"/>
  <c r="G70" i="5"/>
  <c r="K70" i="5" s="1"/>
  <c r="G23" i="5"/>
  <c r="K23" i="5" s="1"/>
  <c r="G55" i="5"/>
  <c r="K55" i="5" s="1"/>
  <c r="G87" i="5"/>
  <c r="K87" i="5" s="1"/>
  <c r="G119" i="5"/>
  <c r="K119" i="5" s="1"/>
  <c r="G32" i="5"/>
  <c r="K32" i="5" s="1"/>
  <c r="G112" i="5"/>
  <c r="K112" i="5" s="1"/>
  <c r="G120" i="5"/>
  <c r="K120" i="5" s="1"/>
  <c r="G76" i="5"/>
  <c r="K76" i="5" s="1"/>
  <c r="G74" i="5"/>
  <c r="K74" i="5" s="1"/>
  <c r="G21" i="5"/>
  <c r="K21" i="5" s="1"/>
  <c r="G53" i="5"/>
  <c r="K53" i="5" s="1"/>
  <c r="G85" i="5"/>
  <c r="K85" i="5" s="1"/>
  <c r="G117" i="5"/>
  <c r="K117" i="5" s="1"/>
  <c r="G118" i="5"/>
  <c r="K118" i="5" s="1"/>
  <c r="G42" i="5"/>
  <c r="K42" i="5" s="1"/>
  <c r="G82" i="5"/>
  <c r="K82" i="5" s="1"/>
  <c r="G27" i="5"/>
  <c r="K27" i="5" s="1"/>
  <c r="G59" i="5"/>
  <c r="K59" i="5" s="1"/>
  <c r="G91" i="5"/>
  <c r="K91" i="5" s="1"/>
  <c r="G123" i="5"/>
  <c r="K123" i="5" s="1"/>
  <c r="G16" i="5"/>
  <c r="K16" i="5" s="1"/>
  <c r="G36" i="5"/>
  <c r="K36" i="5" s="1"/>
  <c r="G122" i="5"/>
  <c r="K122" i="5" s="1"/>
  <c r="G37" i="5"/>
  <c r="K37" i="5" s="1"/>
  <c r="G69" i="5"/>
  <c r="K69" i="5" s="1"/>
  <c r="G101" i="5"/>
  <c r="K101" i="5" s="1"/>
  <c r="G14" i="5"/>
  <c r="K14" i="5" s="1"/>
  <c r="G26" i="5"/>
  <c r="K26" i="5" s="1"/>
  <c r="G58" i="5"/>
  <c r="K58" i="5" s="1"/>
  <c r="G11" i="5"/>
  <c r="K11" i="5" s="1"/>
  <c r="G43" i="5"/>
  <c r="K43" i="5" s="1"/>
  <c r="G75" i="5"/>
  <c r="K75" i="5" s="1"/>
  <c r="G107" i="5"/>
  <c r="K107" i="5" s="1"/>
  <c r="G28" i="5"/>
  <c r="K28" i="5" s="1"/>
  <c r="G64" i="5"/>
  <c r="K64" i="5" s="1"/>
  <c r="G20" i="5"/>
  <c r="K20" i="5" s="1"/>
  <c r="G90" i="5"/>
  <c r="K90" i="5" s="1"/>
  <c r="G57" i="5"/>
  <c r="K57" i="5" s="1"/>
  <c r="G121" i="5"/>
  <c r="K121" i="5" s="1"/>
  <c r="G46" i="5"/>
  <c r="K46" i="5" s="1"/>
  <c r="G31" i="5"/>
  <c r="K31" i="5" s="1"/>
  <c r="G95" i="5"/>
  <c r="K95" i="5" s="1"/>
  <c r="G60" i="5"/>
  <c r="K60" i="5" s="1"/>
  <c r="G102" i="5"/>
  <c r="K102" i="5" s="1"/>
  <c r="G61" i="5"/>
  <c r="K61" i="5" s="1"/>
  <c r="G125" i="5"/>
  <c r="K125" i="5" s="1"/>
  <c r="G50" i="5"/>
  <c r="K50" i="5" s="1"/>
  <c r="G35" i="5"/>
  <c r="K35" i="5" s="1"/>
  <c r="G99" i="5"/>
  <c r="K99" i="5" s="1"/>
  <c r="G80" i="5"/>
  <c r="K80" i="5" s="1"/>
  <c r="G9" i="5"/>
  <c r="K9" i="5" s="1"/>
  <c r="G88" i="5"/>
  <c r="K88" i="5" s="1"/>
  <c r="G44" i="5"/>
  <c r="K44" i="5" s="1"/>
  <c r="G110" i="5"/>
  <c r="K110" i="5" s="1"/>
  <c r="G65" i="5"/>
  <c r="K65" i="5" s="1"/>
  <c r="G129" i="5"/>
  <c r="K129" i="5" s="1"/>
  <c r="G54" i="5"/>
  <c r="K54" i="5" s="1"/>
  <c r="G39" i="5"/>
  <c r="K39" i="5" s="1"/>
  <c r="G103" i="5"/>
  <c r="K103" i="5" s="1"/>
  <c r="G116" i="5"/>
  <c r="K116" i="5" s="1"/>
  <c r="G68" i="5"/>
  <c r="K68" i="5" s="1"/>
  <c r="G24" i="5"/>
  <c r="K24" i="5" s="1"/>
  <c r="G72" i="5"/>
  <c r="K72" i="5" s="1"/>
  <c r="G25" i="5"/>
  <c r="K25" i="5" s="1"/>
  <c r="G89" i="5"/>
  <c r="K89" i="5" s="1"/>
  <c r="G126" i="5"/>
  <c r="K126" i="5" s="1"/>
  <c r="G86" i="5"/>
  <c r="K86" i="5" s="1"/>
  <c r="G63" i="5"/>
  <c r="K63" i="5" s="1"/>
  <c r="G127" i="5"/>
  <c r="K127" i="5" s="1"/>
  <c r="G96" i="5"/>
  <c r="K96" i="5" s="1"/>
  <c r="G52" i="5"/>
  <c r="K52" i="5" s="1"/>
  <c r="G105" i="5"/>
  <c r="K105" i="5" s="1"/>
  <c r="G15" i="5"/>
  <c r="K15" i="5" s="1"/>
  <c r="G130" i="5"/>
  <c r="K130" i="5" s="1"/>
  <c r="G78" i="5"/>
  <c r="K78" i="5" s="1"/>
  <c r="G47" i="5"/>
  <c r="K47" i="5" s="1"/>
  <c r="G48" i="5"/>
  <c r="K48" i="5" s="1"/>
  <c r="G29" i="5"/>
  <c r="K29" i="5" s="1"/>
  <c r="G10" i="5"/>
  <c r="K10" i="5" s="1"/>
  <c r="G67" i="5"/>
  <c r="K67" i="5" s="1"/>
  <c r="G33" i="5"/>
  <c r="K33" i="5" s="1"/>
  <c r="G22" i="5"/>
  <c r="K22" i="5" s="1"/>
  <c r="G71" i="5"/>
  <c r="K71" i="5" s="1"/>
  <c r="G108" i="5"/>
  <c r="K108" i="5" s="1"/>
  <c r="G41" i="5"/>
  <c r="K41" i="5" s="1"/>
  <c r="G30" i="5"/>
  <c r="K30" i="5" s="1"/>
  <c r="G79" i="5"/>
  <c r="K79" i="5" s="1"/>
  <c r="G12" i="5"/>
  <c r="K12" i="5" s="1"/>
  <c r="G73" i="5"/>
  <c r="K73" i="5" s="1"/>
  <c r="G62" i="5"/>
  <c r="K62" i="5" s="1"/>
  <c r="G111" i="5"/>
  <c r="K111" i="5" s="1"/>
  <c r="G93" i="5"/>
  <c r="K93" i="5" s="1"/>
  <c r="G98" i="5"/>
  <c r="K98" i="5" s="1"/>
  <c r="K131" i="5"/>
  <c r="G97" i="5"/>
  <c r="K97" i="5" s="1"/>
  <c r="G114" i="5"/>
  <c r="K114" i="5" s="1"/>
  <c r="G124" i="5"/>
  <c r="K124" i="5" s="1"/>
  <c r="T112" i="1"/>
  <c r="P9" i="1"/>
  <c r="Q97" i="1"/>
  <c r="P109" i="1"/>
  <c r="T80" i="1"/>
  <c r="Q113" i="1"/>
  <c r="O103" i="1"/>
  <c r="Q65" i="1"/>
  <c r="O60" i="1"/>
  <c r="Q43" i="1"/>
  <c r="V96" i="1"/>
  <c r="V40" i="1"/>
  <c r="U24" i="1"/>
  <c r="T74" i="1"/>
  <c r="V109" i="1"/>
  <c r="V34" i="1"/>
  <c r="T71" i="1"/>
  <c r="U95" i="1"/>
  <c r="T40" i="1"/>
  <c r="V53" i="1"/>
  <c r="T33" i="1"/>
  <c r="V39" i="1"/>
  <c r="U117" i="1"/>
  <c r="V60" i="1"/>
  <c r="U23" i="1"/>
  <c r="V47" i="1"/>
  <c r="U28" i="1"/>
  <c r="V104" i="1"/>
  <c r="V56" i="1"/>
  <c r="U26" i="1"/>
  <c r="V52" i="1"/>
  <c r="V45" i="1"/>
  <c r="U39" i="1"/>
  <c r="O95" i="1"/>
  <c r="O100" i="1"/>
  <c r="V48" i="1"/>
  <c r="T49" i="1"/>
  <c r="T60" i="1"/>
  <c r="T39" i="1"/>
  <c r="T96" i="1"/>
  <c r="T75" i="1"/>
  <c r="T86" i="1"/>
  <c r="T30" i="1"/>
  <c r="T88" i="1"/>
  <c r="T42" i="1"/>
  <c r="U114" i="1"/>
  <c r="U22" i="1"/>
  <c r="U86" i="1"/>
  <c r="U33" i="1"/>
  <c r="U97" i="1"/>
  <c r="U42" i="1"/>
  <c r="U113" i="1"/>
  <c r="U99" i="1"/>
  <c r="U64" i="1"/>
  <c r="U115" i="1"/>
  <c r="U52" i="1"/>
  <c r="U48" i="1"/>
  <c r="U31" i="1"/>
  <c r="T56" i="1"/>
  <c r="V55" i="1"/>
  <c r="U55" i="1"/>
  <c r="V67" i="1"/>
  <c r="V78" i="1"/>
  <c r="V95" i="1"/>
  <c r="V24" i="1"/>
  <c r="V105" i="1"/>
  <c r="V85" i="1"/>
  <c r="V103" i="1"/>
  <c r="V23" i="1"/>
  <c r="V80" i="1"/>
  <c r="V112" i="1"/>
  <c r="T51" i="1"/>
  <c r="U72" i="1"/>
  <c r="T34" i="1"/>
  <c r="V33" i="1"/>
  <c r="T57" i="1"/>
  <c r="T68" i="1"/>
  <c r="T53" i="1"/>
  <c r="T103" i="1"/>
  <c r="T79" i="1"/>
  <c r="T91" i="1"/>
  <c r="T72" i="1"/>
  <c r="T104" i="1"/>
  <c r="T48" i="1"/>
  <c r="U90" i="1"/>
  <c r="U101" i="1"/>
  <c r="U30" i="1"/>
  <c r="U94" i="1"/>
  <c r="U41" i="1"/>
  <c r="U56" i="1"/>
  <c r="U21" i="1"/>
  <c r="U108" i="1"/>
  <c r="U68" i="1"/>
  <c r="U58" i="1"/>
  <c r="U37" i="1"/>
  <c r="V73" i="1"/>
  <c r="V26" i="1"/>
  <c r="T38" i="1"/>
  <c r="V75" i="1"/>
  <c r="V22" i="1"/>
  <c r="V86" i="1"/>
  <c r="V110" i="1"/>
  <c r="V28" i="1"/>
  <c r="V113" i="1"/>
  <c r="V89" i="1"/>
  <c r="V115" i="1"/>
  <c r="T65" i="1"/>
  <c r="T76" i="1"/>
  <c r="T67" i="1"/>
  <c r="T32" i="1"/>
  <c r="T111" i="1"/>
  <c r="T93" i="1"/>
  <c r="T22" i="1"/>
  <c r="T102" i="1"/>
  <c r="T94" i="1"/>
  <c r="T117" i="1"/>
  <c r="T54" i="1"/>
  <c r="T26" i="1"/>
  <c r="V44" i="1"/>
  <c r="U44" i="1"/>
  <c r="U38" i="1"/>
  <c r="U49" i="1"/>
  <c r="U60" i="1"/>
  <c r="U35" i="1"/>
  <c r="U116" i="1"/>
  <c r="U82" i="1"/>
  <c r="U63" i="1"/>
  <c r="U76" i="1"/>
  <c r="U59" i="1"/>
  <c r="U27" i="1"/>
  <c r="V20" i="1"/>
  <c r="V83" i="1"/>
  <c r="V30" i="1"/>
  <c r="V94" i="1"/>
  <c r="V31" i="1"/>
  <c r="V118" i="1"/>
  <c r="V42" i="1"/>
  <c r="V19" i="1"/>
  <c r="V21" i="1"/>
  <c r="T89" i="1"/>
  <c r="T20" i="1"/>
  <c r="T19" i="1"/>
  <c r="T116" i="1"/>
  <c r="T114" i="1"/>
  <c r="T83" i="1"/>
  <c r="T109" i="1"/>
  <c r="T55" i="1"/>
  <c r="T45" i="1"/>
  <c r="U54" i="1"/>
  <c r="U73" i="1"/>
  <c r="U102" i="1"/>
  <c r="U85" i="1"/>
  <c r="U96" i="1"/>
  <c r="U34" i="1"/>
  <c r="U80" i="1"/>
  <c r="U112" i="1"/>
  <c r="T110" i="1"/>
  <c r="V43" i="1"/>
  <c r="V62" i="1"/>
  <c r="V81" i="1"/>
  <c r="V116" i="1"/>
  <c r="V107" i="1"/>
  <c r="V76" i="1"/>
  <c r="U20" i="1"/>
  <c r="V61" i="1"/>
  <c r="T113" i="1"/>
  <c r="T97" i="1"/>
  <c r="T28" i="1"/>
  <c r="T58" i="1"/>
  <c r="T77" i="1"/>
  <c r="U62" i="1"/>
  <c r="U81" i="1"/>
  <c r="U105" i="1"/>
  <c r="U100" i="1"/>
  <c r="U40" i="1"/>
  <c r="U91" i="1"/>
  <c r="U43" i="1"/>
  <c r="V100" i="1"/>
  <c r="V51" i="1"/>
  <c r="V70" i="1"/>
  <c r="V36" i="1"/>
  <c r="V82" i="1"/>
  <c r="V32" i="1"/>
  <c r="V101" i="1"/>
  <c r="T90" i="1"/>
  <c r="T101" i="1"/>
  <c r="V117" i="1"/>
  <c r="T115" i="1"/>
  <c r="T36" i="1"/>
  <c r="T21" i="1"/>
  <c r="T63" i="1"/>
  <c r="T87" i="1"/>
  <c r="U70" i="1"/>
  <c r="U89" i="1"/>
  <c r="U103" i="1"/>
  <c r="U45" i="1"/>
  <c r="U107" i="1"/>
  <c r="U109" i="1"/>
  <c r="U104" i="1"/>
  <c r="U84" i="1"/>
  <c r="V59" i="1"/>
  <c r="V102" i="1"/>
  <c r="V25" i="1"/>
  <c r="V29" i="1"/>
  <c r="V41" i="1"/>
  <c r="V87" i="1"/>
  <c r="V84" i="1"/>
  <c r="T118" i="1"/>
  <c r="U61" i="1"/>
  <c r="T27" i="1"/>
  <c r="V106" i="1"/>
  <c r="U106" i="1"/>
  <c r="T25" i="1"/>
  <c r="T44" i="1"/>
  <c r="T35" i="1"/>
  <c r="T46" i="1"/>
  <c r="T29" i="1"/>
  <c r="T69" i="1"/>
  <c r="T62" i="1"/>
  <c r="T73" i="1"/>
  <c r="T92" i="1"/>
  <c r="T99" i="1"/>
  <c r="T78" i="1"/>
  <c r="T61" i="1"/>
  <c r="T107" i="1"/>
  <c r="T59" i="1"/>
  <c r="T105" i="1"/>
  <c r="U57" i="1"/>
  <c r="U88" i="1"/>
  <c r="U67" i="1"/>
  <c r="U36" i="1"/>
  <c r="U69" i="1"/>
  <c r="U93" i="1"/>
  <c r="V27" i="1"/>
  <c r="V46" i="1"/>
  <c r="V63" i="1"/>
  <c r="V88" i="1"/>
  <c r="V71" i="1"/>
  <c r="V97" i="1"/>
  <c r="V64" i="1"/>
  <c r="V66" i="1"/>
  <c r="V114" i="1"/>
  <c r="V50" i="1"/>
  <c r="T81" i="1"/>
  <c r="T100" i="1"/>
  <c r="T108" i="1"/>
  <c r="T82" i="1"/>
  <c r="Q57" i="1"/>
  <c r="O91" i="1"/>
  <c r="Q87" i="1"/>
  <c r="Q50" i="1"/>
  <c r="O107" i="1"/>
  <c r="Q46" i="1"/>
  <c r="Q94" i="1"/>
  <c r="O112" i="1"/>
  <c r="P114" i="1"/>
  <c r="P86" i="1"/>
  <c r="P91" i="1"/>
  <c r="O87" i="1"/>
  <c r="O71" i="1"/>
  <c r="T98" i="1"/>
  <c r="T23" i="1"/>
  <c r="O54" i="1"/>
  <c r="Q100" i="1"/>
  <c r="O47" i="1"/>
  <c r="V90" i="1"/>
  <c r="O79" i="1"/>
  <c r="P54" i="1"/>
  <c r="V93" i="1"/>
  <c r="Q49" i="1"/>
  <c r="Q107" i="1"/>
  <c r="Q88" i="1"/>
  <c r="Q48" i="1"/>
  <c r="Q37" i="1"/>
  <c r="V91" i="1"/>
  <c r="V68" i="1"/>
  <c r="Q36" i="1"/>
  <c r="P89" i="1"/>
  <c r="P49" i="1"/>
  <c r="U51" i="1"/>
  <c r="U111" i="1"/>
  <c r="P43" i="1"/>
  <c r="P48" i="1"/>
  <c r="U78" i="1"/>
  <c r="O98" i="1"/>
  <c r="P93" i="1"/>
  <c r="T31" i="1"/>
  <c r="O86" i="1"/>
  <c r="T106" i="1"/>
  <c r="Q76" i="1"/>
  <c r="O109" i="1"/>
  <c r="P65" i="1"/>
  <c r="Q30" i="1"/>
  <c r="Q53" i="1"/>
  <c r="P77" i="1"/>
  <c r="P64" i="1"/>
  <c r="U77" i="1"/>
  <c r="U79" i="1"/>
  <c r="Q117" i="1"/>
  <c r="Q22" i="1"/>
  <c r="Q63" i="1"/>
  <c r="Q96" i="1"/>
  <c r="Q56" i="1"/>
  <c r="P63" i="1"/>
  <c r="U19" i="1"/>
  <c r="P56" i="1"/>
  <c r="P23" i="1"/>
  <c r="T52" i="1"/>
  <c r="U66" i="1"/>
  <c r="P111" i="1"/>
  <c r="Q92" i="1"/>
  <c r="O40" i="1"/>
  <c r="V37" i="1"/>
  <c r="P106" i="1"/>
  <c r="V65" i="1"/>
  <c r="V69" i="1"/>
  <c r="Q52" i="1"/>
  <c r="V111" i="1"/>
  <c r="V108" i="1"/>
  <c r="V92" i="1"/>
  <c r="V77" i="1"/>
  <c r="V54" i="1"/>
  <c r="V35" i="1"/>
  <c r="U118" i="1"/>
  <c r="O31" i="1"/>
  <c r="P81" i="1"/>
  <c r="U98" i="1"/>
  <c r="U75" i="1"/>
  <c r="U29" i="1"/>
  <c r="U50" i="1"/>
  <c r="U71" i="1"/>
  <c r="U92" i="1"/>
  <c r="U65" i="1"/>
  <c r="U46" i="1"/>
  <c r="Q39" i="1"/>
  <c r="O104" i="1"/>
  <c r="T24" i="1"/>
  <c r="O83" i="1"/>
  <c r="T47" i="1"/>
  <c r="O75" i="1"/>
  <c r="Q105" i="1"/>
  <c r="Q81" i="1"/>
  <c r="Q44" i="1"/>
  <c r="Q95" i="1"/>
  <c r="O44" i="1"/>
  <c r="Q31" i="1"/>
  <c r="Q103" i="1"/>
  <c r="O90" i="1"/>
  <c r="Q34" i="1"/>
  <c r="P30" i="1"/>
  <c r="P20" i="1"/>
  <c r="P115" i="1"/>
  <c r="P37" i="1"/>
  <c r="P102" i="1"/>
  <c r="P46" i="1"/>
  <c r="P34" i="1"/>
  <c r="P100" i="1"/>
  <c r="Q90" i="1"/>
  <c r="P36" i="1"/>
  <c r="Q69" i="1"/>
  <c r="Q72" i="1"/>
  <c r="Q55" i="1"/>
  <c r="Q99" i="1"/>
  <c r="P32" i="1"/>
  <c r="P83" i="1"/>
  <c r="P38" i="1"/>
  <c r="P33" i="1"/>
  <c r="P45" i="1"/>
  <c r="P110" i="1"/>
  <c r="P60" i="1"/>
  <c r="P53" i="1"/>
  <c r="P108" i="1"/>
  <c r="P112" i="1"/>
  <c r="P85" i="1"/>
  <c r="O28" i="1"/>
  <c r="Q80" i="1"/>
  <c r="P55" i="1"/>
  <c r="O22" i="1"/>
  <c r="O37" i="1"/>
  <c r="O97" i="1"/>
  <c r="O34" i="1"/>
  <c r="P99" i="1"/>
  <c r="P118" i="1"/>
  <c r="P84" i="1"/>
  <c r="P98" i="1"/>
  <c r="P96" i="1"/>
  <c r="Q106" i="1"/>
  <c r="Q24" i="1"/>
  <c r="Q28" i="1"/>
  <c r="Q66" i="1"/>
  <c r="Q102" i="1"/>
  <c r="Q60" i="1"/>
  <c r="Q85" i="1"/>
  <c r="O101" i="1"/>
  <c r="O36" i="1"/>
  <c r="Q98" i="1"/>
  <c r="P31" i="1"/>
  <c r="O20" i="1"/>
  <c r="P95" i="1"/>
  <c r="P26" i="1"/>
  <c r="O115" i="1"/>
  <c r="O48" i="1"/>
  <c r="O51" i="1"/>
  <c r="O30" i="1"/>
  <c r="O25" i="1"/>
  <c r="O45" i="1"/>
  <c r="O105" i="1"/>
  <c r="O53" i="1"/>
  <c r="O26" i="1"/>
  <c r="P27" i="1"/>
  <c r="P29" i="1"/>
  <c r="P116" i="1"/>
  <c r="Q68" i="1"/>
  <c r="Q79" i="1"/>
  <c r="P101" i="1"/>
  <c r="Q21" i="1"/>
  <c r="Q32" i="1"/>
  <c r="Q27" i="1"/>
  <c r="Q59" i="1"/>
  <c r="Q70" i="1"/>
  <c r="Q25" i="1"/>
  <c r="Q110" i="1"/>
  <c r="Q74" i="1"/>
  <c r="O66" i="1"/>
  <c r="P90" i="1"/>
  <c r="Q26" i="1"/>
  <c r="O88" i="1"/>
  <c r="Q84" i="1"/>
  <c r="Q109" i="1"/>
  <c r="O59" i="1"/>
  <c r="O38" i="1"/>
  <c r="O33" i="1"/>
  <c r="O49" i="1"/>
  <c r="O57" i="1"/>
  <c r="O39" i="1"/>
  <c r="Q114" i="1"/>
  <c r="Q108" i="1"/>
  <c r="P40" i="1"/>
  <c r="P35" i="1"/>
  <c r="P74" i="1"/>
  <c r="P47" i="1"/>
  <c r="Q58" i="1"/>
  <c r="P79" i="1"/>
  <c r="Q29" i="1"/>
  <c r="Q40" i="1"/>
  <c r="Q35" i="1"/>
  <c r="Q73" i="1"/>
  <c r="Q83" i="1"/>
  <c r="Q38" i="1"/>
  <c r="Q118" i="1"/>
  <c r="Q89" i="1"/>
  <c r="P19" i="1"/>
  <c r="O85" i="1"/>
  <c r="P76" i="1"/>
  <c r="Q78" i="1"/>
  <c r="P104" i="1"/>
  <c r="O67" i="1"/>
  <c r="O46" i="1"/>
  <c r="O41" i="1"/>
  <c r="P69" i="1"/>
  <c r="O102" i="1"/>
  <c r="O74" i="1"/>
  <c r="O116" i="1"/>
  <c r="O111" i="1"/>
  <c r="P61" i="1"/>
  <c r="P72" i="1"/>
  <c r="P70" i="1"/>
  <c r="P80" i="1"/>
  <c r="P113" i="1"/>
  <c r="P78" i="1"/>
  <c r="O61" i="1"/>
  <c r="P117" i="1"/>
  <c r="Q51" i="1"/>
  <c r="Q112" i="1"/>
  <c r="Q33" i="1"/>
  <c r="Q77" i="1"/>
  <c r="Q42" i="1"/>
  <c r="Q111" i="1"/>
  <c r="O58" i="1"/>
  <c r="O76" i="1"/>
  <c r="Q75" i="1"/>
  <c r="P73" i="1"/>
  <c r="O106" i="1"/>
  <c r="P50" i="1"/>
  <c r="Q62" i="1"/>
  <c r="O65" i="1"/>
  <c r="Q101" i="1"/>
  <c r="V72" i="1"/>
  <c r="Q67" i="1"/>
  <c r="Q104" i="1"/>
  <c r="P105" i="1"/>
  <c r="P66" i="1"/>
  <c r="P59" i="1"/>
  <c r="T70" i="1"/>
  <c r="O110" i="1"/>
  <c r="T64" i="1"/>
  <c r="T84" i="1"/>
  <c r="Q71" i="1"/>
  <c r="O72" i="1"/>
  <c r="V98" i="1"/>
  <c r="Q115" i="1"/>
  <c r="Q45" i="1"/>
  <c r="V99" i="1"/>
  <c r="U110" i="1"/>
  <c r="P97" i="1"/>
  <c r="P52" i="1"/>
  <c r="P51" i="1"/>
  <c r="P68" i="1"/>
  <c r="T37" i="1"/>
  <c r="O94" i="1"/>
  <c r="T50" i="1"/>
  <c r="T95" i="1"/>
  <c r="V79" i="1"/>
  <c r="Q116" i="1"/>
  <c r="O114" i="1"/>
  <c r="O55" i="1"/>
  <c r="U83" i="1"/>
  <c r="O117" i="1"/>
  <c r="Q19" i="1"/>
  <c r="V58" i="1"/>
  <c r="Q20" i="1"/>
  <c r="V57" i="1"/>
  <c r="V74" i="1"/>
  <c r="V49" i="1"/>
  <c r="V38" i="1"/>
  <c r="P58" i="1"/>
  <c r="P87" i="1"/>
  <c r="P71" i="1"/>
  <c r="U87" i="1"/>
  <c r="U47" i="1"/>
  <c r="U32" i="1"/>
  <c r="U53" i="1"/>
  <c r="U74" i="1"/>
  <c r="U25" i="1"/>
  <c r="O82" i="1"/>
  <c r="T66" i="1"/>
  <c r="O89" i="1"/>
  <c r="O24" i="1"/>
  <c r="T43" i="1"/>
  <c r="T85" i="1"/>
  <c r="T41" i="1"/>
  <c r="Q93" i="1"/>
  <c r="Q47" i="1"/>
  <c r="O68" i="1"/>
  <c r="O92" i="1"/>
  <c r="O56" i="1"/>
  <c r="O80" i="1"/>
  <c r="O78" i="1"/>
  <c r="O43" i="1"/>
  <c r="Q23" i="1"/>
  <c r="Q82" i="1"/>
  <c r="P75" i="1"/>
  <c r="P24" i="1"/>
  <c r="O69" i="1"/>
  <c r="O64" i="1"/>
  <c r="O84" i="1"/>
  <c r="O42" i="1"/>
  <c r="O77" i="1"/>
  <c r="O70" i="1"/>
  <c r="O35" i="1"/>
  <c r="O32" i="1"/>
  <c r="P88" i="1"/>
  <c r="P28" i="1"/>
  <c r="Q86" i="1"/>
  <c r="Q91" i="1"/>
  <c r="Q41" i="1"/>
  <c r="Q64" i="1"/>
  <c r="Q61" i="1"/>
  <c r="P44" i="1"/>
  <c r="O96" i="1"/>
  <c r="O23" i="1"/>
  <c r="P92" i="1"/>
  <c r="P21" i="1"/>
  <c r="P42" i="1"/>
  <c r="P94" i="1"/>
  <c r="P25" i="1"/>
  <c r="P107" i="1"/>
  <c r="P22" i="1"/>
  <c r="P67" i="1"/>
  <c r="P39" i="1"/>
  <c r="P82" i="1"/>
  <c r="O50" i="1"/>
  <c r="O81" i="1"/>
  <c r="O113" i="1"/>
  <c r="O29" i="1"/>
  <c r="O118" i="1"/>
  <c r="O63" i="1"/>
  <c r="O62" i="1"/>
  <c r="O27" i="1"/>
  <c r="P41" i="1"/>
  <c r="H6" i="3" a="1"/>
  <c r="G6" i="3" a="1"/>
  <c r="F6" i="3" a="1"/>
  <c r="F5" i="3" a="1"/>
  <c r="G5" i="3" a="1"/>
  <c r="H5" i="3" a="1"/>
  <c r="U123" i="1" l="1"/>
  <c r="U124" i="1"/>
  <c r="U122" i="1"/>
  <c r="I7" i="4"/>
  <c r="I15" i="4" s="1"/>
  <c r="H7" i="4"/>
  <c r="H63" i="4" s="1"/>
  <c r="Q7" i="4"/>
  <c r="Q101" i="4" s="1"/>
  <c r="L7" i="4"/>
  <c r="L69" i="4" s="1"/>
  <c r="O7" i="4"/>
  <c r="O75" i="4" s="1"/>
  <c r="K7" i="4"/>
  <c r="K91" i="4" s="1"/>
  <c r="M7" i="4"/>
  <c r="M71" i="4" s="1"/>
  <c r="G8" i="4"/>
  <c r="G6" i="3"/>
  <c r="Q5" i="3" s="1"/>
  <c r="F6" i="3"/>
  <c r="Q4" i="3" s="1"/>
  <c r="H6" i="3"/>
  <c r="Q6" i="3" s="1"/>
  <c r="H5" i="3"/>
  <c r="P6" i="3" s="1"/>
  <c r="F5" i="3"/>
  <c r="G5" i="3"/>
  <c r="P5" i="3" s="1"/>
  <c r="H8" i="5"/>
  <c r="H88" i="5"/>
  <c r="L88" i="5" s="1"/>
  <c r="H126" i="5"/>
  <c r="L126" i="5" s="1"/>
  <c r="H73" i="5"/>
  <c r="L73" i="5" s="1"/>
  <c r="H44" i="5"/>
  <c r="L44" i="5" s="1"/>
  <c r="H106" i="5"/>
  <c r="L106" i="5" s="1"/>
  <c r="H34" i="5"/>
  <c r="L34" i="5" s="1"/>
  <c r="H113" i="5"/>
  <c r="L113" i="5" s="1"/>
  <c r="H60" i="5"/>
  <c r="L60" i="5" s="1"/>
  <c r="H129" i="5"/>
  <c r="L129" i="5" s="1"/>
  <c r="H124" i="5"/>
  <c r="L124" i="5" s="1"/>
  <c r="H90" i="5"/>
  <c r="L90" i="5" s="1"/>
  <c r="H15" i="5"/>
  <c r="L15" i="5" s="1"/>
  <c r="H59" i="5"/>
  <c r="L59" i="5" s="1"/>
  <c r="H87" i="5"/>
  <c r="L87" i="5" s="1"/>
  <c r="H117" i="5"/>
  <c r="L117" i="5" s="1"/>
  <c r="H65" i="5"/>
  <c r="L65" i="5" s="1"/>
  <c r="H52" i="5"/>
  <c r="L52" i="5" s="1"/>
  <c r="H82" i="5"/>
  <c r="L82" i="5" s="1"/>
  <c r="H10" i="5"/>
  <c r="L10" i="5" s="1"/>
  <c r="L131" i="5"/>
  <c r="H75" i="5"/>
  <c r="L75" i="5" s="1"/>
  <c r="H55" i="5"/>
  <c r="L55" i="5" s="1"/>
  <c r="H86" i="5"/>
  <c r="L86" i="5" s="1"/>
  <c r="H130" i="5"/>
  <c r="L130" i="5" s="1"/>
  <c r="H81" i="5"/>
  <c r="L81" i="5" s="1"/>
  <c r="H24" i="5"/>
  <c r="L24" i="5" s="1"/>
  <c r="H67" i="5"/>
  <c r="L67" i="5" s="1"/>
  <c r="H17" i="5"/>
  <c r="L17" i="5" s="1"/>
  <c r="H45" i="5"/>
  <c r="L45" i="5" s="1"/>
  <c r="H25" i="5"/>
  <c r="L25" i="5" s="1"/>
  <c r="H115" i="5"/>
  <c r="L115" i="5" s="1"/>
  <c r="H31" i="5"/>
  <c r="L31" i="5" s="1"/>
  <c r="H98" i="5"/>
  <c r="L98" i="5" s="1"/>
  <c r="H47" i="5"/>
  <c r="L47" i="5" s="1"/>
  <c r="H46" i="5"/>
  <c r="L46" i="5" s="1"/>
  <c r="H80" i="5"/>
  <c r="L80" i="5" s="1"/>
  <c r="H118" i="5"/>
  <c r="L118" i="5" s="1"/>
  <c r="H97" i="5"/>
  <c r="L97" i="5" s="1"/>
  <c r="H116" i="5"/>
  <c r="L116" i="5" s="1"/>
  <c r="H27" i="5"/>
  <c r="L27" i="5" s="1"/>
  <c r="H18" i="5"/>
  <c r="L18" i="5" s="1"/>
  <c r="H79" i="5"/>
  <c r="L79" i="5" s="1"/>
  <c r="H61" i="5"/>
  <c r="L61" i="5" s="1"/>
  <c r="H69" i="5"/>
  <c r="L69" i="5" s="1"/>
  <c r="H110" i="5"/>
  <c r="L110" i="5" s="1"/>
  <c r="H100" i="5"/>
  <c r="L100" i="5" s="1"/>
  <c r="H28" i="5"/>
  <c r="L28" i="5" s="1"/>
  <c r="H41" i="5"/>
  <c r="L41" i="5" s="1"/>
  <c r="H66" i="5"/>
  <c r="L66" i="5" s="1"/>
  <c r="H14" i="5"/>
  <c r="L14" i="5" s="1"/>
  <c r="H105" i="5"/>
  <c r="L105" i="5" s="1"/>
  <c r="H16" i="5"/>
  <c r="L16" i="5" s="1"/>
  <c r="H83" i="5"/>
  <c r="L83" i="5" s="1"/>
  <c r="H29" i="5"/>
  <c r="L29" i="5" s="1"/>
  <c r="H58" i="5"/>
  <c r="L58" i="5" s="1"/>
  <c r="H21" i="5"/>
  <c r="L21" i="5" s="1"/>
  <c r="H74" i="5"/>
  <c r="L74" i="5" s="1"/>
  <c r="H23" i="5"/>
  <c r="L23" i="5" s="1"/>
  <c r="H77" i="5"/>
  <c r="L77" i="5" s="1"/>
  <c r="H119" i="5"/>
  <c r="L119" i="5" s="1"/>
  <c r="H54" i="5"/>
  <c r="L54" i="5" s="1"/>
  <c r="H112" i="5"/>
  <c r="L112" i="5" s="1"/>
  <c r="H68" i="5"/>
  <c r="L68" i="5" s="1"/>
  <c r="H19" i="5"/>
  <c r="L19" i="5" s="1"/>
  <c r="H99" i="5"/>
  <c r="L99" i="5" s="1"/>
  <c r="H71" i="5"/>
  <c r="L71" i="5" s="1"/>
  <c r="H101" i="5"/>
  <c r="L101" i="5" s="1"/>
  <c r="H40" i="5"/>
  <c r="L40" i="5" s="1"/>
  <c r="H78" i="5"/>
  <c r="L78" i="5" s="1"/>
  <c r="H95" i="5"/>
  <c r="L95" i="5" s="1"/>
  <c r="H125" i="5"/>
  <c r="L125" i="5" s="1"/>
  <c r="H103" i="5"/>
  <c r="L103" i="5" s="1"/>
  <c r="H38" i="5"/>
  <c r="L38" i="5" s="1"/>
  <c r="H72" i="5"/>
  <c r="L72" i="5" s="1"/>
  <c r="H36" i="5"/>
  <c r="L36" i="5" s="1"/>
  <c r="H50" i="5"/>
  <c r="L50" i="5" s="1"/>
  <c r="H13" i="5"/>
  <c r="L13" i="5" s="1"/>
  <c r="H42" i="5"/>
  <c r="L42" i="5" s="1"/>
  <c r="H63" i="5"/>
  <c r="L63" i="5" s="1"/>
  <c r="H93" i="5"/>
  <c r="L93" i="5" s="1"/>
  <c r="H32" i="5"/>
  <c r="L32" i="5" s="1"/>
  <c r="H70" i="5"/>
  <c r="L70" i="5" s="1"/>
  <c r="H104" i="5"/>
  <c r="L104" i="5" s="1"/>
  <c r="H123" i="5"/>
  <c r="L123" i="5" s="1"/>
  <c r="H56" i="5"/>
  <c r="L56" i="5" s="1"/>
  <c r="H94" i="5"/>
  <c r="L94" i="5" s="1"/>
  <c r="H64" i="5"/>
  <c r="L64" i="5" s="1"/>
  <c r="H102" i="5"/>
  <c r="L102" i="5" s="1"/>
  <c r="H49" i="5"/>
  <c r="L49" i="5" s="1"/>
  <c r="H12" i="5"/>
  <c r="L12" i="5" s="1"/>
  <c r="H33" i="5"/>
  <c r="L33" i="5" s="1"/>
  <c r="H26" i="5"/>
  <c r="L26" i="5" s="1"/>
  <c r="H91" i="5"/>
  <c r="L91" i="5" s="1"/>
  <c r="H127" i="5"/>
  <c r="L127" i="5" s="1"/>
  <c r="H62" i="5"/>
  <c r="L62" i="5" s="1"/>
  <c r="H96" i="5"/>
  <c r="L96" i="5" s="1"/>
  <c r="H92" i="5"/>
  <c r="L92" i="5" s="1"/>
  <c r="H89" i="5"/>
  <c r="L89" i="5" s="1"/>
  <c r="H108" i="5"/>
  <c r="L108" i="5" s="1"/>
  <c r="H120" i="5"/>
  <c r="L120" i="5" s="1"/>
  <c r="H76" i="5"/>
  <c r="L76" i="5" s="1"/>
  <c r="H128" i="5"/>
  <c r="L128" i="5" s="1"/>
  <c r="H84" i="5"/>
  <c r="L84" i="5" s="1"/>
  <c r="H107" i="5"/>
  <c r="L107" i="5" s="1"/>
  <c r="H20" i="5"/>
  <c r="L20" i="5" s="1"/>
  <c r="H114" i="5"/>
  <c r="L114" i="5" s="1"/>
  <c r="H30" i="5"/>
  <c r="L30" i="5" s="1"/>
  <c r="H53" i="5"/>
  <c r="L53" i="5" s="1"/>
  <c r="H9" i="5"/>
  <c r="L9" i="5" s="1"/>
  <c r="H121" i="5"/>
  <c r="L121" i="5" s="1"/>
  <c r="H51" i="5"/>
  <c r="L51" i="5" s="1"/>
  <c r="H11" i="5"/>
  <c r="L11" i="5" s="1"/>
  <c r="H35" i="5"/>
  <c r="L35" i="5" s="1"/>
  <c r="H85" i="5"/>
  <c r="L85" i="5" s="1"/>
  <c r="H48" i="5"/>
  <c r="L48" i="5" s="1"/>
  <c r="H43" i="5"/>
  <c r="L43" i="5" s="1"/>
  <c r="H37" i="5"/>
  <c r="L37" i="5" s="1"/>
  <c r="H109" i="5"/>
  <c r="L109" i="5" s="1"/>
  <c r="H22" i="5"/>
  <c r="L22" i="5" s="1"/>
  <c r="H39" i="5"/>
  <c r="L39" i="5" s="1"/>
  <c r="H111" i="5"/>
  <c r="L111" i="5" s="1"/>
  <c r="H57" i="5"/>
  <c r="L57" i="5" s="1"/>
  <c r="H122" i="5"/>
  <c r="L122" i="5" s="1"/>
  <c r="R11" i="1"/>
  <c r="P9" i="2"/>
  <c r="R11" i="2"/>
  <c r="Q14" i="2"/>
  <c r="P17" i="2"/>
  <c r="R19" i="2"/>
  <c r="Q22" i="2"/>
  <c r="P25" i="2"/>
  <c r="R27" i="2"/>
  <c r="Q30" i="2"/>
  <c r="P33" i="2"/>
  <c r="R35" i="2"/>
  <c r="Q38" i="2"/>
  <c r="P41" i="2"/>
  <c r="R43" i="2"/>
  <c r="Q46" i="2"/>
  <c r="P49" i="2"/>
  <c r="R51" i="2"/>
  <c r="Q54" i="2"/>
  <c r="P57" i="2"/>
  <c r="R59" i="2"/>
  <c r="Q62" i="2"/>
  <c r="P65" i="2"/>
  <c r="R67" i="2"/>
  <c r="Q70" i="2"/>
  <c r="P73" i="2"/>
  <c r="R75" i="2"/>
  <c r="Q78" i="2"/>
  <c r="P81" i="2"/>
  <c r="R83" i="2"/>
  <c r="Q86" i="2"/>
  <c r="P89" i="2"/>
  <c r="R91" i="2"/>
  <c r="Q94" i="2"/>
  <c r="P97" i="2"/>
  <c r="R99" i="2"/>
  <c r="Q102" i="2"/>
  <c r="P105" i="2"/>
  <c r="R107" i="2"/>
  <c r="AB105" i="2" s="1"/>
  <c r="R9" i="2"/>
  <c r="Q12" i="2"/>
  <c r="P15" i="2"/>
  <c r="R17" i="2"/>
  <c r="Q20" i="2"/>
  <c r="P23" i="2"/>
  <c r="R25" i="2"/>
  <c r="Q28" i="2"/>
  <c r="P31" i="2"/>
  <c r="R33" i="2"/>
  <c r="Q36" i="2"/>
  <c r="P39" i="2"/>
  <c r="R41" i="2"/>
  <c r="Q44" i="2"/>
  <c r="P47" i="2"/>
  <c r="R49" i="2"/>
  <c r="Q52" i="2"/>
  <c r="P55" i="2"/>
  <c r="R57" i="2"/>
  <c r="Q60" i="2"/>
  <c r="P63" i="2"/>
  <c r="R65" i="2"/>
  <c r="Q68" i="2"/>
  <c r="P71" i="2"/>
  <c r="R73" i="2"/>
  <c r="Q76" i="2"/>
  <c r="P79" i="2"/>
  <c r="R81" i="2"/>
  <c r="Q84" i="2"/>
  <c r="P87" i="2"/>
  <c r="R89" i="2"/>
  <c r="Q92" i="2"/>
  <c r="P95" i="2"/>
  <c r="R97" i="2"/>
  <c r="Q100" i="2"/>
  <c r="P103" i="2"/>
  <c r="R105" i="2"/>
  <c r="Q8" i="2"/>
  <c r="R10" i="2"/>
  <c r="Q13" i="2"/>
  <c r="P16" i="2"/>
  <c r="R18" i="2"/>
  <c r="Q21" i="2"/>
  <c r="P24" i="2"/>
  <c r="R26" i="2"/>
  <c r="Q29" i="2"/>
  <c r="P32" i="2"/>
  <c r="R34" i="2"/>
  <c r="Q37" i="2"/>
  <c r="P40" i="2"/>
  <c r="R42" i="2"/>
  <c r="Q45" i="2"/>
  <c r="P48" i="2"/>
  <c r="R50" i="2"/>
  <c r="Q53" i="2"/>
  <c r="P56" i="2"/>
  <c r="R58" i="2"/>
  <c r="Q61" i="2"/>
  <c r="P64" i="2"/>
  <c r="R66" i="2"/>
  <c r="Q69" i="2"/>
  <c r="Q11" i="2"/>
  <c r="P14" i="2"/>
  <c r="R16" i="2"/>
  <c r="Q19" i="2"/>
  <c r="P22" i="2"/>
  <c r="R24" i="2"/>
  <c r="Q27" i="2"/>
  <c r="P30" i="2"/>
  <c r="R32" i="2"/>
  <c r="Q35" i="2"/>
  <c r="P38" i="2"/>
  <c r="R40" i="2"/>
  <c r="Q43" i="2"/>
  <c r="P46" i="2"/>
  <c r="R48" i="2"/>
  <c r="P11" i="2"/>
  <c r="Q16" i="2"/>
  <c r="R21" i="2"/>
  <c r="P27" i="2"/>
  <c r="Q32" i="2"/>
  <c r="R37" i="2"/>
  <c r="P43" i="2"/>
  <c r="Q48" i="2"/>
  <c r="P53" i="2"/>
  <c r="Q57" i="2"/>
  <c r="R61" i="2"/>
  <c r="P66" i="2"/>
  <c r="P70" i="2"/>
  <c r="P74" i="2"/>
  <c r="Q77" i="2"/>
  <c r="R80" i="2"/>
  <c r="R84" i="2"/>
  <c r="P88" i="2"/>
  <c r="Q91" i="2"/>
  <c r="Q95" i="2"/>
  <c r="R98" i="2"/>
  <c r="P102" i="2"/>
  <c r="P106" i="2"/>
  <c r="Q18" i="2"/>
  <c r="R23" i="2"/>
  <c r="P29" i="2"/>
  <c r="Q34" i="2"/>
  <c r="R39" i="2"/>
  <c r="P45" i="2"/>
  <c r="Q50" i="2"/>
  <c r="R54" i="2"/>
  <c r="P59" i="2"/>
  <c r="Q63" i="2"/>
  <c r="Q67" i="2"/>
  <c r="R71" i="2"/>
  <c r="P75" i="2"/>
  <c r="R78" i="2"/>
  <c r="Q82" i="2"/>
  <c r="R85" i="2"/>
  <c r="Q89" i="2"/>
  <c r="Q96" i="2"/>
  <c r="P100" i="2"/>
  <c r="R103" i="2"/>
  <c r="P107" i="2"/>
  <c r="AB103" i="2" s="1"/>
  <c r="P12" i="2"/>
  <c r="Q17" i="2"/>
  <c r="R22" i="2"/>
  <c r="P28" i="2"/>
  <c r="Q33" i="2"/>
  <c r="R38" i="2"/>
  <c r="P44" i="2"/>
  <c r="Q49" i="2"/>
  <c r="R53" i="2"/>
  <c r="P58" i="2"/>
  <c r="P62" i="2"/>
  <c r="Q66" i="2"/>
  <c r="R70" i="2"/>
  <c r="Q74" i="2"/>
  <c r="R77" i="2"/>
  <c r="Q81" i="2"/>
  <c r="P85" i="2"/>
  <c r="Q88" i="2"/>
  <c r="P92" i="2"/>
  <c r="R95" i="2"/>
  <c r="P99" i="2"/>
  <c r="R102" i="2"/>
  <c r="Q106" i="2"/>
  <c r="P13" i="2"/>
  <c r="P93" i="2"/>
  <c r="R12" i="2"/>
  <c r="P18" i="2"/>
  <c r="Q23" i="2"/>
  <c r="R28" i="2"/>
  <c r="P34" i="2"/>
  <c r="Q39" i="2"/>
  <c r="R44" i="2"/>
  <c r="P50" i="2"/>
  <c r="P54" i="2"/>
  <c r="Q58" i="2"/>
  <c r="R62" i="2"/>
  <c r="P67" i="2"/>
  <c r="Q71" i="2"/>
  <c r="R74" i="2"/>
  <c r="P78" i="2"/>
  <c r="P82" i="2"/>
  <c r="Q85" i="2"/>
  <c r="R88" i="2"/>
  <c r="R92" i="2"/>
  <c r="P96" i="2"/>
  <c r="Q99" i="2"/>
  <c r="Q103" i="2"/>
  <c r="R106" i="2"/>
  <c r="P10" i="2"/>
  <c r="Q15" i="2"/>
  <c r="R20" i="2"/>
  <c r="P26" i="2"/>
  <c r="Q31" i="2"/>
  <c r="R36" i="2"/>
  <c r="P42" i="2"/>
  <c r="Q47" i="2"/>
  <c r="P52" i="2"/>
  <c r="Q56" i="2"/>
  <c r="R60" i="2"/>
  <c r="R64" i="2"/>
  <c r="P69" i="2"/>
  <c r="R72" i="2"/>
  <c r="R76" i="2"/>
  <c r="P80" i="2"/>
  <c r="Q83" i="2"/>
  <c r="Q87" i="2"/>
  <c r="R90" i="2"/>
  <c r="P94" i="2"/>
  <c r="P98" i="2"/>
  <c r="Q101" i="2"/>
  <c r="R104" i="2"/>
  <c r="P8" i="2"/>
  <c r="P84" i="2"/>
  <c r="Q10" i="2"/>
  <c r="R15" i="2"/>
  <c r="P21" i="2"/>
  <c r="Q26" i="2"/>
  <c r="R31" i="2"/>
  <c r="P37" i="2"/>
  <c r="Q42" i="2"/>
  <c r="R47" i="2"/>
  <c r="R52" i="2"/>
  <c r="R56" i="2"/>
  <c r="P61" i="2"/>
  <c r="Q65" i="2"/>
  <c r="R69" i="2"/>
  <c r="Q73" i="2"/>
  <c r="P77" i="2"/>
  <c r="Q80" i="2"/>
  <c r="R87" i="2"/>
  <c r="P91" i="2"/>
  <c r="R94" i="2"/>
  <c r="Q98" i="2"/>
  <c r="R101" i="2"/>
  <c r="Q105" i="2"/>
  <c r="R14" i="2"/>
  <c r="P36" i="2"/>
  <c r="R55" i="2"/>
  <c r="Q72" i="2"/>
  <c r="R86" i="2"/>
  <c r="P101" i="2"/>
  <c r="P19" i="2"/>
  <c r="Q40" i="2"/>
  <c r="Q59" i="2"/>
  <c r="Q75" i="2"/>
  <c r="P90" i="2"/>
  <c r="P104" i="2"/>
  <c r="P20" i="2"/>
  <c r="Q41" i="2"/>
  <c r="P60" i="2"/>
  <c r="P76" i="2"/>
  <c r="Q90" i="2"/>
  <c r="Q104" i="2"/>
  <c r="Q24" i="2"/>
  <c r="R45" i="2"/>
  <c r="R63" i="2"/>
  <c r="Q79" i="2"/>
  <c r="Q93" i="2"/>
  <c r="Q107" i="2"/>
  <c r="AB104" i="2" s="1"/>
  <c r="Q25" i="2"/>
  <c r="R46" i="2"/>
  <c r="Q64" i="2"/>
  <c r="R79" i="2"/>
  <c r="R8" i="2"/>
  <c r="R29" i="2"/>
  <c r="P51" i="2"/>
  <c r="P68" i="2"/>
  <c r="R82" i="2"/>
  <c r="R96" i="2"/>
  <c r="Q9" i="2"/>
  <c r="R30" i="2"/>
  <c r="Q51" i="2"/>
  <c r="R68" i="2"/>
  <c r="P83" i="2"/>
  <c r="Q97" i="2"/>
  <c r="R13" i="2"/>
  <c r="Q55" i="2"/>
  <c r="P72" i="2"/>
  <c r="P86" i="2"/>
  <c r="R100" i="2"/>
  <c r="R93" i="2"/>
  <c r="P35" i="2"/>
  <c r="P106" i="4"/>
  <c r="P8" i="4"/>
  <c r="P51" i="4"/>
  <c r="P59" i="4"/>
  <c r="P30" i="4"/>
  <c r="P94" i="4"/>
  <c r="P57" i="4"/>
  <c r="P44" i="4"/>
  <c r="P15" i="4"/>
  <c r="P93" i="4"/>
  <c r="P13" i="4"/>
  <c r="P55" i="4"/>
  <c r="P67" i="4"/>
  <c r="P35" i="4"/>
  <c r="P99" i="4"/>
  <c r="P70" i="4"/>
  <c r="P33" i="4"/>
  <c r="P75" i="4"/>
  <c r="P62" i="4"/>
  <c r="P49" i="4"/>
  <c r="P52" i="4"/>
  <c r="P31" i="4"/>
  <c r="P50" i="4"/>
  <c r="P103" i="4"/>
  <c r="P42" i="4"/>
  <c r="P53" i="4"/>
  <c r="P95" i="4"/>
  <c r="P83" i="4"/>
  <c r="P78" i="4"/>
  <c r="P65" i="4"/>
  <c r="P60" i="4"/>
  <c r="P39" i="4"/>
  <c r="P71" i="4"/>
  <c r="P40" i="4"/>
  <c r="P72" i="4"/>
  <c r="P90" i="4"/>
  <c r="P45" i="4"/>
  <c r="P91" i="4"/>
  <c r="P86" i="4"/>
  <c r="P73" i="4"/>
  <c r="P68" i="4"/>
  <c r="P47" i="4"/>
  <c r="P98" i="4"/>
  <c r="P64" i="4"/>
  <c r="P88" i="4"/>
  <c r="P21" i="4"/>
  <c r="P34" i="4"/>
  <c r="P85" i="4"/>
  <c r="P37" i="4"/>
  <c r="P11" i="4"/>
  <c r="P22" i="4"/>
  <c r="P9" i="4"/>
  <c r="P89" i="4"/>
  <c r="P84" i="4"/>
  <c r="P20" i="4"/>
  <c r="P96" i="4"/>
  <c r="P56" i="4"/>
  <c r="P18" i="4"/>
  <c r="P74" i="4"/>
  <c r="P54" i="4"/>
  <c r="P36" i="4"/>
  <c r="P61" i="4"/>
  <c r="P80" i="4"/>
  <c r="P58" i="4"/>
  <c r="P102" i="4"/>
  <c r="P76" i="4"/>
  <c r="P82" i="4"/>
  <c r="P24" i="4"/>
  <c r="P79" i="4"/>
  <c r="P19" i="4"/>
  <c r="P17" i="4"/>
  <c r="P92" i="4"/>
  <c r="P48" i="4"/>
  <c r="P16" i="4"/>
  <c r="P27" i="4"/>
  <c r="P25" i="4"/>
  <c r="P100" i="4"/>
  <c r="P32" i="4"/>
  <c r="P66" i="4"/>
  <c r="P63" i="4"/>
  <c r="P10" i="4"/>
  <c r="P43" i="4"/>
  <c r="P41" i="4"/>
  <c r="P23" i="4"/>
  <c r="P26" i="4"/>
  <c r="P101" i="4"/>
  <c r="P14" i="4"/>
  <c r="P81" i="4"/>
  <c r="P12" i="4"/>
  <c r="P87" i="4"/>
  <c r="P38" i="4"/>
  <c r="P97" i="4"/>
  <c r="P28" i="4"/>
  <c r="P69" i="4"/>
  <c r="P46" i="4"/>
  <c r="P105" i="4"/>
  <c r="P77" i="4"/>
  <c r="P29" i="4"/>
  <c r="P104" i="4"/>
  <c r="M23" i="2"/>
  <c r="L24" i="2"/>
  <c r="K25" i="2"/>
  <c r="M31" i="2"/>
  <c r="L32" i="2"/>
  <c r="K33" i="2"/>
  <c r="M39" i="2"/>
  <c r="L40" i="2"/>
  <c r="K41" i="2"/>
  <c r="M47" i="2"/>
  <c r="L48" i="2"/>
  <c r="K49" i="2"/>
  <c r="M55" i="2"/>
  <c r="L56" i="2"/>
  <c r="K57" i="2"/>
  <c r="M63" i="2"/>
  <c r="L64" i="2"/>
  <c r="K65" i="2"/>
  <c r="M71" i="2"/>
  <c r="L72" i="2"/>
  <c r="K73" i="2"/>
  <c r="M79" i="2"/>
  <c r="L80" i="2"/>
  <c r="K81" i="2"/>
  <c r="M87" i="2"/>
  <c r="L88" i="2"/>
  <c r="K89" i="2"/>
  <c r="M95" i="2"/>
  <c r="L96" i="2"/>
  <c r="K97" i="2"/>
  <c r="M103" i="2"/>
  <c r="L104" i="2"/>
  <c r="K105" i="2"/>
  <c r="K8" i="2"/>
  <c r="L98" i="2"/>
  <c r="K10" i="2"/>
  <c r="L13" i="2"/>
  <c r="L16" i="2"/>
  <c r="K14" i="2"/>
  <c r="K15" i="2"/>
  <c r="M24" i="2"/>
  <c r="L25" i="2"/>
  <c r="K26" i="2"/>
  <c r="M32" i="2"/>
  <c r="L33" i="2"/>
  <c r="K34" i="2"/>
  <c r="M40" i="2"/>
  <c r="L41" i="2"/>
  <c r="K42" i="2"/>
  <c r="M48" i="2"/>
  <c r="L49" i="2"/>
  <c r="K50" i="2"/>
  <c r="M56" i="2"/>
  <c r="L57" i="2"/>
  <c r="K58" i="2"/>
  <c r="M64" i="2"/>
  <c r="L65" i="2"/>
  <c r="K66" i="2"/>
  <c r="M72" i="2"/>
  <c r="L73" i="2"/>
  <c r="K74" i="2"/>
  <c r="M80" i="2"/>
  <c r="L81" i="2"/>
  <c r="K82" i="2"/>
  <c r="M88" i="2"/>
  <c r="L89" i="2"/>
  <c r="K90" i="2"/>
  <c r="M96" i="2"/>
  <c r="L97" i="2"/>
  <c r="K98" i="2"/>
  <c r="M104" i="2"/>
  <c r="L105" i="2"/>
  <c r="K106" i="2"/>
  <c r="K83" i="2"/>
  <c r="K99" i="2"/>
  <c r="M105" i="2"/>
  <c r="K107" i="2"/>
  <c r="AA103" i="2" s="1"/>
  <c r="K11" i="2"/>
  <c r="M15" i="2"/>
  <c r="K17" i="2"/>
  <c r="M26" i="2"/>
  <c r="K13" i="2"/>
  <c r="L14" i="2"/>
  <c r="L15" i="2"/>
  <c r="K16" i="2"/>
  <c r="M25" i="2"/>
  <c r="L26" i="2"/>
  <c r="K27" i="2"/>
  <c r="M33" i="2"/>
  <c r="L34" i="2"/>
  <c r="K35" i="2"/>
  <c r="M41" i="2"/>
  <c r="L42" i="2"/>
  <c r="K43" i="2"/>
  <c r="M49" i="2"/>
  <c r="L50" i="2"/>
  <c r="K51" i="2"/>
  <c r="M57" i="2"/>
  <c r="L58" i="2"/>
  <c r="K59" i="2"/>
  <c r="M65" i="2"/>
  <c r="L66" i="2"/>
  <c r="K67" i="2"/>
  <c r="M73" i="2"/>
  <c r="L74" i="2"/>
  <c r="K75" i="2"/>
  <c r="M81" i="2"/>
  <c r="L82" i="2"/>
  <c r="M89" i="2"/>
  <c r="L90" i="2"/>
  <c r="K91" i="2"/>
  <c r="M97" i="2"/>
  <c r="L106" i="2"/>
  <c r="K12" i="2"/>
  <c r="M14" i="2"/>
  <c r="L27" i="2"/>
  <c r="K9" i="2"/>
  <c r="M9" i="2"/>
  <c r="M18" i="2"/>
  <c r="L19" i="2"/>
  <c r="L20" i="2"/>
  <c r="M21" i="2"/>
  <c r="L22" i="2"/>
  <c r="K23" i="2"/>
  <c r="M29" i="2"/>
  <c r="L30" i="2"/>
  <c r="K31" i="2"/>
  <c r="M37" i="2"/>
  <c r="L38" i="2"/>
  <c r="K39" i="2"/>
  <c r="M45" i="2"/>
  <c r="L46" i="2"/>
  <c r="K47" i="2"/>
  <c r="M53" i="2"/>
  <c r="L54" i="2"/>
  <c r="K55" i="2"/>
  <c r="M61" i="2"/>
  <c r="L62" i="2"/>
  <c r="K63" i="2"/>
  <c r="M69" i="2"/>
  <c r="L70" i="2"/>
  <c r="K71" i="2"/>
  <c r="M77" i="2"/>
  <c r="L78" i="2"/>
  <c r="K79" i="2"/>
  <c r="M85" i="2"/>
  <c r="L86" i="2"/>
  <c r="K87" i="2"/>
  <c r="M93" i="2"/>
  <c r="L94" i="2"/>
  <c r="K95" i="2"/>
  <c r="M101" i="2"/>
  <c r="L102" i="2"/>
  <c r="K103" i="2"/>
  <c r="M8" i="2"/>
  <c r="M19" i="2"/>
  <c r="M20" i="2"/>
  <c r="M22" i="2"/>
  <c r="L23" i="2"/>
  <c r="K24" i="2"/>
  <c r="M30" i="2"/>
  <c r="L31" i="2"/>
  <c r="K32" i="2"/>
  <c r="M12" i="2"/>
  <c r="L18" i="2"/>
  <c r="K37" i="2"/>
  <c r="M38" i="2"/>
  <c r="K45" i="2"/>
  <c r="M46" i="2"/>
  <c r="K53" i="2"/>
  <c r="M54" i="2"/>
  <c r="K61" i="2"/>
  <c r="M62" i="2"/>
  <c r="K69" i="2"/>
  <c r="M70" i="2"/>
  <c r="K77" i="2"/>
  <c r="M78" i="2"/>
  <c r="K85" i="2"/>
  <c r="M86" i="2"/>
  <c r="K93" i="2"/>
  <c r="M94" i="2"/>
  <c r="K101" i="2"/>
  <c r="M102" i="2"/>
  <c r="K29" i="2"/>
  <c r="L51" i="2"/>
  <c r="L59" i="2"/>
  <c r="L75" i="2"/>
  <c r="L83" i="2"/>
  <c r="L8" i="2"/>
  <c r="K40" i="2"/>
  <c r="K96" i="2"/>
  <c r="K104" i="2"/>
  <c r="L9" i="2"/>
  <c r="M27" i="2"/>
  <c r="K36" i="2"/>
  <c r="L37" i="2"/>
  <c r="K44" i="2"/>
  <c r="L45" i="2"/>
  <c r="K52" i="2"/>
  <c r="L53" i="2"/>
  <c r="K60" i="2"/>
  <c r="L61" i="2"/>
  <c r="K68" i="2"/>
  <c r="L69" i="2"/>
  <c r="K76" i="2"/>
  <c r="L77" i="2"/>
  <c r="K84" i="2"/>
  <c r="L85" i="2"/>
  <c r="K92" i="2"/>
  <c r="L93" i="2"/>
  <c r="K100" i="2"/>
  <c r="L101" i="2"/>
  <c r="M11" i="2"/>
  <c r="M36" i="2"/>
  <c r="M44" i="2"/>
  <c r="M60" i="2"/>
  <c r="M84" i="2"/>
  <c r="M13" i="2"/>
  <c r="K22" i="2"/>
  <c r="L35" i="2"/>
  <c r="L91" i="2"/>
  <c r="L99" i="2"/>
  <c r="L10" i="2"/>
  <c r="K28" i="2"/>
  <c r="K48" i="2"/>
  <c r="K56" i="2"/>
  <c r="K64" i="2"/>
  <c r="K72" i="2"/>
  <c r="M91" i="2"/>
  <c r="L11" i="2"/>
  <c r="L17" i="2"/>
  <c r="K20" i="2"/>
  <c r="L36" i="2"/>
  <c r="L44" i="2"/>
  <c r="L52" i="2"/>
  <c r="L60" i="2"/>
  <c r="L68" i="2"/>
  <c r="L76" i="2"/>
  <c r="L84" i="2"/>
  <c r="L92" i="2"/>
  <c r="L100" i="2"/>
  <c r="M17" i="2"/>
  <c r="K30" i="2"/>
  <c r="M52" i="2"/>
  <c r="M68" i="2"/>
  <c r="M76" i="2"/>
  <c r="M92" i="2"/>
  <c r="M100" i="2"/>
  <c r="L43" i="2"/>
  <c r="L67" i="2"/>
  <c r="L107" i="2"/>
  <c r="AA104" i="2" s="1"/>
  <c r="K19" i="2"/>
  <c r="L29" i="2"/>
  <c r="M43" i="2"/>
  <c r="M59" i="2"/>
  <c r="M67" i="2"/>
  <c r="K80" i="2"/>
  <c r="M99" i="2"/>
  <c r="M10" i="2"/>
  <c r="M16" i="2"/>
  <c r="K21" i="2"/>
  <c r="L28" i="2"/>
  <c r="L12" i="2"/>
  <c r="K18" i="2"/>
  <c r="L21" i="2"/>
  <c r="M28" i="2"/>
  <c r="M34" i="2"/>
  <c r="K38" i="2"/>
  <c r="L39" i="2"/>
  <c r="M42" i="2"/>
  <c r="K46" i="2"/>
  <c r="L47" i="2"/>
  <c r="M50" i="2"/>
  <c r="K54" i="2"/>
  <c r="L55" i="2"/>
  <c r="M58" i="2"/>
  <c r="K62" i="2"/>
  <c r="L63" i="2"/>
  <c r="M66" i="2"/>
  <c r="K70" i="2"/>
  <c r="L71" i="2"/>
  <c r="M74" i="2"/>
  <c r="K78" i="2"/>
  <c r="L79" i="2"/>
  <c r="M82" i="2"/>
  <c r="K86" i="2"/>
  <c r="L87" i="2"/>
  <c r="M90" i="2"/>
  <c r="K94" i="2"/>
  <c r="L95" i="2"/>
  <c r="M98" i="2"/>
  <c r="K102" i="2"/>
  <c r="L103" i="2"/>
  <c r="M106" i="2"/>
  <c r="M35" i="2"/>
  <c r="M51" i="2"/>
  <c r="M75" i="2"/>
  <c r="M83" i="2"/>
  <c r="K88" i="2"/>
  <c r="M107" i="2"/>
  <c r="AA105" i="2" s="1"/>
  <c r="U8" i="2"/>
  <c r="W13" i="2"/>
  <c r="W14" i="2"/>
  <c r="V15" i="2"/>
  <c r="U16" i="2"/>
  <c r="W25" i="2"/>
  <c r="V26" i="2"/>
  <c r="U27" i="2"/>
  <c r="W33" i="2"/>
  <c r="V34" i="2"/>
  <c r="U35" i="2"/>
  <c r="W41" i="2"/>
  <c r="V42" i="2"/>
  <c r="U43" i="2"/>
  <c r="W49" i="2"/>
  <c r="V50" i="2"/>
  <c r="U51" i="2"/>
  <c r="W57" i="2"/>
  <c r="V58" i="2"/>
  <c r="U59" i="2"/>
  <c r="W65" i="2"/>
  <c r="V66" i="2"/>
  <c r="U67" i="2"/>
  <c r="W73" i="2"/>
  <c r="V74" i="2"/>
  <c r="U75" i="2"/>
  <c r="W81" i="2"/>
  <c r="V82" i="2"/>
  <c r="U83" i="2"/>
  <c r="W89" i="2"/>
  <c r="V90" i="2"/>
  <c r="U91" i="2"/>
  <c r="W97" i="2"/>
  <c r="V98" i="2"/>
  <c r="U99" i="2"/>
  <c r="W105" i="2"/>
  <c r="V106" i="2"/>
  <c r="W107" i="2"/>
  <c r="V8" i="2"/>
  <c r="W17" i="2"/>
  <c r="U20" i="2"/>
  <c r="U22" i="2"/>
  <c r="U107" i="2"/>
  <c r="V10" i="2"/>
  <c r="U11" i="2"/>
  <c r="U12" i="2"/>
  <c r="W15" i="2"/>
  <c r="V16" i="2"/>
  <c r="U17" i="2"/>
  <c r="W26" i="2"/>
  <c r="V27" i="2"/>
  <c r="U28" i="2"/>
  <c r="W34" i="2"/>
  <c r="V35" i="2"/>
  <c r="U36" i="2"/>
  <c r="W42" i="2"/>
  <c r="V43" i="2"/>
  <c r="U44" i="2"/>
  <c r="W50" i="2"/>
  <c r="V51" i="2"/>
  <c r="U52" i="2"/>
  <c r="W58" i="2"/>
  <c r="V59" i="2"/>
  <c r="U60" i="2"/>
  <c r="W66" i="2"/>
  <c r="V67" i="2"/>
  <c r="U68" i="2"/>
  <c r="W74" i="2"/>
  <c r="V75" i="2"/>
  <c r="U76" i="2"/>
  <c r="W82" i="2"/>
  <c r="V83" i="2"/>
  <c r="U84" i="2"/>
  <c r="W90" i="2"/>
  <c r="V91" i="2"/>
  <c r="U92" i="2"/>
  <c r="W98" i="2"/>
  <c r="V99" i="2"/>
  <c r="U100" i="2"/>
  <c r="W106" i="2"/>
  <c r="W8" i="2"/>
  <c r="U19" i="2"/>
  <c r="V107" i="2"/>
  <c r="V9" i="2"/>
  <c r="W10" i="2"/>
  <c r="V11" i="2"/>
  <c r="W16" i="2"/>
  <c r="V17" i="2"/>
  <c r="U18" i="2"/>
  <c r="U21" i="2"/>
  <c r="W27" i="2"/>
  <c r="V28" i="2"/>
  <c r="U29" i="2"/>
  <c r="W35" i="2"/>
  <c r="V36" i="2"/>
  <c r="U37" i="2"/>
  <c r="W43" i="2"/>
  <c r="V44" i="2"/>
  <c r="U45" i="2"/>
  <c r="W51" i="2"/>
  <c r="V52" i="2"/>
  <c r="U53" i="2"/>
  <c r="W59" i="2"/>
  <c r="V60" i="2"/>
  <c r="U61" i="2"/>
  <c r="W67" i="2"/>
  <c r="V68" i="2"/>
  <c r="U69" i="2"/>
  <c r="W75" i="2"/>
  <c r="V76" i="2"/>
  <c r="U77" i="2"/>
  <c r="W83" i="2"/>
  <c r="V84" i="2"/>
  <c r="U85" i="2"/>
  <c r="W91" i="2"/>
  <c r="V92" i="2"/>
  <c r="U93" i="2"/>
  <c r="W99" i="2"/>
  <c r="V100" i="2"/>
  <c r="U101" i="2"/>
  <c r="V18" i="2"/>
  <c r="V21" i="2"/>
  <c r="W23" i="2"/>
  <c r="V24" i="2"/>
  <c r="U25" i="2"/>
  <c r="W31" i="2"/>
  <c r="V32" i="2"/>
  <c r="U33" i="2"/>
  <c r="W39" i="2"/>
  <c r="V40" i="2"/>
  <c r="U41" i="2"/>
  <c r="W47" i="2"/>
  <c r="V48" i="2"/>
  <c r="U49" i="2"/>
  <c r="W55" i="2"/>
  <c r="V56" i="2"/>
  <c r="U57" i="2"/>
  <c r="W63" i="2"/>
  <c r="V64" i="2"/>
  <c r="U65" i="2"/>
  <c r="W71" i="2"/>
  <c r="V72" i="2"/>
  <c r="U73" i="2"/>
  <c r="W79" i="2"/>
  <c r="V80" i="2"/>
  <c r="U81" i="2"/>
  <c r="W87" i="2"/>
  <c r="V88" i="2"/>
  <c r="U89" i="2"/>
  <c r="W95" i="2"/>
  <c r="V96" i="2"/>
  <c r="U97" i="2"/>
  <c r="W103" i="2"/>
  <c r="V104" i="2"/>
  <c r="U105" i="2"/>
  <c r="V14" i="2"/>
  <c r="U15" i="2"/>
  <c r="W24" i="2"/>
  <c r="V25" i="2"/>
  <c r="U26" i="2"/>
  <c r="W32" i="2"/>
  <c r="V22" i="2"/>
  <c r="V30" i="2"/>
  <c r="W21" i="2"/>
  <c r="U34" i="2"/>
  <c r="U42" i="2"/>
  <c r="U50" i="2"/>
  <c r="U55" i="2"/>
  <c r="U63" i="2"/>
  <c r="U71" i="2"/>
  <c r="U82" i="2"/>
  <c r="U90" i="2"/>
  <c r="U98" i="2"/>
  <c r="U106" i="2"/>
  <c r="V39" i="2"/>
  <c r="U46" i="2"/>
  <c r="V63" i="2"/>
  <c r="V87" i="2"/>
  <c r="U23" i="2"/>
  <c r="U31" i="2"/>
  <c r="V46" i="2"/>
  <c r="V54" i="2"/>
  <c r="V62" i="2"/>
  <c r="V70" i="2"/>
  <c r="V78" i="2"/>
  <c r="V86" i="2"/>
  <c r="V19" i="2"/>
  <c r="W22" i="2"/>
  <c r="V29" i="2"/>
  <c r="W30" i="2"/>
  <c r="U40" i="2"/>
  <c r="U48" i="2"/>
  <c r="U56" i="2"/>
  <c r="U64" i="2"/>
  <c r="U72" i="2"/>
  <c r="U80" i="2"/>
  <c r="U88" i="2"/>
  <c r="U96" i="2"/>
  <c r="U104" i="2"/>
  <c r="W28" i="2"/>
  <c r="U47" i="2"/>
  <c r="U66" i="2"/>
  <c r="U74" i="2"/>
  <c r="U95" i="2"/>
  <c r="U103" i="2"/>
  <c r="V47" i="2"/>
  <c r="V55" i="2"/>
  <c r="U62" i="2"/>
  <c r="U70" i="2"/>
  <c r="U78" i="2"/>
  <c r="U86" i="2"/>
  <c r="V95" i="2"/>
  <c r="V103" i="2"/>
  <c r="V37" i="2"/>
  <c r="V77" i="2"/>
  <c r="V85" i="2"/>
  <c r="V102" i="2"/>
  <c r="U24" i="2"/>
  <c r="W29" i="2"/>
  <c r="U32" i="2"/>
  <c r="W40" i="2"/>
  <c r="W48" i="2"/>
  <c r="W56" i="2"/>
  <c r="W64" i="2"/>
  <c r="W72" i="2"/>
  <c r="W80" i="2"/>
  <c r="W88" i="2"/>
  <c r="W96" i="2"/>
  <c r="W104" i="2"/>
  <c r="U39" i="2"/>
  <c r="U58" i="2"/>
  <c r="U79" i="2"/>
  <c r="U87" i="2"/>
  <c r="W18" i="2"/>
  <c r="U38" i="2"/>
  <c r="U54" i="2"/>
  <c r="V71" i="2"/>
  <c r="V79" i="2"/>
  <c r="U94" i="2"/>
  <c r="U102" i="2"/>
  <c r="V38" i="2"/>
  <c r="V53" i="2"/>
  <c r="V93" i="2"/>
  <c r="V23" i="2"/>
  <c r="V31" i="2"/>
  <c r="V33" i="2"/>
  <c r="W37" i="2"/>
  <c r="W38" i="2"/>
  <c r="V41" i="2"/>
  <c r="W45" i="2"/>
  <c r="W46" i="2"/>
  <c r="V49" i="2"/>
  <c r="W53" i="2"/>
  <c r="W54" i="2"/>
  <c r="V57" i="2"/>
  <c r="W61" i="2"/>
  <c r="W62" i="2"/>
  <c r="V65" i="2"/>
  <c r="W69" i="2"/>
  <c r="W70" i="2"/>
  <c r="V73" i="2"/>
  <c r="W77" i="2"/>
  <c r="W78" i="2"/>
  <c r="V81" i="2"/>
  <c r="W85" i="2"/>
  <c r="W86" i="2"/>
  <c r="V89" i="2"/>
  <c r="W93" i="2"/>
  <c r="W94" i="2"/>
  <c r="V97" i="2"/>
  <c r="W101" i="2"/>
  <c r="W102" i="2"/>
  <c r="V105" i="2"/>
  <c r="U30" i="2"/>
  <c r="W36" i="2"/>
  <c r="W44" i="2"/>
  <c r="W52" i="2"/>
  <c r="W60" i="2"/>
  <c r="W68" i="2"/>
  <c r="W76" i="2"/>
  <c r="W84" i="2"/>
  <c r="W92" i="2"/>
  <c r="W100" i="2"/>
  <c r="V45" i="2"/>
  <c r="V61" i="2"/>
  <c r="V69" i="2"/>
  <c r="V94" i="2"/>
  <c r="V101" i="2"/>
  <c r="V12" i="2"/>
  <c r="W20" i="2"/>
  <c r="W11" i="2"/>
  <c r="U14" i="2"/>
  <c r="W9" i="2"/>
  <c r="V13" i="2"/>
  <c r="U10" i="2"/>
  <c r="W12" i="2"/>
  <c r="U9" i="2"/>
  <c r="V20" i="2"/>
  <c r="W19" i="2"/>
  <c r="U13" i="2"/>
  <c r="AA20" i="1"/>
  <c r="Y29" i="1"/>
  <c r="Y93" i="1"/>
  <c r="Y32" i="1"/>
  <c r="Y96" i="1"/>
  <c r="Y33" i="1"/>
  <c r="Y60" i="1"/>
  <c r="Y26" i="1"/>
  <c r="Y114" i="1"/>
  <c r="Y83" i="1"/>
  <c r="Y28" i="1"/>
  <c r="Y94" i="1"/>
  <c r="Y76" i="1"/>
  <c r="AA77" i="1"/>
  <c r="Z58" i="1"/>
  <c r="Z69" i="1"/>
  <c r="Z55" i="1"/>
  <c r="Z43" i="1"/>
  <c r="Z107" i="1"/>
  <c r="Z72" i="1"/>
  <c r="Z80" i="1"/>
  <c r="Z65" i="1"/>
  <c r="Z102" i="1"/>
  <c r="AA31" i="1"/>
  <c r="AA95" i="1"/>
  <c r="AA50" i="1"/>
  <c r="AA114" i="1"/>
  <c r="AA59" i="1"/>
  <c r="AA113" i="1"/>
  <c r="AA93" i="1"/>
  <c r="AA53" i="1"/>
  <c r="AA19" i="1"/>
  <c r="AA32" i="1"/>
  <c r="AA102" i="1"/>
  <c r="AA54" i="1"/>
  <c r="AA28" i="1"/>
  <c r="Y37" i="1"/>
  <c r="Y101" i="1"/>
  <c r="Y40" i="1"/>
  <c r="Y104" i="1"/>
  <c r="Y41" i="1"/>
  <c r="Y71" i="1"/>
  <c r="Y35" i="1"/>
  <c r="Y118" i="1"/>
  <c r="S122" i="1" s="1"/>
  <c r="Y97" i="1"/>
  <c r="Y62" i="1"/>
  <c r="Y108" i="1"/>
  <c r="Y58" i="1"/>
  <c r="Y42" i="1"/>
  <c r="Y90" i="1"/>
  <c r="AA36" i="1"/>
  <c r="Z66" i="1"/>
  <c r="Z77" i="1"/>
  <c r="Z22" i="1"/>
  <c r="Z64" i="1"/>
  <c r="Z47" i="1"/>
  <c r="Z86" i="1"/>
  <c r="Z94" i="1"/>
  <c r="Z79" i="1"/>
  <c r="Z116" i="1"/>
  <c r="Z25" i="1"/>
  <c r="Y54" i="1"/>
  <c r="AA39" i="1"/>
  <c r="AA103" i="1"/>
  <c r="AA58" i="1"/>
  <c r="AA21" i="1"/>
  <c r="AA117" i="1"/>
  <c r="AA107" i="1"/>
  <c r="AA57" i="1"/>
  <c r="AA48" i="1"/>
  <c r="AA49" i="1"/>
  <c r="Y78" i="1"/>
  <c r="AA118" i="1"/>
  <c r="S124" i="1" s="1"/>
  <c r="Y45" i="1"/>
  <c r="Y109" i="1"/>
  <c r="Y48" i="1"/>
  <c r="Y112" i="1"/>
  <c r="Y49" i="1"/>
  <c r="Y75" i="1"/>
  <c r="Y39" i="1"/>
  <c r="Y111" i="1"/>
  <c r="Y73" i="1"/>
  <c r="Y66" i="1"/>
  <c r="Y51" i="1"/>
  <c r="Z74" i="1"/>
  <c r="Z21" i="1"/>
  <c r="Z85" i="1"/>
  <c r="Z30" i="1"/>
  <c r="Z78" i="1"/>
  <c r="Z56" i="1"/>
  <c r="Z100" i="1"/>
  <c r="Z108" i="1"/>
  <c r="Z115" i="1"/>
  <c r="Z24" i="1"/>
  <c r="Z59" i="1"/>
  <c r="Z91" i="1"/>
  <c r="AA47" i="1"/>
  <c r="AA111" i="1"/>
  <c r="AA66" i="1"/>
  <c r="AA25" i="1"/>
  <c r="AA30" i="1"/>
  <c r="AA62" i="1"/>
  <c r="Y85" i="1"/>
  <c r="Y103" i="1"/>
  <c r="Y82" i="1"/>
  <c r="Y65" i="1"/>
  <c r="Y23" i="1"/>
  <c r="Y102" i="1"/>
  <c r="Y92" i="1"/>
  <c r="Z42" i="1"/>
  <c r="Z61" i="1"/>
  <c r="Z92" i="1"/>
  <c r="Z71" i="1"/>
  <c r="Z48" i="1"/>
  <c r="Z49" i="1"/>
  <c r="Z81" i="1"/>
  <c r="AA23" i="1"/>
  <c r="AA74" i="1"/>
  <c r="AA67" i="1"/>
  <c r="AA92" i="1"/>
  <c r="AA75" i="1"/>
  <c r="AA97" i="1"/>
  <c r="AA94" i="1"/>
  <c r="AA109" i="1"/>
  <c r="AA68" i="1"/>
  <c r="AA37" i="1"/>
  <c r="Y117" i="1"/>
  <c r="Y25" i="1"/>
  <c r="Y107" i="1"/>
  <c r="Y86" i="1"/>
  <c r="Y79" i="1"/>
  <c r="Y116" i="1"/>
  <c r="Y74" i="1"/>
  <c r="Z113" i="1"/>
  <c r="AA29" i="1"/>
  <c r="Z50" i="1"/>
  <c r="Z93" i="1"/>
  <c r="Z96" i="1"/>
  <c r="Z75" i="1"/>
  <c r="Z52" i="1"/>
  <c r="Z76" i="1"/>
  <c r="Z41" i="1"/>
  <c r="Z95" i="1"/>
  <c r="AA55" i="1"/>
  <c r="AA82" i="1"/>
  <c r="AA81" i="1"/>
  <c r="AA96" i="1"/>
  <c r="AA89" i="1"/>
  <c r="AA101" i="1"/>
  <c r="AA108" i="1"/>
  <c r="AA104" i="1"/>
  <c r="Z105" i="1"/>
  <c r="Y84" i="1"/>
  <c r="AA112" i="1"/>
  <c r="Y19" i="1"/>
  <c r="Y24" i="1"/>
  <c r="Y57" i="1"/>
  <c r="Y100" i="1"/>
  <c r="Y115" i="1"/>
  <c r="Y50" i="1"/>
  <c r="Y110" i="1"/>
  <c r="Z82" i="1"/>
  <c r="Z101" i="1"/>
  <c r="Z110" i="1"/>
  <c r="Z89" i="1"/>
  <c r="Z68" i="1"/>
  <c r="Z112" i="1"/>
  <c r="Z73" i="1"/>
  <c r="Z44" i="1"/>
  <c r="AA63" i="1"/>
  <c r="AA90" i="1"/>
  <c r="AA85" i="1"/>
  <c r="AA110" i="1"/>
  <c r="AA115" i="1"/>
  <c r="Z84" i="1"/>
  <c r="Y98" i="1"/>
  <c r="Y106" i="1"/>
  <c r="Y63" i="1"/>
  <c r="Y21" i="1"/>
  <c r="Y56" i="1"/>
  <c r="Y30" i="1"/>
  <c r="Y69" i="1"/>
  <c r="Y80" i="1"/>
  <c r="Y47" i="1"/>
  <c r="Y52" i="1"/>
  <c r="Y31" i="1"/>
  <c r="Y105" i="1"/>
  <c r="Y95" i="1"/>
  <c r="Z26" i="1"/>
  <c r="Z114" i="1"/>
  <c r="Z45" i="1"/>
  <c r="Z62" i="1"/>
  <c r="Z35" i="1"/>
  <c r="Z32" i="1"/>
  <c r="Z57" i="1"/>
  <c r="Z27" i="1"/>
  <c r="Y70" i="1"/>
  <c r="AA34" i="1"/>
  <c r="AA51" i="1"/>
  <c r="AA64" i="1"/>
  <c r="AA56" i="1"/>
  <c r="AA69" i="1"/>
  <c r="AA41" i="1"/>
  <c r="AA116" i="1"/>
  <c r="AA52" i="1"/>
  <c r="AA70" i="1"/>
  <c r="Y99" i="1"/>
  <c r="Y77" i="1"/>
  <c r="Y88" i="1"/>
  <c r="Y89" i="1"/>
  <c r="Y68" i="1"/>
  <c r="Y36" i="1"/>
  <c r="Z106" i="1"/>
  <c r="Z40" i="1"/>
  <c r="AA87" i="1"/>
  <c r="AA100" i="1"/>
  <c r="AA88" i="1"/>
  <c r="Z46" i="1"/>
  <c r="AA44" i="1"/>
  <c r="Y55" i="1"/>
  <c r="AA91" i="1"/>
  <c r="Z54" i="1"/>
  <c r="AA84" i="1"/>
  <c r="AA43" i="1"/>
  <c r="AA22" i="1"/>
  <c r="Z20" i="1"/>
  <c r="Y38" i="1"/>
  <c r="Z104" i="1"/>
  <c r="Z33" i="1"/>
  <c r="AA76" i="1"/>
  <c r="AA72" i="1"/>
  <c r="Y64" i="1"/>
  <c r="Y59" i="1"/>
  <c r="AA61" i="1"/>
  <c r="Y87" i="1"/>
  <c r="Y81" i="1"/>
  <c r="Z29" i="1"/>
  <c r="Z97" i="1"/>
  <c r="AA105" i="1"/>
  <c r="AA35" i="1"/>
  <c r="AA45" i="1"/>
  <c r="Z99" i="1"/>
  <c r="Y91" i="1"/>
  <c r="Z37" i="1"/>
  <c r="Z23" i="1"/>
  <c r="Z111" i="1"/>
  <c r="Z70" i="1"/>
  <c r="AA26" i="1"/>
  <c r="AA65" i="1"/>
  <c r="AA24" i="1"/>
  <c r="Y61" i="1"/>
  <c r="Y27" i="1"/>
  <c r="Z87" i="1"/>
  <c r="AA98" i="1"/>
  <c r="S123" i="1"/>
  <c r="AA79" i="1"/>
  <c r="AA106" i="1"/>
  <c r="AA86" i="1"/>
  <c r="AA33" i="1"/>
  <c r="AA46" i="1"/>
  <c r="Y72" i="1"/>
  <c r="Y22" i="1"/>
  <c r="Y67" i="1"/>
  <c r="Z38" i="1"/>
  <c r="Z83" i="1"/>
  <c r="AA27" i="1"/>
  <c r="AA40" i="1"/>
  <c r="Z63" i="1"/>
  <c r="Z19" i="1"/>
  <c r="Y53" i="1"/>
  <c r="Y34" i="1"/>
  <c r="Z34" i="1"/>
  <c r="Z53" i="1"/>
  <c r="Z51" i="1"/>
  <c r="Z60" i="1"/>
  <c r="Z39" i="1"/>
  <c r="Z36" i="1"/>
  <c r="Z67" i="1"/>
  <c r="Y46" i="1"/>
  <c r="AA42" i="1"/>
  <c r="AA38" i="1"/>
  <c r="AA78" i="1"/>
  <c r="AA60" i="1"/>
  <c r="AA83" i="1"/>
  <c r="AA80" i="1"/>
  <c r="AA73" i="1"/>
  <c r="Y20" i="1"/>
  <c r="Y43" i="1"/>
  <c r="Z90" i="1"/>
  <c r="Z109" i="1"/>
  <c r="Z103" i="1"/>
  <c r="AA71" i="1"/>
  <c r="AA99" i="1"/>
  <c r="Y44" i="1"/>
  <c r="Z98" i="1"/>
  <c r="Z117" i="1"/>
  <c r="Z31" i="1"/>
  <c r="Z88" i="1"/>
  <c r="Z28" i="1"/>
  <c r="Y113" i="1"/>
  <c r="F4" i="3" a="1"/>
  <c r="H4" i="3" a="1"/>
  <c r="G4" i="3" a="1"/>
  <c r="K12" i="3" l="1"/>
  <c r="P4" i="3"/>
  <c r="N2" i="5"/>
  <c r="O112" i="2"/>
  <c r="AC104" i="2"/>
  <c r="O111" i="2"/>
  <c r="AC103" i="2"/>
  <c r="O113" i="2"/>
  <c r="AC105" i="2"/>
  <c r="I62" i="4"/>
  <c r="I63" i="4"/>
  <c r="I55" i="4"/>
  <c r="I20" i="4"/>
  <c r="I22" i="4"/>
  <c r="I90" i="4"/>
  <c r="I25" i="4"/>
  <c r="I27" i="4"/>
  <c r="I35" i="4"/>
  <c r="I42" i="4"/>
  <c r="H9" i="4"/>
  <c r="I93" i="4"/>
  <c r="I46" i="4"/>
  <c r="I11" i="4"/>
  <c r="I33" i="4"/>
  <c r="I41" i="4"/>
  <c r="I87" i="4"/>
  <c r="I106" i="4"/>
  <c r="L112" i="4" s="1"/>
  <c r="I61" i="4"/>
  <c r="I96" i="4"/>
  <c r="I78" i="4"/>
  <c r="I77" i="4"/>
  <c r="I64" i="4"/>
  <c r="I44" i="4"/>
  <c r="I53" i="4"/>
  <c r="I13" i="4"/>
  <c r="I38" i="4"/>
  <c r="I101" i="4"/>
  <c r="I45" i="4"/>
  <c r="I81" i="4"/>
  <c r="I26" i="4"/>
  <c r="I100" i="4"/>
  <c r="I99" i="4"/>
  <c r="I10" i="4"/>
  <c r="I39" i="4"/>
  <c r="I54" i="4"/>
  <c r="I92" i="4"/>
  <c r="I67" i="4"/>
  <c r="H69" i="4"/>
  <c r="I43" i="4"/>
  <c r="I36" i="4"/>
  <c r="I88" i="4"/>
  <c r="I97" i="4"/>
  <c r="I68" i="4"/>
  <c r="K13" i="3"/>
  <c r="H23" i="4"/>
  <c r="H8" i="4"/>
  <c r="H51" i="4"/>
  <c r="Q43" i="4"/>
  <c r="H72" i="4"/>
  <c r="Q103" i="4"/>
  <c r="H33" i="4"/>
  <c r="Q41" i="4"/>
  <c r="H27" i="4"/>
  <c r="Q85" i="4"/>
  <c r="Q52" i="4"/>
  <c r="H16" i="4"/>
  <c r="H28" i="4"/>
  <c r="Q54" i="4"/>
  <c r="H12" i="4"/>
  <c r="H38" i="4"/>
  <c r="H81" i="4"/>
  <c r="Q89" i="4"/>
  <c r="Q11" i="4"/>
  <c r="Q32" i="4"/>
  <c r="Q65" i="4"/>
  <c r="Q68" i="4"/>
  <c r="Q60" i="4"/>
  <c r="Q37" i="4"/>
  <c r="Q46" i="4"/>
  <c r="Q86" i="4"/>
  <c r="Q17" i="4"/>
  <c r="Q91" i="4"/>
  <c r="Q80" i="4"/>
  <c r="Q83" i="4"/>
  <c r="Q10" i="4"/>
  <c r="Q21" i="4"/>
  <c r="Q42" i="4"/>
  <c r="Q67" i="4"/>
  <c r="Q22" i="4"/>
  <c r="Q40" i="4"/>
  <c r="Q9" i="4"/>
  <c r="Q105" i="4"/>
  <c r="Q61" i="4"/>
  <c r="Q96" i="4"/>
  <c r="Q51" i="4"/>
  <c r="Q8" i="4"/>
  <c r="Q78" i="4"/>
  <c r="Q30" i="4"/>
  <c r="Q84" i="4"/>
  <c r="Q16" i="4"/>
  <c r="Q88" i="4"/>
  <c r="K14" i="3"/>
  <c r="Q87" i="4"/>
  <c r="Q98" i="4"/>
  <c r="Q36" i="4"/>
  <c r="Q73" i="4"/>
  <c r="Q75" i="4"/>
  <c r="Q38" i="4"/>
  <c r="I21" i="4"/>
  <c r="Q76" i="4"/>
  <c r="Q106" i="4"/>
  <c r="N112" i="4" s="1"/>
  <c r="Q62" i="4"/>
  <c r="Q70" i="4"/>
  <c r="Q104" i="4"/>
  <c r="Q59" i="4"/>
  <c r="H55" i="4"/>
  <c r="H77" i="4"/>
  <c r="H32" i="4"/>
  <c r="H54" i="4"/>
  <c r="H79" i="4"/>
  <c r="H26" i="4"/>
  <c r="H71" i="4"/>
  <c r="H68" i="4"/>
  <c r="H35" i="4"/>
  <c r="H82" i="4"/>
  <c r="H19" i="4"/>
  <c r="H91" i="4"/>
  <c r="Q111" i="2"/>
  <c r="Q113" i="2"/>
  <c r="Q112" i="2"/>
  <c r="Q14" i="4"/>
  <c r="Q79" i="4"/>
  <c r="Q25" i="4"/>
  <c r="Q34" i="4"/>
  <c r="Q50" i="4"/>
  <c r="Q100" i="4"/>
  <c r="Q23" i="4"/>
  <c r="Q47" i="4"/>
  <c r="Q28" i="4"/>
  <c r="Q20" i="4"/>
  <c r="Q33" i="4"/>
  <c r="Q44" i="4"/>
  <c r="Q18" i="4"/>
  <c r="Q64" i="4"/>
  <c r="Q29" i="4"/>
  <c r="Q102" i="4"/>
  <c r="Q15" i="4"/>
  <c r="Q26" i="4"/>
  <c r="Q58" i="4"/>
  <c r="Q74" i="4"/>
  <c r="Q71" i="4"/>
  <c r="Q57" i="4"/>
  <c r="Q49" i="4"/>
  <c r="Q12" i="4"/>
  <c r="Q81" i="4"/>
  <c r="Q63" i="4"/>
  <c r="Q99" i="4"/>
  <c r="Q82" i="4"/>
  <c r="Q94" i="4"/>
  <c r="Q27" i="4"/>
  <c r="Q53" i="4"/>
  <c r="Q72" i="4"/>
  <c r="Q19" i="4"/>
  <c r="Q39" i="4"/>
  <c r="Q45" i="4"/>
  <c r="Q69" i="4"/>
  <c r="Q66" i="4"/>
  <c r="Q24" i="4"/>
  <c r="Q97" i="4"/>
  <c r="Q56" i="4"/>
  <c r="Q55" i="4"/>
  <c r="Q35" i="4"/>
  <c r="Q31" i="4"/>
  <c r="Q93" i="4"/>
  <c r="Q13" i="4"/>
  <c r="Q48" i="4"/>
  <c r="Q92" i="4"/>
  <c r="Q90" i="4"/>
  <c r="Q95" i="4"/>
  <c r="Q77" i="4"/>
  <c r="G36" i="4"/>
  <c r="H73" i="4"/>
  <c r="H80" i="4"/>
  <c r="H46" i="4"/>
  <c r="H44" i="4"/>
  <c r="H87" i="4"/>
  <c r="H92" i="4"/>
  <c r="H64" i="4"/>
  <c r="H62" i="4"/>
  <c r="H45" i="4"/>
  <c r="H37" i="4"/>
  <c r="H17" i="4"/>
  <c r="H52" i="4"/>
  <c r="H65" i="4"/>
  <c r="H97" i="4"/>
  <c r="H53" i="4"/>
  <c r="H47" i="4"/>
  <c r="H11" i="4"/>
  <c r="H95" i="4"/>
  <c r="H100" i="4"/>
  <c r="I66" i="4"/>
  <c r="I9" i="4"/>
  <c r="I98" i="4"/>
  <c r="I74" i="4"/>
  <c r="I8" i="4"/>
  <c r="I85" i="4"/>
  <c r="H104" i="4"/>
  <c r="H18" i="4"/>
  <c r="H49" i="4"/>
  <c r="H48" i="4"/>
  <c r="H30" i="4"/>
  <c r="H96" i="4"/>
  <c r="G91" i="4"/>
  <c r="G69" i="4"/>
  <c r="G64" i="4"/>
  <c r="G44" i="4"/>
  <c r="G99" i="4"/>
  <c r="G48" i="4"/>
  <c r="G67" i="4"/>
  <c r="G52" i="4"/>
  <c r="O31" i="4"/>
  <c r="O97" i="4"/>
  <c r="I83" i="4"/>
  <c r="I29" i="4"/>
  <c r="I40" i="4"/>
  <c r="I73" i="4"/>
  <c r="I104" i="4"/>
  <c r="I24" i="4"/>
  <c r="I34" i="4"/>
  <c r="I37" i="4"/>
  <c r="I70" i="4"/>
  <c r="I80" i="4"/>
  <c r="I105" i="4"/>
  <c r="I48" i="4"/>
  <c r="I17" i="4"/>
  <c r="K36" i="4"/>
  <c r="K27" i="4"/>
  <c r="H29" i="4"/>
  <c r="H102" i="4"/>
  <c r="H75" i="4"/>
  <c r="H84" i="4"/>
  <c r="H99" i="4"/>
  <c r="H101" i="4"/>
  <c r="H66" i="4"/>
  <c r="H13" i="4"/>
  <c r="H43" i="4"/>
  <c r="H56" i="4"/>
  <c r="H89" i="4"/>
  <c r="H61" i="4"/>
  <c r="H70" i="4"/>
  <c r="I47" i="4"/>
  <c r="I23" i="4"/>
  <c r="I50" i="4"/>
  <c r="I19" i="4"/>
  <c r="I28" i="4"/>
  <c r="I84" i="4"/>
  <c r="I94" i="4"/>
  <c r="I95" i="4"/>
  <c r="I72" i="4"/>
  <c r="I82" i="4"/>
  <c r="I14" i="4"/>
  <c r="I58" i="4"/>
  <c r="K85" i="4"/>
  <c r="H58" i="4"/>
  <c r="H98" i="4"/>
  <c r="H88" i="4"/>
  <c r="H20" i="4"/>
  <c r="H74" i="4"/>
  <c r="H83" i="4"/>
  <c r="H39" i="4"/>
  <c r="H106" i="4"/>
  <c r="L111" i="4" s="1"/>
  <c r="H93" i="4"/>
  <c r="H85" i="4"/>
  <c r="H25" i="4"/>
  <c r="H86" i="4"/>
  <c r="I12" i="4"/>
  <c r="I52" i="4"/>
  <c r="I51" i="4"/>
  <c r="I32" i="4"/>
  <c r="I65" i="4"/>
  <c r="I57" i="4"/>
  <c r="I16" i="4"/>
  <c r="I31" i="4"/>
  <c r="I76" i="4"/>
  <c r="I18" i="4"/>
  <c r="I56" i="4"/>
  <c r="I75" i="4"/>
  <c r="H31" i="4"/>
  <c r="H34" i="4"/>
  <c r="H24" i="4"/>
  <c r="H57" i="4"/>
  <c r="H10" i="4"/>
  <c r="H103" i="4"/>
  <c r="H105" i="4"/>
  <c r="H42" i="4"/>
  <c r="H67" i="4"/>
  <c r="H21" i="4"/>
  <c r="H40" i="4"/>
  <c r="H90" i="4"/>
  <c r="I86" i="4"/>
  <c r="I89" i="4"/>
  <c r="I71" i="4"/>
  <c r="I69" i="4"/>
  <c r="I102" i="4"/>
  <c r="I30" i="4"/>
  <c r="I59" i="4"/>
  <c r="I60" i="4"/>
  <c r="I49" i="4"/>
  <c r="I103" i="4"/>
  <c r="I91" i="4"/>
  <c r="I79" i="4"/>
  <c r="K87" i="4"/>
  <c r="H94" i="4"/>
  <c r="H36" i="4"/>
  <c r="H14" i="4"/>
  <c r="H59" i="4"/>
  <c r="H76" i="4"/>
  <c r="H41" i="4"/>
  <c r="H22" i="4"/>
  <c r="H15" i="4"/>
  <c r="H60" i="4"/>
  <c r="H50" i="4"/>
  <c r="H78" i="4"/>
  <c r="L30" i="4"/>
  <c r="L64" i="4"/>
  <c r="L28" i="4"/>
  <c r="L24" i="4"/>
  <c r="G71" i="4"/>
  <c r="M91" i="4"/>
  <c r="L65" i="4"/>
  <c r="L68" i="4"/>
  <c r="M31" i="4"/>
  <c r="L23" i="4"/>
  <c r="M39" i="4"/>
  <c r="L50" i="4"/>
  <c r="O89" i="4"/>
  <c r="M23" i="4"/>
  <c r="L79" i="4"/>
  <c r="O93" i="4"/>
  <c r="M87" i="4"/>
  <c r="L73" i="4"/>
  <c r="G58" i="4"/>
  <c r="L57" i="4"/>
  <c r="L16" i="4"/>
  <c r="O96" i="4"/>
  <c r="M13" i="4"/>
  <c r="L55" i="4"/>
  <c r="L32" i="4"/>
  <c r="L54" i="4"/>
  <c r="L78" i="4"/>
  <c r="L93" i="4"/>
  <c r="L34" i="4"/>
  <c r="L56" i="4"/>
  <c r="L21" i="4"/>
  <c r="L18" i="4"/>
  <c r="L13" i="4"/>
  <c r="L37" i="4"/>
  <c r="L53" i="4"/>
  <c r="L58" i="4"/>
  <c r="O13" i="4"/>
  <c r="O38" i="4"/>
  <c r="K43" i="4"/>
  <c r="L9" i="4"/>
  <c r="L19" i="4"/>
  <c r="L39" i="4"/>
  <c r="L17" i="4"/>
  <c r="L38" i="4"/>
  <c r="L62" i="4"/>
  <c r="L43" i="4"/>
  <c r="L46" i="4"/>
  <c r="L26" i="4"/>
  <c r="L66" i="4"/>
  <c r="L85" i="4"/>
  <c r="L101" i="4"/>
  <c r="L14" i="4"/>
  <c r="O17" i="4"/>
  <c r="O34" i="4"/>
  <c r="L33" i="4"/>
  <c r="L74" i="4"/>
  <c r="L63" i="4"/>
  <c r="L41" i="4"/>
  <c r="L102" i="4"/>
  <c r="L47" i="4"/>
  <c r="L45" i="4"/>
  <c r="L31" i="4"/>
  <c r="L100" i="4"/>
  <c r="L84" i="4"/>
  <c r="L44" i="4"/>
  <c r="L49" i="4"/>
  <c r="O78" i="4"/>
  <c r="O8" i="4"/>
  <c r="O94" i="4"/>
  <c r="L81" i="4"/>
  <c r="L94" i="4"/>
  <c r="L60" i="4"/>
  <c r="L89" i="4"/>
  <c r="L71" i="4"/>
  <c r="L97" i="4"/>
  <c r="L22" i="4"/>
  <c r="L103" i="4"/>
  <c r="L80" i="4"/>
  <c r="L51" i="4"/>
  <c r="L88" i="4"/>
  <c r="L48" i="4"/>
  <c r="M12" i="4"/>
  <c r="M103" i="4"/>
  <c r="L105" i="4"/>
  <c r="L15" i="4"/>
  <c r="L40" i="4"/>
  <c r="L10" i="4"/>
  <c r="L95" i="4"/>
  <c r="L12" i="4"/>
  <c r="L86" i="4"/>
  <c r="L92" i="4"/>
  <c r="L67" i="4"/>
  <c r="L75" i="4"/>
  <c r="L11" i="4"/>
  <c r="L35" i="4"/>
  <c r="O80" i="4"/>
  <c r="O50" i="4"/>
  <c r="K55" i="4"/>
  <c r="M34" i="4"/>
  <c r="M42" i="4"/>
  <c r="L20" i="4"/>
  <c r="L87" i="4"/>
  <c r="L27" i="4"/>
  <c r="L83" i="4"/>
  <c r="L96" i="4"/>
  <c r="L36" i="4"/>
  <c r="L25" i="4"/>
  <c r="L72" i="4"/>
  <c r="L91" i="4"/>
  <c r="L99" i="4"/>
  <c r="L8" i="4"/>
  <c r="L42" i="4"/>
  <c r="O68" i="4"/>
  <c r="O90" i="4"/>
  <c r="K83" i="4"/>
  <c r="M46" i="4"/>
  <c r="L70" i="4"/>
  <c r="L52" i="4"/>
  <c r="L90" i="4"/>
  <c r="L61" i="4"/>
  <c r="L106" i="4"/>
  <c r="N111" i="4" s="1"/>
  <c r="L29" i="4"/>
  <c r="L76" i="4"/>
  <c r="L104" i="4"/>
  <c r="L59" i="4"/>
  <c r="L77" i="4"/>
  <c r="L82" i="4"/>
  <c r="L98" i="4"/>
  <c r="O22" i="4"/>
  <c r="O65" i="4"/>
  <c r="K42" i="4"/>
  <c r="G75" i="4"/>
  <c r="G22" i="4"/>
  <c r="M83" i="4"/>
  <c r="M24" i="4"/>
  <c r="M63" i="4"/>
  <c r="O105" i="4"/>
  <c r="O54" i="4"/>
  <c r="O33" i="4"/>
  <c r="O44" i="4"/>
  <c r="O45" i="4"/>
  <c r="O51" i="4"/>
  <c r="K49" i="4"/>
  <c r="K72" i="4"/>
  <c r="M38" i="4"/>
  <c r="M48" i="4"/>
  <c r="M45" i="4"/>
  <c r="O47" i="4"/>
  <c r="O49" i="4"/>
  <c r="O63" i="4"/>
  <c r="O85" i="4"/>
  <c r="O102" i="4"/>
  <c r="O30" i="4"/>
  <c r="G81" i="4"/>
  <c r="G25" i="4"/>
  <c r="M99" i="4"/>
  <c r="M52" i="4"/>
  <c r="M74" i="4"/>
  <c r="O70" i="4"/>
  <c r="O27" i="4"/>
  <c r="O86" i="4"/>
  <c r="O87" i="4"/>
  <c r="O98" i="4"/>
  <c r="O48" i="4"/>
  <c r="K20" i="4"/>
  <c r="G57" i="4"/>
  <c r="G43" i="4"/>
  <c r="M20" i="4"/>
  <c r="M30" i="4"/>
  <c r="M60" i="4"/>
  <c r="O106" i="4"/>
  <c r="N110" i="4" s="1"/>
  <c r="O100" i="4"/>
  <c r="O10" i="4"/>
  <c r="O103" i="4"/>
  <c r="O46" i="4"/>
  <c r="O72" i="4"/>
  <c r="O61" i="4"/>
  <c r="K96" i="4"/>
  <c r="G103" i="4"/>
  <c r="G26" i="4"/>
  <c r="M40" i="4"/>
  <c r="M57" i="4"/>
  <c r="M15" i="4"/>
  <c r="O55" i="4"/>
  <c r="O81" i="4"/>
  <c r="O52" i="4"/>
  <c r="O39" i="4"/>
  <c r="O56" i="4"/>
  <c r="O83" i="4"/>
  <c r="O32" i="4"/>
  <c r="K76" i="4"/>
  <c r="G59" i="4"/>
  <c r="G29" i="4"/>
  <c r="G94" i="4"/>
  <c r="G88" i="4"/>
  <c r="M75" i="4"/>
  <c r="M73" i="4"/>
  <c r="M81" i="4"/>
  <c r="M82" i="4"/>
  <c r="M47" i="4"/>
  <c r="M80" i="4"/>
  <c r="O21" i="4"/>
  <c r="O16" i="4"/>
  <c r="O15" i="4"/>
  <c r="O26" i="4"/>
  <c r="O14" i="4"/>
  <c r="O36" i="4"/>
  <c r="O23" i="4"/>
  <c r="O82" i="4"/>
  <c r="O9" i="4"/>
  <c r="O20" i="4"/>
  <c r="O53" i="4"/>
  <c r="O57" i="4"/>
  <c r="O59" i="4"/>
  <c r="K58" i="4"/>
  <c r="K37" i="4"/>
  <c r="K17" i="4"/>
  <c r="K50" i="4"/>
  <c r="K56" i="4"/>
  <c r="K53" i="4"/>
  <c r="K21" i="4"/>
  <c r="K101" i="4"/>
  <c r="K11" i="4"/>
  <c r="K39" i="4"/>
  <c r="K102" i="4"/>
  <c r="K13" i="4"/>
  <c r="K34" i="4"/>
  <c r="K35" i="4"/>
  <c r="K66" i="4"/>
  <c r="K41" i="4"/>
  <c r="K25" i="4"/>
  <c r="K45" i="4"/>
  <c r="K16" i="4"/>
  <c r="G20" i="4"/>
  <c r="G31" i="4"/>
  <c r="G92" i="4"/>
  <c r="G101" i="4"/>
  <c r="M51" i="4"/>
  <c r="M93" i="4"/>
  <c r="M90" i="4"/>
  <c r="M78" i="4"/>
  <c r="M105" i="4"/>
  <c r="M70" i="4"/>
  <c r="O64" i="4"/>
  <c r="O43" i="4"/>
  <c r="O67" i="4"/>
  <c r="O18" i="4"/>
  <c r="O77" i="4"/>
  <c r="O24" i="4"/>
  <c r="O25" i="4"/>
  <c r="O92" i="4"/>
  <c r="O42" i="4"/>
  <c r="O88" i="4"/>
  <c r="O71" i="4"/>
  <c r="O104" i="4"/>
  <c r="K95" i="4"/>
  <c r="K69" i="4"/>
  <c r="K31" i="4"/>
  <c r="K26" i="4"/>
  <c r="K10" i="4"/>
  <c r="K54" i="4"/>
  <c r="G86" i="4"/>
  <c r="G9" i="4"/>
  <c r="G15" i="4"/>
  <c r="G12" i="4"/>
  <c r="M77" i="4"/>
  <c r="M94" i="4"/>
  <c r="M28" i="4"/>
  <c r="M49" i="4"/>
  <c r="M50" i="4"/>
  <c r="M68" i="4"/>
  <c r="O66" i="4"/>
  <c r="O91" i="4"/>
  <c r="O101" i="4"/>
  <c r="O60" i="4"/>
  <c r="O40" i="4"/>
  <c r="O37" i="4"/>
  <c r="O62" i="4"/>
  <c r="O28" i="4"/>
  <c r="O79" i="4"/>
  <c r="O99" i="4"/>
  <c r="O76" i="4"/>
  <c r="O11" i="4"/>
  <c r="K29" i="4"/>
  <c r="K97" i="4"/>
  <c r="K38" i="4"/>
  <c r="K99" i="4"/>
  <c r="K59" i="4"/>
  <c r="K106" i="4"/>
  <c r="M58" i="4"/>
  <c r="M33" i="4"/>
  <c r="M100" i="4"/>
  <c r="M16" i="4"/>
  <c r="M79" i="4"/>
  <c r="M56" i="4"/>
  <c r="O69" i="4"/>
  <c r="O29" i="4"/>
  <c r="O58" i="4"/>
  <c r="O41" i="4"/>
  <c r="O95" i="4"/>
  <c r="O74" i="4"/>
  <c r="O19" i="4"/>
  <c r="O73" i="4"/>
  <c r="O84" i="4"/>
  <c r="O35" i="4"/>
  <c r="O12" i="4"/>
  <c r="K73" i="4"/>
  <c r="K90" i="4"/>
  <c r="K80" i="4"/>
  <c r="K65" i="4"/>
  <c r="K40" i="4"/>
  <c r="K92" i="4"/>
  <c r="M97" i="4"/>
  <c r="M86" i="4"/>
  <c r="M44" i="4"/>
  <c r="M19" i="4"/>
  <c r="M8" i="4"/>
  <c r="M18" i="4"/>
  <c r="M17" i="4"/>
  <c r="M101" i="4"/>
  <c r="M85" i="4"/>
  <c r="M104" i="4"/>
  <c r="M89" i="4"/>
  <c r="M98" i="4"/>
  <c r="K62" i="4"/>
  <c r="K84" i="4"/>
  <c r="K33" i="4"/>
  <c r="K94" i="4"/>
  <c r="K51" i="4"/>
  <c r="K68" i="4"/>
  <c r="K98" i="4"/>
  <c r="K15" i="4"/>
  <c r="K79" i="4"/>
  <c r="K30" i="4"/>
  <c r="K48" i="4"/>
  <c r="K14" i="4"/>
  <c r="M27" i="4"/>
  <c r="M64" i="4"/>
  <c r="M35" i="4"/>
  <c r="M9" i="4"/>
  <c r="M22" i="4"/>
  <c r="M76" i="4"/>
  <c r="M67" i="4"/>
  <c r="M29" i="4"/>
  <c r="M72" i="4"/>
  <c r="M66" i="4"/>
  <c r="M95" i="4"/>
  <c r="M69" i="4"/>
  <c r="M106" i="4"/>
  <c r="K64" i="4"/>
  <c r="K23" i="4"/>
  <c r="K18" i="4"/>
  <c r="K57" i="4"/>
  <c r="K93" i="4"/>
  <c r="K86" i="4"/>
  <c r="K77" i="4"/>
  <c r="K19" i="4"/>
  <c r="K46" i="4"/>
  <c r="K104" i="4"/>
  <c r="K28" i="4"/>
  <c r="K32" i="4"/>
  <c r="M26" i="4"/>
  <c r="M14" i="4"/>
  <c r="M92" i="4"/>
  <c r="M53" i="4"/>
  <c r="M88" i="4"/>
  <c r="M61" i="4"/>
  <c r="M54" i="4"/>
  <c r="M11" i="4"/>
  <c r="M41" i="4"/>
  <c r="M65" i="4"/>
  <c r="M84" i="4"/>
  <c r="M55" i="4"/>
  <c r="K82" i="4"/>
  <c r="K12" i="4"/>
  <c r="K22" i="4"/>
  <c r="K103" i="4"/>
  <c r="K61" i="4"/>
  <c r="K81" i="4"/>
  <c r="K105" i="4"/>
  <c r="K52" i="4"/>
  <c r="K89" i="4"/>
  <c r="K63" i="4"/>
  <c r="K67" i="4"/>
  <c r="K47" i="4"/>
  <c r="K9" i="4"/>
  <c r="M36" i="4"/>
  <c r="M62" i="4"/>
  <c r="M59" i="4"/>
  <c r="M10" i="4"/>
  <c r="M43" i="4"/>
  <c r="M96" i="4"/>
  <c r="M102" i="4"/>
  <c r="M37" i="4"/>
  <c r="M21" i="4"/>
  <c r="M32" i="4"/>
  <c r="M25" i="4"/>
  <c r="K75" i="4"/>
  <c r="K60" i="4"/>
  <c r="K88" i="4"/>
  <c r="K70" i="4"/>
  <c r="K71" i="4"/>
  <c r="K44" i="4"/>
  <c r="K74" i="4"/>
  <c r="K100" i="4"/>
  <c r="K24" i="4"/>
  <c r="K8" i="4"/>
  <c r="K78" i="4"/>
  <c r="G54" i="4"/>
  <c r="G39" i="4"/>
  <c r="G38" i="4"/>
  <c r="G80" i="4"/>
  <c r="G24" i="4"/>
  <c r="G37" i="4"/>
  <c r="G18" i="4"/>
  <c r="G89" i="4"/>
  <c r="G23" i="4"/>
  <c r="G53" i="4"/>
  <c r="G98" i="4"/>
  <c r="G47" i="4"/>
  <c r="G106" i="4"/>
  <c r="L110" i="4" s="1"/>
  <c r="G83" i="4"/>
  <c r="G41" i="4"/>
  <c r="G13" i="4"/>
  <c r="G28" i="4"/>
  <c r="G72" i="4"/>
  <c r="G42" i="4"/>
  <c r="G45" i="4"/>
  <c r="G19" i="4"/>
  <c r="G68" i="4"/>
  <c r="G85" i="4"/>
  <c r="G104" i="4"/>
  <c r="G50" i="4"/>
  <c r="G16" i="4"/>
  <c r="G30" i="4"/>
  <c r="G70" i="4"/>
  <c r="G84" i="4"/>
  <c r="G74" i="4"/>
  <c r="G79" i="4"/>
  <c r="G82" i="4"/>
  <c r="G56" i="4"/>
  <c r="G97" i="4"/>
  <c r="G21" i="4"/>
  <c r="G77" i="4"/>
  <c r="G87" i="4"/>
  <c r="G62" i="4"/>
  <c r="G78" i="4"/>
  <c r="G61" i="4"/>
  <c r="G102" i="4"/>
  <c r="G10" i="4"/>
  <c r="G49" i="4"/>
  <c r="G17" i="4"/>
  <c r="G55" i="4"/>
  <c r="G93" i="4"/>
  <c r="G46" i="4"/>
  <c r="G95" i="4"/>
  <c r="G73" i="4"/>
  <c r="G96" i="4"/>
  <c r="G90" i="4"/>
  <c r="G33" i="4"/>
  <c r="G34" i="4"/>
  <c r="G27" i="4"/>
  <c r="G76" i="4"/>
  <c r="G32" i="4"/>
  <c r="G35" i="4"/>
  <c r="G105" i="4"/>
  <c r="G66" i="4"/>
  <c r="G11" i="4"/>
  <c r="G60" i="4"/>
  <c r="G40" i="4"/>
  <c r="G14" i="4"/>
  <c r="G63" i="4"/>
  <c r="G51" i="4"/>
  <c r="G100" i="4"/>
  <c r="G65" i="4"/>
  <c r="F4" i="3"/>
  <c r="H4" i="3"/>
  <c r="G4" i="3"/>
  <c r="I12" i="3" l="1"/>
  <c r="R4" i="3"/>
  <c r="I13" i="3"/>
  <c r="R5" i="3"/>
  <c r="I14" i="3"/>
  <c r="R6" i="3"/>
  <c r="Y12" i="5"/>
  <c r="X12" i="5"/>
  <c r="T12" i="5"/>
  <c r="U12" i="5"/>
  <c r="S12" i="5"/>
  <c r="W12" i="5"/>
  <c r="O12" i="5"/>
  <c r="Q12" i="5"/>
  <c r="P12" i="5"/>
  <c r="Q81" i="5" l="1"/>
  <c r="AC81" i="5" s="1"/>
  <c r="Q23" i="5"/>
  <c r="AC23" i="5" s="1"/>
  <c r="Q51" i="5"/>
  <c r="AC51" i="5" s="1"/>
  <c r="Q85" i="5"/>
  <c r="AC85" i="5" s="1"/>
  <c r="Q31" i="5"/>
  <c r="AC31" i="5" s="1"/>
  <c r="Q59" i="5"/>
  <c r="AC59" i="5" s="1"/>
  <c r="Q20" i="5"/>
  <c r="AC20" i="5" s="1"/>
  <c r="Q95" i="5"/>
  <c r="AC95" i="5" s="1"/>
  <c r="Q62" i="5"/>
  <c r="AC62" i="5" s="1"/>
  <c r="Q48" i="5"/>
  <c r="AC48" i="5" s="1"/>
  <c r="Q110" i="5"/>
  <c r="AC110" i="5" s="1"/>
  <c r="Q52" i="5"/>
  <c r="AC52" i="5" s="1"/>
  <c r="Q16" i="5"/>
  <c r="AC16" i="5" s="1"/>
  <c r="Q87" i="5"/>
  <c r="AC87" i="5" s="1"/>
  <c r="Q54" i="5"/>
  <c r="AC54" i="5" s="1"/>
  <c r="Q21" i="5"/>
  <c r="AC21" i="5" s="1"/>
  <c r="Q80" i="5"/>
  <c r="AC80" i="5" s="1"/>
  <c r="Q53" i="5"/>
  <c r="AC53" i="5" s="1"/>
  <c r="Q84" i="5"/>
  <c r="AC84" i="5" s="1"/>
  <c r="Q82" i="5"/>
  <c r="AC82" i="5" s="1"/>
  <c r="Q17" i="5"/>
  <c r="AC17" i="5" s="1"/>
  <c r="Q19" i="5"/>
  <c r="AC19" i="5" s="1"/>
  <c r="AC12" i="5"/>
  <c r="Q22" i="5"/>
  <c r="AC22" i="5" s="1"/>
  <c r="Q49" i="5"/>
  <c r="AC49" i="5" s="1"/>
  <c r="Q74" i="5"/>
  <c r="AC74" i="5" s="1"/>
  <c r="O56" i="5"/>
  <c r="AA56" i="5" s="1"/>
  <c r="O51" i="5"/>
  <c r="AA51" i="5" s="1"/>
  <c r="O82" i="5"/>
  <c r="AA82" i="5" s="1"/>
  <c r="O77" i="5"/>
  <c r="AA77" i="5" s="1"/>
  <c r="O97" i="5"/>
  <c r="AA97" i="5" s="1"/>
  <c r="O80" i="5"/>
  <c r="AA80" i="5" s="1"/>
  <c r="O55" i="5"/>
  <c r="AA55" i="5" s="1"/>
  <c r="O90" i="5"/>
  <c r="AA90" i="5" s="1"/>
  <c r="O17" i="5"/>
  <c r="AA17" i="5" s="1"/>
  <c r="O105" i="5"/>
  <c r="AA105" i="5" s="1"/>
  <c r="O88" i="5"/>
  <c r="AA88" i="5" s="1"/>
  <c r="O83" i="5"/>
  <c r="AA83" i="5" s="1"/>
  <c r="O46" i="5"/>
  <c r="AA46" i="5" s="1"/>
  <c r="O15" i="5"/>
  <c r="AA15" i="5" s="1"/>
  <c r="O62" i="5"/>
  <c r="AA62" i="5" s="1"/>
  <c r="O24" i="5"/>
  <c r="AA24" i="5" s="1"/>
  <c r="O94" i="5"/>
  <c r="AA94" i="5" s="1"/>
  <c r="O84" i="5"/>
  <c r="AA84" i="5" s="1"/>
  <c r="O79" i="5"/>
  <c r="AA79" i="5" s="1"/>
  <c r="O98" i="5"/>
  <c r="AA98" i="5" s="1"/>
  <c r="O38" i="5"/>
  <c r="AA38" i="5" s="1"/>
  <c r="O111" i="5"/>
  <c r="AA111" i="5" s="1"/>
  <c r="O23" i="5"/>
  <c r="AA23" i="5" s="1"/>
  <c r="O61" i="5"/>
  <c r="AA61" i="5" s="1"/>
  <c r="O52" i="5"/>
  <c r="AA52" i="5" s="1"/>
  <c r="O47" i="5"/>
  <c r="AA47" i="5" s="1"/>
  <c r="O34" i="5"/>
  <c r="AA34" i="5" s="1"/>
  <c r="O69" i="5"/>
  <c r="AA69" i="5" s="1"/>
  <c r="O81" i="5"/>
  <c r="AA81" i="5" s="1"/>
  <c r="O16" i="5"/>
  <c r="AA16" i="5" s="1"/>
  <c r="O21" i="5"/>
  <c r="AA21" i="5" s="1"/>
  <c r="O20" i="5"/>
  <c r="AA20" i="5" s="1"/>
  <c r="O87" i="5"/>
  <c r="AA87" i="5" s="1"/>
  <c r="O22" i="5"/>
  <c r="AA22" i="5" s="1"/>
  <c r="O19" i="5"/>
  <c r="AA19" i="5" s="1"/>
  <c r="O30" i="5"/>
  <c r="AA30" i="5" s="1"/>
  <c r="O48" i="5"/>
  <c r="AA48" i="5" s="1"/>
  <c r="O26" i="5"/>
  <c r="AA26" i="5" s="1"/>
  <c r="O33" i="5"/>
  <c r="AA33" i="5" s="1"/>
  <c r="P68" i="5"/>
  <c r="AB68" i="5" s="1"/>
  <c r="P85" i="5"/>
  <c r="AB85" i="5" s="1"/>
  <c r="P43" i="5"/>
  <c r="AB43" i="5" s="1"/>
  <c r="P71" i="5"/>
  <c r="AB71" i="5" s="1"/>
  <c r="P72" i="5"/>
  <c r="AB72" i="5" s="1"/>
  <c r="P89" i="5"/>
  <c r="AB89" i="5" s="1"/>
  <c r="P51" i="5"/>
  <c r="AB51" i="5" s="1"/>
  <c r="P79" i="5"/>
  <c r="AB79" i="5" s="1"/>
  <c r="P104" i="5"/>
  <c r="AB104" i="5" s="1"/>
  <c r="P14" i="5"/>
  <c r="AB14" i="5" s="1"/>
  <c r="P21" i="5"/>
  <c r="AB21" i="5" s="1"/>
  <c r="P38" i="5"/>
  <c r="AB38" i="5" s="1"/>
  <c r="P25" i="5"/>
  <c r="AB25" i="5" s="1"/>
  <c r="P100" i="5"/>
  <c r="AB100" i="5" s="1"/>
  <c r="P54" i="5"/>
  <c r="AB54" i="5" s="1"/>
  <c r="P107" i="5"/>
  <c r="AB107" i="5" s="1"/>
  <c r="P87" i="5"/>
  <c r="AB87" i="5" s="1"/>
  <c r="P74" i="5"/>
  <c r="AB74" i="5" s="1"/>
  <c r="P36" i="5"/>
  <c r="AB36" i="5" s="1"/>
  <c r="P110" i="5"/>
  <c r="AB110" i="5" s="1"/>
  <c r="P40" i="5"/>
  <c r="AB40" i="5" s="1"/>
  <c r="P57" i="5"/>
  <c r="AB57" i="5" s="1"/>
  <c r="P35" i="5"/>
  <c r="AB35" i="5" s="1"/>
  <c r="P22" i="5"/>
  <c r="AB22" i="5" s="1"/>
  <c r="P62" i="5"/>
  <c r="AB62" i="5" s="1"/>
  <c r="P66" i="5"/>
  <c r="AB66" i="5" s="1"/>
  <c r="P102" i="5"/>
  <c r="AB102" i="5" s="1"/>
  <c r="P53" i="5"/>
  <c r="AB53" i="5" s="1"/>
  <c r="P82" i="5"/>
  <c r="AB82" i="5" s="1"/>
  <c r="P16" i="5"/>
  <c r="AB16" i="5" s="1"/>
  <c r="P48" i="5"/>
  <c r="AB48" i="5" s="1"/>
  <c r="P80" i="5"/>
  <c r="AB80" i="5" s="1"/>
  <c r="P15" i="5"/>
  <c r="AB15" i="5" s="1"/>
  <c r="P33" i="5"/>
  <c r="AB33" i="5" s="1"/>
  <c r="P65" i="5"/>
  <c r="AB65" i="5" s="1"/>
  <c r="P97" i="5"/>
  <c r="AB97" i="5" s="1"/>
  <c r="P34" i="5"/>
  <c r="AB34" i="5" s="1"/>
  <c r="P98" i="5"/>
  <c r="AB98" i="5" s="1"/>
  <c r="P67" i="5"/>
  <c r="AB67" i="5" s="1"/>
  <c r="P70" i="5"/>
  <c r="AB70" i="5" s="1"/>
  <c r="P39" i="5"/>
  <c r="AB39" i="5" s="1"/>
  <c r="P103" i="5"/>
  <c r="AB103" i="5" s="1"/>
  <c r="P20" i="5"/>
  <c r="AB20" i="5" s="1"/>
  <c r="P52" i="5"/>
  <c r="AB52" i="5" s="1"/>
  <c r="P84" i="5"/>
  <c r="AB84" i="5" s="1"/>
  <c r="P19" i="5"/>
  <c r="AB19" i="5" s="1"/>
  <c r="P37" i="5"/>
  <c r="AB37" i="5" s="1"/>
  <c r="P69" i="5"/>
  <c r="AB69" i="5" s="1"/>
  <c r="P101" i="5"/>
  <c r="AB101" i="5" s="1"/>
  <c r="P42" i="5"/>
  <c r="AB42" i="5" s="1"/>
  <c r="P106" i="5"/>
  <c r="AB106" i="5" s="1"/>
  <c r="P75" i="5"/>
  <c r="AB75" i="5" s="1"/>
  <c r="P78" i="5"/>
  <c r="AB78" i="5" s="1"/>
  <c r="P47" i="5"/>
  <c r="AB47" i="5" s="1"/>
  <c r="P111" i="5"/>
  <c r="AB111" i="5" s="1"/>
  <c r="P28" i="5"/>
  <c r="AB28" i="5" s="1"/>
  <c r="P92" i="5"/>
  <c r="AB92" i="5" s="1"/>
  <c r="P45" i="5"/>
  <c r="AB45" i="5" s="1"/>
  <c r="P109" i="5"/>
  <c r="AB109" i="5" s="1"/>
  <c r="P27" i="5"/>
  <c r="AB27" i="5" s="1"/>
  <c r="P63" i="5"/>
  <c r="AB63" i="5" s="1"/>
  <c r="P24" i="5"/>
  <c r="AB24" i="5" s="1"/>
  <c r="P56" i="5"/>
  <c r="AB56" i="5" s="1"/>
  <c r="P88" i="5"/>
  <c r="AB88" i="5" s="1"/>
  <c r="P23" i="5"/>
  <c r="AB23" i="5" s="1"/>
  <c r="P41" i="5"/>
  <c r="AB41" i="5" s="1"/>
  <c r="P73" i="5"/>
  <c r="AB73" i="5" s="1"/>
  <c r="P105" i="5"/>
  <c r="AB105" i="5" s="1"/>
  <c r="P50" i="5"/>
  <c r="AB50" i="5" s="1"/>
  <c r="P91" i="5"/>
  <c r="AB91" i="5" s="1"/>
  <c r="P83" i="5"/>
  <c r="AB83" i="5" s="1"/>
  <c r="P86" i="5"/>
  <c r="AB86" i="5" s="1"/>
  <c r="P55" i="5"/>
  <c r="AB55" i="5" s="1"/>
  <c r="P18" i="5"/>
  <c r="AB18" i="5" s="1"/>
  <c r="P44" i="5"/>
  <c r="AB44" i="5" s="1"/>
  <c r="P76" i="5"/>
  <c r="AB76" i="5" s="1"/>
  <c r="P108" i="5"/>
  <c r="AB108" i="5" s="1"/>
  <c r="P29" i="5"/>
  <c r="AB29" i="5" s="1"/>
  <c r="P61" i="5"/>
  <c r="AB61" i="5" s="1"/>
  <c r="P93" i="5"/>
  <c r="AB93" i="5" s="1"/>
  <c r="P26" i="5"/>
  <c r="AB26" i="5" s="1"/>
  <c r="P90" i="5"/>
  <c r="AB90" i="5" s="1"/>
  <c r="P59" i="5"/>
  <c r="AB59" i="5" s="1"/>
  <c r="P46" i="5"/>
  <c r="AB46" i="5" s="1"/>
  <c r="P31" i="5"/>
  <c r="AB31" i="5" s="1"/>
  <c r="P95" i="5"/>
  <c r="AB95" i="5" s="1"/>
  <c r="P60" i="5"/>
  <c r="AB60" i="5" s="1"/>
  <c r="P13" i="5"/>
  <c r="AB13" i="5" s="1"/>
  <c r="P77" i="5"/>
  <c r="AB77" i="5" s="1"/>
  <c r="P58" i="5"/>
  <c r="AB58" i="5" s="1"/>
  <c r="P99" i="5"/>
  <c r="AB99" i="5" s="1"/>
  <c r="P94" i="5"/>
  <c r="AB94" i="5" s="1"/>
  <c r="P30" i="5"/>
  <c r="AB30" i="5" s="1"/>
  <c r="P32" i="5"/>
  <c r="AB32" i="5" s="1"/>
  <c r="P64" i="5"/>
  <c r="AB64" i="5" s="1"/>
  <c r="P96" i="5"/>
  <c r="AB96" i="5" s="1"/>
  <c r="P17" i="5"/>
  <c r="AB17" i="5" s="1"/>
  <c r="P49" i="5"/>
  <c r="AB49" i="5" s="1"/>
  <c r="P81" i="5"/>
  <c r="AB81" i="5" s="1"/>
  <c r="AB12" i="5"/>
  <c r="Q29" i="5"/>
  <c r="AC29" i="5" s="1"/>
  <c r="Q61" i="5"/>
  <c r="AC61" i="5" s="1"/>
  <c r="Q93" i="5"/>
  <c r="AC93" i="5" s="1"/>
  <c r="Q28" i="5"/>
  <c r="AC28" i="5" s="1"/>
  <c r="Q60" i="5"/>
  <c r="AC60" i="5" s="1"/>
  <c r="Q92" i="5"/>
  <c r="AC92" i="5" s="1"/>
  <c r="Q47" i="5"/>
  <c r="AC47" i="5" s="1"/>
  <c r="Q111" i="5"/>
  <c r="AC111" i="5" s="1"/>
  <c r="Q34" i="5"/>
  <c r="AC34" i="5" s="1"/>
  <c r="Q98" i="5"/>
  <c r="AC98" i="5" s="1"/>
  <c r="Q83" i="5"/>
  <c r="AC83" i="5" s="1"/>
  <c r="Q78" i="5"/>
  <c r="AC78" i="5" s="1"/>
  <c r="Q33" i="5"/>
  <c r="AC33" i="5" s="1"/>
  <c r="Q65" i="5"/>
  <c r="AC65" i="5" s="1"/>
  <c r="Q97" i="5"/>
  <c r="AC97" i="5" s="1"/>
  <c r="Q32" i="5"/>
  <c r="AC32" i="5" s="1"/>
  <c r="Q64" i="5"/>
  <c r="AC64" i="5" s="1"/>
  <c r="Q96" i="5"/>
  <c r="AC96" i="5" s="1"/>
  <c r="Q55" i="5"/>
  <c r="AC55" i="5" s="1"/>
  <c r="Q67" i="5"/>
  <c r="AC67" i="5" s="1"/>
  <c r="Q42" i="5"/>
  <c r="AC42" i="5" s="1"/>
  <c r="Q106" i="5"/>
  <c r="AC106" i="5" s="1"/>
  <c r="Q91" i="5"/>
  <c r="AC91" i="5" s="1"/>
  <c r="Q86" i="5"/>
  <c r="AC86" i="5" s="1"/>
  <c r="Q72" i="5"/>
  <c r="AC72" i="5" s="1"/>
  <c r="Q71" i="5"/>
  <c r="AC71" i="5" s="1"/>
  <c r="Q58" i="5"/>
  <c r="AC58" i="5" s="1"/>
  <c r="Q38" i="5"/>
  <c r="AC38" i="5" s="1"/>
  <c r="Q37" i="5"/>
  <c r="AC37" i="5" s="1"/>
  <c r="Q69" i="5"/>
  <c r="AC69" i="5" s="1"/>
  <c r="Q101" i="5"/>
  <c r="AC101" i="5" s="1"/>
  <c r="Q36" i="5"/>
  <c r="AC36" i="5" s="1"/>
  <c r="Q68" i="5"/>
  <c r="AC68" i="5" s="1"/>
  <c r="Q100" i="5"/>
  <c r="AC100" i="5" s="1"/>
  <c r="Q63" i="5"/>
  <c r="AC63" i="5" s="1"/>
  <c r="Q99" i="5"/>
  <c r="AC99" i="5" s="1"/>
  <c r="Q50" i="5"/>
  <c r="AC50" i="5" s="1"/>
  <c r="Q27" i="5"/>
  <c r="AC27" i="5" s="1"/>
  <c r="Q30" i="5"/>
  <c r="AC30" i="5" s="1"/>
  <c r="Q94" i="5"/>
  <c r="AC94" i="5" s="1"/>
  <c r="Q25" i="5"/>
  <c r="AC25" i="5" s="1"/>
  <c r="Q57" i="5"/>
  <c r="AC57" i="5" s="1"/>
  <c r="Q89" i="5"/>
  <c r="AC89" i="5" s="1"/>
  <c r="Q24" i="5"/>
  <c r="AC24" i="5" s="1"/>
  <c r="Q56" i="5"/>
  <c r="AC56" i="5" s="1"/>
  <c r="Q88" i="5"/>
  <c r="AC88" i="5" s="1"/>
  <c r="Q39" i="5"/>
  <c r="AC39" i="5" s="1"/>
  <c r="Q103" i="5"/>
  <c r="AC103" i="5" s="1"/>
  <c r="Q26" i="5"/>
  <c r="AC26" i="5" s="1"/>
  <c r="Q90" i="5"/>
  <c r="AC90" i="5" s="1"/>
  <c r="Q75" i="5"/>
  <c r="AC75" i="5" s="1"/>
  <c r="Q70" i="5"/>
  <c r="AC70" i="5" s="1"/>
  <c r="Q18" i="5"/>
  <c r="AC18" i="5" s="1"/>
  <c r="Q41" i="5"/>
  <c r="AC41" i="5" s="1"/>
  <c r="Q73" i="5"/>
  <c r="AC73" i="5" s="1"/>
  <c r="Q105" i="5"/>
  <c r="AC105" i="5" s="1"/>
  <c r="Q40" i="5"/>
  <c r="AC40" i="5" s="1"/>
  <c r="Q104" i="5"/>
  <c r="AC104" i="5" s="1"/>
  <c r="Q107" i="5"/>
  <c r="AC107" i="5" s="1"/>
  <c r="Q35" i="5"/>
  <c r="AC35" i="5" s="1"/>
  <c r="Q102" i="5"/>
  <c r="AC102" i="5" s="1"/>
  <c r="Q13" i="5"/>
  <c r="AC13" i="5" s="1"/>
  <c r="Q45" i="5"/>
  <c r="AC45" i="5" s="1"/>
  <c r="Q77" i="5"/>
  <c r="AC77" i="5" s="1"/>
  <c r="Q109" i="5"/>
  <c r="AC109" i="5" s="1"/>
  <c r="Q44" i="5"/>
  <c r="AC44" i="5" s="1"/>
  <c r="Q76" i="5"/>
  <c r="AC76" i="5" s="1"/>
  <c r="Q108" i="5"/>
  <c r="AC108" i="5" s="1"/>
  <c r="Q79" i="5"/>
  <c r="AC79" i="5" s="1"/>
  <c r="Q14" i="5"/>
  <c r="AC14" i="5" s="1"/>
  <c r="Q66" i="5"/>
  <c r="AC66" i="5" s="1"/>
  <c r="Q43" i="5"/>
  <c r="AC43" i="5" s="1"/>
  <c r="Q46" i="5"/>
  <c r="AC46" i="5" s="1"/>
  <c r="Q15" i="5"/>
  <c r="AC15" i="5" s="1"/>
  <c r="AA12" i="5"/>
  <c r="O32" i="5"/>
  <c r="AA32" i="5" s="1"/>
  <c r="O64" i="5"/>
  <c r="AA64" i="5" s="1"/>
  <c r="O96" i="5"/>
  <c r="AA96" i="5" s="1"/>
  <c r="O31" i="5"/>
  <c r="AA31" i="5" s="1"/>
  <c r="O63" i="5"/>
  <c r="AA63" i="5" s="1"/>
  <c r="O36" i="5"/>
  <c r="AA36" i="5" s="1"/>
  <c r="O68" i="5"/>
  <c r="AA68" i="5" s="1"/>
  <c r="O100" i="5"/>
  <c r="AA100" i="5" s="1"/>
  <c r="O35" i="5"/>
  <c r="AA35" i="5" s="1"/>
  <c r="O67" i="5"/>
  <c r="AA67" i="5" s="1"/>
  <c r="O99" i="5"/>
  <c r="AA99" i="5" s="1"/>
  <c r="O58" i="5"/>
  <c r="AA58" i="5" s="1"/>
  <c r="O86" i="5"/>
  <c r="AA86" i="5" s="1"/>
  <c r="O37" i="5"/>
  <c r="AA37" i="5" s="1"/>
  <c r="O101" i="5"/>
  <c r="AA101" i="5" s="1"/>
  <c r="O78" i="5"/>
  <c r="AA78" i="5" s="1"/>
  <c r="O57" i="5"/>
  <c r="AA57" i="5" s="1"/>
  <c r="O44" i="5"/>
  <c r="AA44" i="5" s="1"/>
  <c r="O108" i="5"/>
  <c r="AA108" i="5" s="1"/>
  <c r="O75" i="5"/>
  <c r="AA75" i="5" s="1"/>
  <c r="O74" i="5"/>
  <c r="AA74" i="5" s="1"/>
  <c r="O53" i="5"/>
  <c r="AA53" i="5" s="1"/>
  <c r="O110" i="5"/>
  <c r="AA110" i="5" s="1"/>
  <c r="O40" i="5"/>
  <c r="AA40" i="5" s="1"/>
  <c r="O72" i="5"/>
  <c r="AA72" i="5" s="1"/>
  <c r="O104" i="5"/>
  <c r="AA104" i="5" s="1"/>
  <c r="O39" i="5"/>
  <c r="AA39" i="5" s="1"/>
  <c r="O71" i="5"/>
  <c r="AA71" i="5" s="1"/>
  <c r="O103" i="5"/>
  <c r="AA103" i="5" s="1"/>
  <c r="O66" i="5"/>
  <c r="AA66" i="5" s="1"/>
  <c r="O25" i="5"/>
  <c r="AA25" i="5" s="1"/>
  <c r="O45" i="5"/>
  <c r="AA45" i="5" s="1"/>
  <c r="O109" i="5"/>
  <c r="AA109" i="5" s="1"/>
  <c r="O102" i="5"/>
  <c r="AA102" i="5" s="1"/>
  <c r="O65" i="5"/>
  <c r="AA65" i="5" s="1"/>
  <c r="O28" i="5"/>
  <c r="AA28" i="5" s="1"/>
  <c r="O60" i="5"/>
  <c r="AA60" i="5" s="1"/>
  <c r="O92" i="5"/>
  <c r="AA92" i="5" s="1"/>
  <c r="O27" i="5"/>
  <c r="AA27" i="5" s="1"/>
  <c r="O59" i="5"/>
  <c r="AA59" i="5" s="1"/>
  <c r="O91" i="5"/>
  <c r="AA91" i="5" s="1"/>
  <c r="O42" i="5"/>
  <c r="AA42" i="5" s="1"/>
  <c r="O106" i="5"/>
  <c r="AA106" i="5" s="1"/>
  <c r="O13" i="5"/>
  <c r="AA13" i="5" s="1"/>
  <c r="O85" i="5"/>
  <c r="AA85" i="5" s="1"/>
  <c r="O54" i="5"/>
  <c r="AA54" i="5" s="1"/>
  <c r="O41" i="5"/>
  <c r="AA41" i="5" s="1"/>
  <c r="O95" i="5"/>
  <c r="AA95" i="5" s="1"/>
  <c r="O50" i="5"/>
  <c r="AA50" i="5" s="1"/>
  <c r="O18" i="5"/>
  <c r="AA18" i="5" s="1"/>
  <c r="O29" i="5"/>
  <c r="AA29" i="5" s="1"/>
  <c r="O93" i="5"/>
  <c r="AA93" i="5" s="1"/>
  <c r="O70" i="5"/>
  <c r="AA70" i="5" s="1"/>
  <c r="O49" i="5"/>
  <c r="AA49" i="5" s="1"/>
  <c r="O76" i="5"/>
  <c r="AA76" i="5" s="1"/>
  <c r="O43" i="5"/>
  <c r="AA43" i="5" s="1"/>
  <c r="O107" i="5"/>
  <c r="AA107" i="5" s="1"/>
  <c r="O89" i="5"/>
  <c r="AA89" i="5" s="1"/>
  <c r="O14" i="5"/>
  <c r="AA14" i="5" s="1"/>
  <c r="O73" i="5"/>
  <c r="AA73" i="5" s="1"/>
  <c r="W95" i="5"/>
  <c r="AI95" i="5" s="1"/>
  <c r="AI12" i="5"/>
  <c r="W13" i="5"/>
  <c r="AI13" i="5" s="1"/>
  <c r="W70" i="5"/>
  <c r="AI70" i="5" s="1"/>
  <c r="W102" i="5"/>
  <c r="AI102" i="5" s="1"/>
  <c r="W85" i="5"/>
  <c r="AI85" i="5" s="1"/>
  <c r="W53" i="5"/>
  <c r="AI53" i="5" s="1"/>
  <c r="W21" i="5"/>
  <c r="AI21" i="5" s="1"/>
  <c r="W44" i="5"/>
  <c r="AI44" i="5" s="1"/>
  <c r="W34" i="5"/>
  <c r="AI34" i="5" s="1"/>
  <c r="W66" i="5"/>
  <c r="AI66" i="5" s="1"/>
  <c r="W30" i="5"/>
  <c r="AI30" i="5" s="1"/>
  <c r="W40" i="5"/>
  <c r="AI40" i="5" s="1"/>
  <c r="W72" i="5"/>
  <c r="AI72" i="5" s="1"/>
  <c r="W111" i="5"/>
  <c r="AI111" i="5" s="1"/>
  <c r="W94" i="5"/>
  <c r="AI94" i="5" s="1"/>
  <c r="W39" i="5"/>
  <c r="AI39" i="5" s="1"/>
  <c r="W71" i="5"/>
  <c r="AI71" i="5" s="1"/>
  <c r="W98" i="5"/>
  <c r="AI98" i="5" s="1"/>
  <c r="W81" i="5"/>
  <c r="AI81" i="5" s="1"/>
  <c r="W49" i="5"/>
  <c r="AI49" i="5" s="1"/>
  <c r="W17" i="5"/>
  <c r="AI17" i="5" s="1"/>
  <c r="W76" i="5"/>
  <c r="AI76" i="5" s="1"/>
  <c r="W38" i="5"/>
  <c r="AI38" i="5" s="1"/>
  <c r="W14" i="5"/>
  <c r="AI14" i="5" s="1"/>
  <c r="W19" i="5"/>
  <c r="AI19" i="5" s="1"/>
  <c r="W51" i="5"/>
  <c r="AI51" i="5" s="1"/>
  <c r="W83" i="5"/>
  <c r="AI83" i="5" s="1"/>
  <c r="W109" i="5"/>
  <c r="AI109" i="5" s="1"/>
  <c r="W77" i="5"/>
  <c r="AI77" i="5" s="1"/>
  <c r="W45" i="5"/>
  <c r="AI45" i="5" s="1"/>
  <c r="W110" i="5"/>
  <c r="AI110" i="5" s="1"/>
  <c r="W84" i="5"/>
  <c r="AI84" i="5" s="1"/>
  <c r="W42" i="5"/>
  <c r="AI42" i="5" s="1"/>
  <c r="W74" i="5"/>
  <c r="AI74" i="5" s="1"/>
  <c r="W46" i="5"/>
  <c r="AI46" i="5" s="1"/>
  <c r="W16" i="5"/>
  <c r="AI16" i="5" s="1"/>
  <c r="W48" i="5"/>
  <c r="AI48" i="5" s="1"/>
  <c r="W80" i="5"/>
  <c r="AI80" i="5" s="1"/>
  <c r="W78" i="5"/>
  <c r="AI78" i="5" s="1"/>
  <c r="W107" i="5"/>
  <c r="AI107" i="5" s="1"/>
  <c r="W93" i="5"/>
  <c r="AI93" i="5" s="1"/>
  <c r="W61" i="5"/>
  <c r="AI61" i="5" s="1"/>
  <c r="W29" i="5"/>
  <c r="AI29" i="5" s="1"/>
  <c r="W62" i="5"/>
  <c r="AI62" i="5" s="1"/>
  <c r="W26" i="5"/>
  <c r="AI26" i="5" s="1"/>
  <c r="W58" i="5"/>
  <c r="AI58" i="5" s="1"/>
  <c r="W90" i="5"/>
  <c r="AI90" i="5" s="1"/>
  <c r="W68" i="5"/>
  <c r="AI68" i="5" s="1"/>
  <c r="W32" i="5"/>
  <c r="AI32" i="5" s="1"/>
  <c r="W64" i="5"/>
  <c r="AI64" i="5" s="1"/>
  <c r="W96" i="5"/>
  <c r="AI96" i="5" s="1"/>
  <c r="W92" i="5"/>
  <c r="AI92" i="5" s="1"/>
  <c r="W15" i="5"/>
  <c r="AI15" i="5" s="1"/>
  <c r="W79" i="5"/>
  <c r="AI79" i="5" s="1"/>
  <c r="W73" i="5"/>
  <c r="AI73" i="5" s="1"/>
  <c r="W108" i="5"/>
  <c r="AI108" i="5" s="1"/>
  <c r="W54" i="5"/>
  <c r="AI54" i="5" s="1"/>
  <c r="W86" i="5"/>
  <c r="AI86" i="5" s="1"/>
  <c r="W59" i="5"/>
  <c r="AI59" i="5" s="1"/>
  <c r="W69" i="5"/>
  <c r="AI69" i="5" s="1"/>
  <c r="W104" i="5"/>
  <c r="AI104" i="5" s="1"/>
  <c r="W50" i="5"/>
  <c r="AI50" i="5" s="1"/>
  <c r="W28" i="5"/>
  <c r="AI28" i="5" s="1"/>
  <c r="W56" i="5"/>
  <c r="AI56" i="5" s="1"/>
  <c r="W20" i="5"/>
  <c r="AI20" i="5" s="1"/>
  <c r="W23" i="5"/>
  <c r="AI23" i="5" s="1"/>
  <c r="W87" i="5"/>
  <c r="AI87" i="5" s="1"/>
  <c r="W65" i="5"/>
  <c r="AI65" i="5" s="1"/>
  <c r="W100" i="5"/>
  <c r="AI100" i="5" s="1"/>
  <c r="W60" i="5"/>
  <c r="AI60" i="5" s="1"/>
  <c r="W52" i="5"/>
  <c r="AI52" i="5" s="1"/>
  <c r="W67" i="5"/>
  <c r="AI67" i="5" s="1"/>
  <c r="W47" i="5"/>
  <c r="AI47" i="5" s="1"/>
  <c r="W105" i="5"/>
  <c r="AI105" i="5" s="1"/>
  <c r="W41" i="5"/>
  <c r="AI41" i="5" s="1"/>
  <c r="W27" i="5"/>
  <c r="AI27" i="5" s="1"/>
  <c r="W91" i="5"/>
  <c r="AI91" i="5" s="1"/>
  <c r="W22" i="5"/>
  <c r="AI22" i="5" s="1"/>
  <c r="W89" i="5"/>
  <c r="AI89" i="5" s="1"/>
  <c r="W43" i="5"/>
  <c r="AI43" i="5" s="1"/>
  <c r="W31" i="5"/>
  <c r="AI31" i="5" s="1"/>
  <c r="W57" i="5"/>
  <c r="AI57" i="5" s="1"/>
  <c r="W75" i="5"/>
  <c r="AI75" i="5" s="1"/>
  <c r="W37" i="5"/>
  <c r="AI37" i="5" s="1"/>
  <c r="W82" i="5"/>
  <c r="AI82" i="5" s="1"/>
  <c r="W88" i="5"/>
  <c r="AI88" i="5" s="1"/>
  <c r="W55" i="5"/>
  <c r="AI55" i="5" s="1"/>
  <c r="W33" i="5"/>
  <c r="AI33" i="5" s="1"/>
  <c r="W63" i="5"/>
  <c r="AI63" i="5" s="1"/>
  <c r="W25" i="5"/>
  <c r="AI25" i="5" s="1"/>
  <c r="W106" i="5"/>
  <c r="AI106" i="5" s="1"/>
  <c r="W36" i="5"/>
  <c r="AI36" i="5" s="1"/>
  <c r="W99" i="5"/>
  <c r="AI99" i="5" s="1"/>
  <c r="W103" i="5"/>
  <c r="AI103" i="5" s="1"/>
  <c r="W101" i="5"/>
  <c r="AI101" i="5" s="1"/>
  <c r="W18" i="5"/>
  <c r="AI18" i="5" s="1"/>
  <c r="W24" i="5"/>
  <c r="AI24" i="5" s="1"/>
  <c r="W97" i="5"/>
  <c r="AI97" i="5" s="1"/>
  <c r="W35" i="5"/>
  <c r="AI35" i="5" s="1"/>
  <c r="S16" i="5"/>
  <c r="AE16" i="5" s="1"/>
  <c r="S24" i="5"/>
  <c r="AE24" i="5" s="1"/>
  <c r="S32" i="5"/>
  <c r="AE32" i="5" s="1"/>
  <c r="S40" i="5"/>
  <c r="AE40" i="5" s="1"/>
  <c r="S48" i="5"/>
  <c r="AE48" i="5" s="1"/>
  <c r="S56" i="5"/>
  <c r="AE56" i="5" s="1"/>
  <c r="S64" i="5"/>
  <c r="AE64" i="5" s="1"/>
  <c r="S72" i="5"/>
  <c r="AE72" i="5" s="1"/>
  <c r="S75" i="5"/>
  <c r="AE75" i="5" s="1"/>
  <c r="S83" i="5"/>
  <c r="AE83" i="5" s="1"/>
  <c r="S91" i="5"/>
  <c r="AE91" i="5" s="1"/>
  <c r="S99" i="5"/>
  <c r="AE99" i="5" s="1"/>
  <c r="S107" i="5"/>
  <c r="AE107" i="5" s="1"/>
  <c r="S20" i="5"/>
  <c r="AE20" i="5" s="1"/>
  <c r="S28" i="5"/>
  <c r="AE28" i="5" s="1"/>
  <c r="S36" i="5"/>
  <c r="AE36" i="5" s="1"/>
  <c r="S44" i="5"/>
  <c r="AE44" i="5" s="1"/>
  <c r="S52" i="5"/>
  <c r="AE52" i="5" s="1"/>
  <c r="S60" i="5"/>
  <c r="AE60" i="5" s="1"/>
  <c r="S68" i="5"/>
  <c r="AE68" i="5" s="1"/>
  <c r="S79" i="5"/>
  <c r="AE79" i="5" s="1"/>
  <c r="S87" i="5"/>
  <c r="AE87" i="5" s="1"/>
  <c r="S95" i="5"/>
  <c r="AE95" i="5" s="1"/>
  <c r="S103" i="5"/>
  <c r="AE103" i="5" s="1"/>
  <c r="S111" i="5"/>
  <c r="AE111" i="5" s="1"/>
  <c r="AN109" i="5" s="1"/>
  <c r="S18" i="5"/>
  <c r="AE18" i="5" s="1"/>
  <c r="S25" i="5"/>
  <c r="AE25" i="5" s="1"/>
  <c r="S43" i="5"/>
  <c r="AE43" i="5" s="1"/>
  <c r="S50" i="5"/>
  <c r="AE50" i="5" s="1"/>
  <c r="S57" i="5"/>
  <c r="AE57" i="5" s="1"/>
  <c r="S86" i="5"/>
  <c r="AE86" i="5" s="1"/>
  <c r="S93" i="5"/>
  <c r="AE93" i="5" s="1"/>
  <c r="S100" i="5"/>
  <c r="AE100" i="5" s="1"/>
  <c r="S15" i="5"/>
  <c r="AE15" i="5" s="1"/>
  <c r="S22" i="5"/>
  <c r="AE22" i="5" s="1"/>
  <c r="S29" i="5"/>
  <c r="AE29" i="5" s="1"/>
  <c r="S47" i="5"/>
  <c r="AE47" i="5" s="1"/>
  <c r="S54" i="5"/>
  <c r="AE54" i="5" s="1"/>
  <c r="S61" i="5"/>
  <c r="AE61" i="5" s="1"/>
  <c r="S90" i="5"/>
  <c r="AE90" i="5" s="1"/>
  <c r="S97" i="5"/>
  <c r="AE97" i="5" s="1"/>
  <c r="S104" i="5"/>
  <c r="AE104" i="5" s="1"/>
  <c r="S19" i="5"/>
  <c r="AE19" i="5" s="1"/>
  <c r="S26" i="5"/>
  <c r="AE26" i="5" s="1"/>
  <c r="S33" i="5"/>
  <c r="AE33" i="5" s="1"/>
  <c r="S51" i="5"/>
  <c r="AE51" i="5" s="1"/>
  <c r="S58" i="5"/>
  <c r="AE58" i="5" s="1"/>
  <c r="S65" i="5"/>
  <c r="AE65" i="5" s="1"/>
  <c r="S76" i="5"/>
  <c r="AE76" i="5" s="1"/>
  <c r="S94" i="5"/>
  <c r="AE94" i="5" s="1"/>
  <c r="S101" i="5"/>
  <c r="AE101" i="5" s="1"/>
  <c r="S108" i="5"/>
  <c r="AE108" i="5" s="1"/>
  <c r="S27" i="5"/>
  <c r="AE27" i="5" s="1"/>
  <c r="S34" i="5"/>
  <c r="AE34" i="5" s="1"/>
  <c r="S41" i="5"/>
  <c r="AE41" i="5" s="1"/>
  <c r="S59" i="5"/>
  <c r="AE59" i="5" s="1"/>
  <c r="S66" i="5"/>
  <c r="AE66" i="5" s="1"/>
  <c r="S73" i="5"/>
  <c r="AE73" i="5" s="1"/>
  <c r="S77" i="5"/>
  <c r="AE77" i="5" s="1"/>
  <c r="S55" i="5"/>
  <c r="AE55" i="5" s="1"/>
  <c r="S62" i="5"/>
  <c r="AE62" i="5" s="1"/>
  <c r="S69" i="5"/>
  <c r="AE69" i="5" s="1"/>
  <c r="S82" i="5"/>
  <c r="AE82" i="5" s="1"/>
  <c r="S88" i="5"/>
  <c r="AE88" i="5" s="1"/>
  <c r="S63" i="5"/>
  <c r="AE63" i="5" s="1"/>
  <c r="S70" i="5"/>
  <c r="AE70" i="5" s="1"/>
  <c r="S106" i="5"/>
  <c r="AE106" i="5" s="1"/>
  <c r="AE12" i="5"/>
  <c r="S35" i="5"/>
  <c r="AE35" i="5" s="1"/>
  <c r="S42" i="5"/>
  <c r="AE42" i="5" s="1"/>
  <c r="S49" i="5"/>
  <c r="AE49" i="5" s="1"/>
  <c r="S78" i="5"/>
  <c r="AE78" i="5" s="1"/>
  <c r="S84" i="5"/>
  <c r="AE84" i="5" s="1"/>
  <c r="S89" i="5"/>
  <c r="AE89" i="5" s="1"/>
  <c r="S31" i="5"/>
  <c r="AE31" i="5" s="1"/>
  <c r="S38" i="5"/>
  <c r="AE38" i="5" s="1"/>
  <c r="S45" i="5"/>
  <c r="AE45" i="5" s="1"/>
  <c r="S98" i="5"/>
  <c r="AE98" i="5" s="1"/>
  <c r="S109" i="5"/>
  <c r="AE109" i="5" s="1"/>
  <c r="S39" i="5"/>
  <c r="AE39" i="5" s="1"/>
  <c r="S46" i="5"/>
  <c r="AE46" i="5" s="1"/>
  <c r="S53" i="5"/>
  <c r="AE53" i="5" s="1"/>
  <c r="S105" i="5"/>
  <c r="AE105" i="5" s="1"/>
  <c r="S110" i="5"/>
  <c r="AE110" i="5" s="1"/>
  <c r="S17" i="5"/>
  <c r="AE17" i="5" s="1"/>
  <c r="S37" i="5"/>
  <c r="AE37" i="5" s="1"/>
  <c r="S74" i="5"/>
  <c r="AE74" i="5" s="1"/>
  <c r="S23" i="5"/>
  <c r="AE23" i="5" s="1"/>
  <c r="S80" i="5"/>
  <c r="AE80" i="5" s="1"/>
  <c r="S21" i="5"/>
  <c r="AE21" i="5" s="1"/>
  <c r="S92" i="5"/>
  <c r="AE92" i="5" s="1"/>
  <c r="S13" i="5"/>
  <c r="AE13" i="5" s="1"/>
  <c r="S30" i="5"/>
  <c r="AE30" i="5" s="1"/>
  <c r="S67" i="5"/>
  <c r="AE67" i="5" s="1"/>
  <c r="S85" i="5"/>
  <c r="AE85" i="5" s="1"/>
  <c r="S102" i="5"/>
  <c r="AE102" i="5" s="1"/>
  <c r="S14" i="5"/>
  <c r="AE14" i="5" s="1"/>
  <c r="S71" i="5"/>
  <c r="AE71" i="5" s="1"/>
  <c r="S96" i="5"/>
  <c r="AE96" i="5" s="1"/>
  <c r="S81" i="5"/>
  <c r="AE81" i="5" s="1"/>
  <c r="U18" i="5"/>
  <c r="AG18" i="5" s="1"/>
  <c r="U26" i="5"/>
  <c r="AG26" i="5" s="1"/>
  <c r="U34" i="5"/>
  <c r="AG34" i="5" s="1"/>
  <c r="U42" i="5"/>
  <c r="AG42" i="5" s="1"/>
  <c r="U50" i="5"/>
  <c r="AG50" i="5" s="1"/>
  <c r="U58" i="5"/>
  <c r="AG58" i="5" s="1"/>
  <c r="U66" i="5"/>
  <c r="AG66" i="5" s="1"/>
  <c r="U77" i="5"/>
  <c r="AG77" i="5" s="1"/>
  <c r="U85" i="5"/>
  <c r="AG85" i="5" s="1"/>
  <c r="U93" i="5"/>
  <c r="AG93" i="5" s="1"/>
  <c r="U101" i="5"/>
  <c r="AG101" i="5" s="1"/>
  <c r="U109" i="5"/>
  <c r="AG109" i="5" s="1"/>
  <c r="U14" i="5"/>
  <c r="AG14" i="5" s="1"/>
  <c r="U22" i="5"/>
  <c r="AG22" i="5" s="1"/>
  <c r="U30" i="5"/>
  <c r="AG30" i="5" s="1"/>
  <c r="U38" i="5"/>
  <c r="AG38" i="5" s="1"/>
  <c r="U46" i="5"/>
  <c r="AG46" i="5" s="1"/>
  <c r="U54" i="5"/>
  <c r="AG54" i="5" s="1"/>
  <c r="U62" i="5"/>
  <c r="AG62" i="5" s="1"/>
  <c r="U70" i="5"/>
  <c r="AG70" i="5" s="1"/>
  <c r="U81" i="5"/>
  <c r="AG81" i="5" s="1"/>
  <c r="U89" i="5"/>
  <c r="AG89" i="5" s="1"/>
  <c r="U97" i="5"/>
  <c r="AG97" i="5" s="1"/>
  <c r="U105" i="5"/>
  <c r="AG105" i="5" s="1"/>
  <c r="U21" i="5"/>
  <c r="AG21" i="5" s="1"/>
  <c r="U28" i="5"/>
  <c r="AG28" i="5" s="1"/>
  <c r="U35" i="5"/>
  <c r="AG35" i="5" s="1"/>
  <c r="U53" i="5"/>
  <c r="AG53" i="5" s="1"/>
  <c r="U60" i="5"/>
  <c r="AG60" i="5" s="1"/>
  <c r="U67" i="5"/>
  <c r="AG67" i="5" s="1"/>
  <c r="U78" i="5"/>
  <c r="AG78" i="5" s="1"/>
  <c r="U96" i="5"/>
  <c r="AG96" i="5" s="1"/>
  <c r="U103" i="5"/>
  <c r="AG103" i="5" s="1"/>
  <c r="U110" i="5"/>
  <c r="AG110" i="5" s="1"/>
  <c r="U25" i="5"/>
  <c r="AG25" i="5" s="1"/>
  <c r="U32" i="5"/>
  <c r="AG32" i="5" s="1"/>
  <c r="U39" i="5"/>
  <c r="AG39" i="5" s="1"/>
  <c r="U57" i="5"/>
  <c r="AG57" i="5" s="1"/>
  <c r="U64" i="5"/>
  <c r="AG64" i="5" s="1"/>
  <c r="U71" i="5"/>
  <c r="AG71" i="5" s="1"/>
  <c r="U75" i="5"/>
  <c r="AG75" i="5" s="1"/>
  <c r="U82" i="5"/>
  <c r="AG82" i="5" s="1"/>
  <c r="U100" i="5"/>
  <c r="AG100" i="5" s="1"/>
  <c r="U107" i="5"/>
  <c r="AG107" i="5" s="1"/>
  <c r="U13" i="5"/>
  <c r="AG13" i="5" s="1"/>
  <c r="U29" i="5"/>
  <c r="AG29" i="5" s="1"/>
  <c r="U36" i="5"/>
  <c r="AG36" i="5" s="1"/>
  <c r="U43" i="5"/>
  <c r="AG43" i="5" s="1"/>
  <c r="U61" i="5"/>
  <c r="AG61" i="5" s="1"/>
  <c r="U68" i="5"/>
  <c r="AG68" i="5" s="1"/>
  <c r="U79" i="5"/>
  <c r="AG79" i="5" s="1"/>
  <c r="U86" i="5"/>
  <c r="AG86" i="5" s="1"/>
  <c r="U104" i="5"/>
  <c r="AG104" i="5" s="1"/>
  <c r="U111" i="5"/>
  <c r="AG111" i="5" s="1"/>
  <c r="AN111" i="5" s="1"/>
  <c r="U19" i="5"/>
  <c r="AG19" i="5" s="1"/>
  <c r="U37" i="5"/>
  <c r="AG37" i="5" s="1"/>
  <c r="U44" i="5"/>
  <c r="AG44" i="5" s="1"/>
  <c r="U51" i="5"/>
  <c r="AG51" i="5" s="1"/>
  <c r="U69" i="5"/>
  <c r="AG69" i="5" s="1"/>
  <c r="U33" i="5"/>
  <c r="AG33" i="5" s="1"/>
  <c r="U40" i="5"/>
  <c r="AG40" i="5" s="1"/>
  <c r="U47" i="5"/>
  <c r="AG47" i="5" s="1"/>
  <c r="U76" i="5"/>
  <c r="AG76" i="5" s="1"/>
  <c r="AG12" i="5"/>
  <c r="U41" i="5"/>
  <c r="AG41" i="5" s="1"/>
  <c r="U48" i="5"/>
  <c r="AG48" i="5" s="1"/>
  <c r="U55" i="5"/>
  <c r="AG55" i="5" s="1"/>
  <c r="U83" i="5"/>
  <c r="AG83" i="5" s="1"/>
  <c r="U88" i="5"/>
  <c r="AG88" i="5" s="1"/>
  <c r="U94" i="5"/>
  <c r="AG94" i="5" s="1"/>
  <c r="U99" i="5"/>
  <c r="AG99" i="5" s="1"/>
  <c r="U20" i="5"/>
  <c r="AG20" i="5" s="1"/>
  <c r="U27" i="5"/>
  <c r="AG27" i="5" s="1"/>
  <c r="U16" i="5"/>
  <c r="AG16" i="5" s="1"/>
  <c r="U23" i="5"/>
  <c r="AG23" i="5" s="1"/>
  <c r="U73" i="5"/>
  <c r="AG73" i="5" s="1"/>
  <c r="U80" i="5"/>
  <c r="AG80" i="5" s="1"/>
  <c r="U91" i="5"/>
  <c r="AG91" i="5" s="1"/>
  <c r="U102" i="5"/>
  <c r="AG102" i="5" s="1"/>
  <c r="U17" i="5"/>
  <c r="AG17" i="5" s="1"/>
  <c r="U24" i="5"/>
  <c r="AG24" i="5" s="1"/>
  <c r="U31" i="5"/>
  <c r="AG31" i="5" s="1"/>
  <c r="U74" i="5"/>
  <c r="AG74" i="5" s="1"/>
  <c r="U87" i="5"/>
  <c r="AG87" i="5" s="1"/>
  <c r="U92" i="5"/>
  <c r="AG92" i="5" s="1"/>
  <c r="U98" i="5"/>
  <c r="AG98" i="5" s="1"/>
  <c r="U15" i="5"/>
  <c r="AG15" i="5" s="1"/>
  <c r="U52" i="5"/>
  <c r="AG52" i="5" s="1"/>
  <c r="U72" i="5"/>
  <c r="AG72" i="5" s="1"/>
  <c r="U90" i="5"/>
  <c r="AG90" i="5" s="1"/>
  <c r="U56" i="5"/>
  <c r="AG56" i="5" s="1"/>
  <c r="U106" i="5"/>
  <c r="AG106" i="5" s="1"/>
  <c r="U95" i="5"/>
  <c r="AG95" i="5" s="1"/>
  <c r="U108" i="5"/>
  <c r="AG108" i="5" s="1"/>
  <c r="U59" i="5"/>
  <c r="AG59" i="5" s="1"/>
  <c r="U49" i="5"/>
  <c r="AG49" i="5" s="1"/>
  <c r="U45" i="5"/>
  <c r="AG45" i="5" s="1"/>
  <c r="U63" i="5"/>
  <c r="AG63" i="5" s="1"/>
  <c r="U65" i="5"/>
  <c r="AG65" i="5" s="1"/>
  <c r="U84" i="5"/>
  <c r="AG84" i="5" s="1"/>
  <c r="T21" i="5"/>
  <c r="AF21" i="5" s="1"/>
  <c r="T29" i="5"/>
  <c r="AF29" i="5" s="1"/>
  <c r="T37" i="5"/>
  <c r="AF37" i="5" s="1"/>
  <c r="T45" i="5"/>
  <c r="AF45" i="5" s="1"/>
  <c r="T53" i="5"/>
  <c r="AF53" i="5" s="1"/>
  <c r="T61" i="5"/>
  <c r="AF61" i="5" s="1"/>
  <c r="T69" i="5"/>
  <c r="AF69" i="5" s="1"/>
  <c r="T80" i="5"/>
  <c r="AF80" i="5" s="1"/>
  <c r="T88" i="5"/>
  <c r="AF88" i="5" s="1"/>
  <c r="T96" i="5"/>
  <c r="AF96" i="5" s="1"/>
  <c r="T104" i="5"/>
  <c r="AF104" i="5" s="1"/>
  <c r="T17" i="5"/>
  <c r="AF17" i="5" s="1"/>
  <c r="T25" i="5"/>
  <c r="AF25" i="5" s="1"/>
  <c r="T33" i="5"/>
  <c r="AF33" i="5" s="1"/>
  <c r="T41" i="5"/>
  <c r="AF41" i="5" s="1"/>
  <c r="T49" i="5"/>
  <c r="AF49" i="5" s="1"/>
  <c r="T57" i="5"/>
  <c r="AF57" i="5" s="1"/>
  <c r="T65" i="5"/>
  <c r="AF65" i="5" s="1"/>
  <c r="T73" i="5"/>
  <c r="AF73" i="5" s="1"/>
  <c r="T76" i="5"/>
  <c r="AF76" i="5" s="1"/>
  <c r="T84" i="5"/>
  <c r="AF84" i="5" s="1"/>
  <c r="T92" i="5"/>
  <c r="AF92" i="5" s="1"/>
  <c r="T100" i="5"/>
  <c r="AF100" i="5" s="1"/>
  <c r="T108" i="5"/>
  <c r="AF108" i="5" s="1"/>
  <c r="T14" i="5"/>
  <c r="AF14" i="5" s="1"/>
  <c r="T32" i="5"/>
  <c r="AF32" i="5" s="1"/>
  <c r="T39" i="5"/>
  <c r="AF39" i="5" s="1"/>
  <c r="T46" i="5"/>
  <c r="AF46" i="5" s="1"/>
  <c r="T64" i="5"/>
  <c r="AF64" i="5" s="1"/>
  <c r="T71" i="5"/>
  <c r="AF71" i="5" s="1"/>
  <c r="T75" i="5"/>
  <c r="AF75" i="5" s="1"/>
  <c r="T82" i="5"/>
  <c r="AF82" i="5" s="1"/>
  <c r="T89" i="5"/>
  <c r="AF89" i="5" s="1"/>
  <c r="T107" i="5"/>
  <c r="AF107" i="5" s="1"/>
  <c r="T18" i="5"/>
  <c r="AF18" i="5" s="1"/>
  <c r="T36" i="5"/>
  <c r="AF36" i="5" s="1"/>
  <c r="T43" i="5"/>
  <c r="AF43" i="5" s="1"/>
  <c r="T50" i="5"/>
  <c r="AF50" i="5" s="1"/>
  <c r="T68" i="5"/>
  <c r="AF68" i="5" s="1"/>
  <c r="T79" i="5"/>
  <c r="AF79" i="5" s="1"/>
  <c r="T86" i="5"/>
  <c r="AF86" i="5" s="1"/>
  <c r="T93" i="5"/>
  <c r="AF93" i="5" s="1"/>
  <c r="T111" i="5"/>
  <c r="AF111" i="5" s="1"/>
  <c r="AN110" i="5" s="1"/>
  <c r="T15" i="5"/>
  <c r="AF15" i="5" s="1"/>
  <c r="T22" i="5"/>
  <c r="AF22" i="5" s="1"/>
  <c r="T40" i="5"/>
  <c r="AF40" i="5" s="1"/>
  <c r="T47" i="5"/>
  <c r="AF47" i="5" s="1"/>
  <c r="T54" i="5"/>
  <c r="AF54" i="5" s="1"/>
  <c r="T72" i="5"/>
  <c r="AF72" i="5" s="1"/>
  <c r="T83" i="5"/>
  <c r="AF83" i="5" s="1"/>
  <c r="T90" i="5"/>
  <c r="AF90" i="5" s="1"/>
  <c r="T97" i="5"/>
  <c r="AF97" i="5" s="1"/>
  <c r="T13" i="5"/>
  <c r="AF13" i="5" s="1"/>
  <c r="T16" i="5"/>
  <c r="AF16" i="5" s="1"/>
  <c r="T23" i="5"/>
  <c r="AF23" i="5" s="1"/>
  <c r="T30" i="5"/>
  <c r="AF30" i="5" s="1"/>
  <c r="T48" i="5"/>
  <c r="AF48" i="5" s="1"/>
  <c r="T55" i="5"/>
  <c r="AF55" i="5" s="1"/>
  <c r="T62" i="5"/>
  <c r="AF62" i="5" s="1"/>
  <c r="T19" i="5"/>
  <c r="AF19" i="5" s="1"/>
  <c r="T26" i="5"/>
  <c r="AF26" i="5" s="1"/>
  <c r="T94" i="5"/>
  <c r="AF94" i="5" s="1"/>
  <c r="T99" i="5"/>
  <c r="AF99" i="5" s="1"/>
  <c r="T105" i="5"/>
  <c r="AF105" i="5" s="1"/>
  <c r="T110" i="5"/>
  <c r="AF110" i="5" s="1"/>
  <c r="T20" i="5"/>
  <c r="AF20" i="5" s="1"/>
  <c r="T27" i="5"/>
  <c r="AF27" i="5" s="1"/>
  <c r="T34" i="5"/>
  <c r="AF34" i="5" s="1"/>
  <c r="T77" i="5"/>
  <c r="AF77" i="5" s="1"/>
  <c r="T74" i="5"/>
  <c r="AF74" i="5" s="1"/>
  <c r="T56" i="5"/>
  <c r="AF56" i="5" s="1"/>
  <c r="T63" i="5"/>
  <c r="AF63" i="5" s="1"/>
  <c r="T70" i="5"/>
  <c r="AF70" i="5" s="1"/>
  <c r="T95" i="5"/>
  <c r="AF95" i="5" s="1"/>
  <c r="T101" i="5"/>
  <c r="AF101" i="5" s="1"/>
  <c r="T106" i="5"/>
  <c r="AF106" i="5" s="1"/>
  <c r="T52" i="5"/>
  <c r="AF52" i="5" s="1"/>
  <c r="T59" i="5"/>
  <c r="AF59" i="5" s="1"/>
  <c r="T66" i="5"/>
  <c r="AF66" i="5" s="1"/>
  <c r="T85" i="5"/>
  <c r="AF85" i="5" s="1"/>
  <c r="T60" i="5"/>
  <c r="AF60" i="5" s="1"/>
  <c r="T67" i="5"/>
  <c r="AF67" i="5" s="1"/>
  <c r="T81" i="5"/>
  <c r="AF81" i="5" s="1"/>
  <c r="AF12" i="5"/>
  <c r="T35" i="5"/>
  <c r="AF35" i="5" s="1"/>
  <c r="T103" i="5"/>
  <c r="AF103" i="5" s="1"/>
  <c r="T109" i="5"/>
  <c r="AF109" i="5" s="1"/>
  <c r="T91" i="5"/>
  <c r="AF91" i="5" s="1"/>
  <c r="T42" i="5"/>
  <c r="AF42" i="5" s="1"/>
  <c r="T38" i="5"/>
  <c r="AF38" i="5" s="1"/>
  <c r="T58" i="5"/>
  <c r="AF58" i="5" s="1"/>
  <c r="T78" i="5"/>
  <c r="AF78" i="5" s="1"/>
  <c r="T31" i="5"/>
  <c r="AF31" i="5" s="1"/>
  <c r="T51" i="5"/>
  <c r="AF51" i="5" s="1"/>
  <c r="T87" i="5"/>
  <c r="AF87" i="5" s="1"/>
  <c r="T102" i="5"/>
  <c r="AF102" i="5" s="1"/>
  <c r="T24" i="5"/>
  <c r="AF24" i="5" s="1"/>
  <c r="T28" i="5"/>
  <c r="AF28" i="5" s="1"/>
  <c r="T98" i="5"/>
  <c r="AF98" i="5" s="1"/>
  <c r="T44" i="5"/>
  <c r="AF44" i="5" s="1"/>
  <c r="X111" i="5"/>
  <c r="AJ111" i="5" s="1"/>
  <c r="X35" i="5"/>
  <c r="AJ35" i="5" s="1"/>
  <c r="X109" i="5"/>
  <c r="AJ109" i="5" s="1"/>
  <c r="X99" i="5"/>
  <c r="AJ99" i="5" s="1"/>
  <c r="X23" i="5"/>
  <c r="AJ23" i="5" s="1"/>
  <c r="X103" i="5"/>
  <c r="AJ103" i="5" s="1"/>
  <c r="AJ12" i="5"/>
  <c r="X95" i="5"/>
  <c r="AJ95" i="5" s="1"/>
  <c r="X63" i="5"/>
  <c r="AJ63" i="5" s="1"/>
  <c r="X31" i="5"/>
  <c r="AJ31" i="5" s="1"/>
  <c r="X55" i="5"/>
  <c r="AJ55" i="5" s="1"/>
  <c r="X83" i="5"/>
  <c r="AJ83" i="5" s="1"/>
  <c r="X51" i="5"/>
  <c r="AJ51" i="5" s="1"/>
  <c r="X87" i="5"/>
  <c r="AJ87" i="5" s="1"/>
  <c r="X19" i="5"/>
  <c r="AJ19" i="5" s="1"/>
  <c r="X79" i="5"/>
  <c r="AJ79" i="5" s="1"/>
  <c r="X15" i="5"/>
  <c r="AJ15" i="5" s="1"/>
  <c r="X71" i="5"/>
  <c r="AJ71" i="5" s="1"/>
  <c r="X47" i="5"/>
  <c r="AJ47" i="5" s="1"/>
  <c r="X107" i="5"/>
  <c r="AJ107" i="5" s="1"/>
  <c r="X39" i="5"/>
  <c r="AJ39" i="5" s="1"/>
  <c r="X16" i="5"/>
  <c r="AJ16" i="5" s="1"/>
  <c r="X67" i="5"/>
  <c r="AJ67" i="5" s="1"/>
  <c r="X32" i="5"/>
  <c r="AJ32" i="5" s="1"/>
  <c r="X64" i="5"/>
  <c r="AJ64" i="5" s="1"/>
  <c r="X96" i="5"/>
  <c r="AJ96" i="5" s="1"/>
  <c r="X30" i="5"/>
  <c r="AJ30" i="5" s="1"/>
  <c r="X62" i="5"/>
  <c r="AJ62" i="5" s="1"/>
  <c r="X94" i="5"/>
  <c r="AJ94" i="5" s="1"/>
  <c r="X25" i="5"/>
  <c r="AJ25" i="5" s="1"/>
  <c r="X57" i="5"/>
  <c r="AJ57" i="5" s="1"/>
  <c r="X89" i="5"/>
  <c r="AJ89" i="5" s="1"/>
  <c r="X27" i="5"/>
  <c r="AJ27" i="5" s="1"/>
  <c r="X36" i="5"/>
  <c r="AJ36" i="5" s="1"/>
  <c r="X68" i="5"/>
  <c r="AJ68" i="5" s="1"/>
  <c r="X100" i="5"/>
  <c r="AJ100" i="5" s="1"/>
  <c r="X34" i="5"/>
  <c r="AJ34" i="5" s="1"/>
  <c r="X66" i="5"/>
  <c r="AJ66" i="5" s="1"/>
  <c r="X98" i="5"/>
  <c r="AJ98" i="5" s="1"/>
  <c r="X29" i="5"/>
  <c r="AJ29" i="5" s="1"/>
  <c r="X61" i="5"/>
  <c r="AJ61" i="5" s="1"/>
  <c r="X93" i="5"/>
  <c r="AJ93" i="5" s="1"/>
  <c r="X43" i="5"/>
  <c r="AJ43" i="5" s="1"/>
  <c r="X40" i="5"/>
  <c r="AJ40" i="5" s="1"/>
  <c r="X72" i="5"/>
  <c r="AJ72" i="5" s="1"/>
  <c r="X104" i="5"/>
  <c r="AJ104" i="5" s="1"/>
  <c r="X38" i="5"/>
  <c r="AJ38" i="5" s="1"/>
  <c r="X70" i="5"/>
  <c r="AJ70" i="5" s="1"/>
  <c r="X102" i="5"/>
  <c r="AJ102" i="5" s="1"/>
  <c r="X33" i="5"/>
  <c r="AJ33" i="5" s="1"/>
  <c r="X65" i="5"/>
  <c r="AJ65" i="5" s="1"/>
  <c r="X97" i="5"/>
  <c r="AJ97" i="5" s="1"/>
  <c r="X24" i="5"/>
  <c r="AJ24" i="5" s="1"/>
  <c r="X56" i="5"/>
  <c r="AJ56" i="5" s="1"/>
  <c r="X88" i="5"/>
  <c r="AJ88" i="5" s="1"/>
  <c r="X22" i="5"/>
  <c r="AJ22" i="5" s="1"/>
  <c r="X54" i="5"/>
  <c r="AJ54" i="5" s="1"/>
  <c r="X86" i="5"/>
  <c r="AJ86" i="5" s="1"/>
  <c r="X17" i="5"/>
  <c r="AJ17" i="5" s="1"/>
  <c r="X49" i="5"/>
  <c r="AJ49" i="5" s="1"/>
  <c r="X81" i="5"/>
  <c r="AJ81" i="5" s="1"/>
  <c r="X44" i="5"/>
  <c r="AJ44" i="5" s="1"/>
  <c r="X108" i="5"/>
  <c r="AJ108" i="5" s="1"/>
  <c r="X74" i="5"/>
  <c r="AJ74" i="5" s="1"/>
  <c r="X37" i="5"/>
  <c r="AJ37" i="5" s="1"/>
  <c r="X101" i="5"/>
  <c r="AJ101" i="5" s="1"/>
  <c r="X48" i="5"/>
  <c r="AJ48" i="5" s="1"/>
  <c r="X14" i="5"/>
  <c r="AJ14" i="5" s="1"/>
  <c r="X78" i="5"/>
  <c r="AJ78" i="5" s="1"/>
  <c r="X41" i="5"/>
  <c r="AJ41" i="5" s="1"/>
  <c r="X105" i="5"/>
  <c r="AJ105" i="5" s="1"/>
  <c r="X52" i="5"/>
  <c r="AJ52" i="5" s="1"/>
  <c r="X18" i="5"/>
  <c r="AJ18" i="5" s="1"/>
  <c r="X82" i="5"/>
  <c r="AJ82" i="5" s="1"/>
  <c r="X45" i="5"/>
  <c r="AJ45" i="5" s="1"/>
  <c r="X59" i="5"/>
  <c r="AJ59" i="5" s="1"/>
  <c r="X76" i="5"/>
  <c r="AJ76" i="5" s="1"/>
  <c r="X42" i="5"/>
  <c r="AJ42" i="5" s="1"/>
  <c r="X106" i="5"/>
  <c r="AJ106" i="5" s="1"/>
  <c r="X69" i="5"/>
  <c r="AJ69" i="5" s="1"/>
  <c r="X75" i="5"/>
  <c r="AJ75" i="5" s="1"/>
  <c r="X91" i="5"/>
  <c r="AJ91" i="5" s="1"/>
  <c r="X92" i="5"/>
  <c r="AJ92" i="5" s="1"/>
  <c r="X21" i="5"/>
  <c r="AJ21" i="5" s="1"/>
  <c r="X26" i="5"/>
  <c r="AJ26" i="5" s="1"/>
  <c r="X53" i="5"/>
  <c r="AJ53" i="5" s="1"/>
  <c r="X46" i="5"/>
  <c r="AJ46" i="5" s="1"/>
  <c r="X73" i="5"/>
  <c r="AJ73" i="5" s="1"/>
  <c r="X20" i="5"/>
  <c r="AJ20" i="5" s="1"/>
  <c r="X50" i="5"/>
  <c r="AJ50" i="5" s="1"/>
  <c r="X77" i="5"/>
  <c r="AJ77" i="5" s="1"/>
  <c r="X28" i="5"/>
  <c r="AJ28" i="5" s="1"/>
  <c r="X58" i="5"/>
  <c r="AJ58" i="5" s="1"/>
  <c r="X85" i="5"/>
  <c r="AJ85" i="5" s="1"/>
  <c r="X60" i="5"/>
  <c r="AJ60" i="5" s="1"/>
  <c r="X90" i="5"/>
  <c r="AJ90" i="5" s="1"/>
  <c r="X80" i="5"/>
  <c r="AJ80" i="5" s="1"/>
  <c r="X110" i="5"/>
  <c r="AJ110" i="5" s="1"/>
  <c r="X84" i="5"/>
  <c r="AJ84" i="5" s="1"/>
  <c r="X13" i="5"/>
  <c r="AJ13" i="5" s="1"/>
  <c r="Y75" i="5"/>
  <c r="AK75" i="5" s="1"/>
  <c r="AK12" i="5"/>
  <c r="Y83" i="5"/>
  <c r="AK83" i="5" s="1"/>
  <c r="Y59" i="5"/>
  <c r="AK59" i="5" s="1"/>
  <c r="Y67" i="5"/>
  <c r="AK67" i="5" s="1"/>
  <c r="Y49" i="5"/>
  <c r="AK49" i="5" s="1"/>
  <c r="Y65" i="5"/>
  <c r="AK65" i="5" s="1"/>
  <c r="Y33" i="5"/>
  <c r="AK33" i="5" s="1"/>
  <c r="Y89" i="5"/>
  <c r="AK89" i="5" s="1"/>
  <c r="Y27" i="5"/>
  <c r="AK27" i="5" s="1"/>
  <c r="Y17" i="5"/>
  <c r="AK17" i="5" s="1"/>
  <c r="Y108" i="5"/>
  <c r="AK108" i="5" s="1"/>
  <c r="Y41" i="5"/>
  <c r="AK41" i="5" s="1"/>
  <c r="Y51" i="5"/>
  <c r="AK51" i="5" s="1"/>
  <c r="Y57" i="5"/>
  <c r="AK57" i="5" s="1"/>
  <c r="Y86" i="5"/>
  <c r="AK86" i="5" s="1"/>
  <c r="Y54" i="5"/>
  <c r="AK54" i="5" s="1"/>
  <c r="Y22" i="5"/>
  <c r="AK22" i="5" s="1"/>
  <c r="Y105" i="5"/>
  <c r="AK105" i="5" s="1"/>
  <c r="Y36" i="5"/>
  <c r="AK36" i="5" s="1"/>
  <c r="Y68" i="5"/>
  <c r="AK68" i="5" s="1"/>
  <c r="Y104" i="5"/>
  <c r="AK104" i="5" s="1"/>
  <c r="Y16" i="5"/>
  <c r="AK16" i="5" s="1"/>
  <c r="Y48" i="5"/>
  <c r="AK48" i="5" s="1"/>
  <c r="Y80" i="5"/>
  <c r="AK80" i="5" s="1"/>
  <c r="Y25" i="5"/>
  <c r="AK25" i="5" s="1"/>
  <c r="Y82" i="5"/>
  <c r="AK82" i="5" s="1"/>
  <c r="Y50" i="5"/>
  <c r="AK50" i="5" s="1"/>
  <c r="Y18" i="5"/>
  <c r="AK18" i="5" s="1"/>
  <c r="Y101" i="5"/>
  <c r="AK101" i="5" s="1"/>
  <c r="Y39" i="5"/>
  <c r="AK39" i="5" s="1"/>
  <c r="Y71" i="5"/>
  <c r="AK71" i="5" s="1"/>
  <c r="Y13" i="5"/>
  <c r="AK13" i="5" s="1"/>
  <c r="Y45" i="5"/>
  <c r="AK45" i="5" s="1"/>
  <c r="Y77" i="5"/>
  <c r="AK77" i="5" s="1"/>
  <c r="Y43" i="5"/>
  <c r="AK43" i="5" s="1"/>
  <c r="Y110" i="5"/>
  <c r="AK110" i="5" s="1"/>
  <c r="Y78" i="5"/>
  <c r="AK78" i="5" s="1"/>
  <c r="Y46" i="5"/>
  <c r="AK46" i="5" s="1"/>
  <c r="Y14" i="5"/>
  <c r="AK14" i="5" s="1"/>
  <c r="Y97" i="5"/>
  <c r="AK97" i="5" s="1"/>
  <c r="Y44" i="5"/>
  <c r="AK44" i="5" s="1"/>
  <c r="Y76" i="5"/>
  <c r="AK76" i="5" s="1"/>
  <c r="Y24" i="5"/>
  <c r="AK24" i="5" s="1"/>
  <c r="Y56" i="5"/>
  <c r="AK56" i="5" s="1"/>
  <c r="Y88" i="5"/>
  <c r="AK88" i="5" s="1"/>
  <c r="Y91" i="5"/>
  <c r="AK91" i="5" s="1"/>
  <c r="Y94" i="5"/>
  <c r="AK94" i="5" s="1"/>
  <c r="Y62" i="5"/>
  <c r="AK62" i="5" s="1"/>
  <c r="Y30" i="5"/>
  <c r="AK30" i="5" s="1"/>
  <c r="Y103" i="5"/>
  <c r="AK103" i="5" s="1"/>
  <c r="Y28" i="5"/>
  <c r="AK28" i="5" s="1"/>
  <c r="Y60" i="5"/>
  <c r="AK60" i="5" s="1"/>
  <c r="Y92" i="5"/>
  <c r="AK92" i="5" s="1"/>
  <c r="Y40" i="5"/>
  <c r="AK40" i="5" s="1"/>
  <c r="Y72" i="5"/>
  <c r="AK72" i="5" s="1"/>
  <c r="Y81" i="5"/>
  <c r="AK81" i="5" s="1"/>
  <c r="Y106" i="5"/>
  <c r="AK106" i="5" s="1"/>
  <c r="Y42" i="5"/>
  <c r="AK42" i="5" s="1"/>
  <c r="Y47" i="5"/>
  <c r="AK47" i="5" s="1"/>
  <c r="Y53" i="5"/>
  <c r="AK53" i="5" s="1"/>
  <c r="Y35" i="5"/>
  <c r="AK35" i="5" s="1"/>
  <c r="Y102" i="5"/>
  <c r="AK102" i="5" s="1"/>
  <c r="Y38" i="5"/>
  <c r="AK38" i="5" s="1"/>
  <c r="Y20" i="5"/>
  <c r="AK20" i="5" s="1"/>
  <c r="Y84" i="5"/>
  <c r="AK84" i="5" s="1"/>
  <c r="Y64" i="5"/>
  <c r="AK64" i="5" s="1"/>
  <c r="Y73" i="5"/>
  <c r="AK73" i="5" s="1"/>
  <c r="Y98" i="5"/>
  <c r="AK98" i="5" s="1"/>
  <c r="Y34" i="5"/>
  <c r="AK34" i="5" s="1"/>
  <c r="Y55" i="5"/>
  <c r="AK55" i="5" s="1"/>
  <c r="Y61" i="5"/>
  <c r="AK61" i="5" s="1"/>
  <c r="Y19" i="5"/>
  <c r="AK19" i="5" s="1"/>
  <c r="Y74" i="5"/>
  <c r="AK74" i="5" s="1"/>
  <c r="Y111" i="5"/>
  <c r="AK111" i="5" s="1"/>
  <c r="Y15" i="5"/>
  <c r="AK15" i="5" s="1"/>
  <c r="Y79" i="5"/>
  <c r="AK79" i="5" s="1"/>
  <c r="Y21" i="5"/>
  <c r="AK21" i="5" s="1"/>
  <c r="Y85" i="5"/>
  <c r="AK85" i="5" s="1"/>
  <c r="Y109" i="5"/>
  <c r="AK109" i="5" s="1"/>
  <c r="Y31" i="5"/>
  <c r="AK31" i="5" s="1"/>
  <c r="Y37" i="5"/>
  <c r="AK37" i="5" s="1"/>
  <c r="Y90" i="5"/>
  <c r="AK90" i="5" s="1"/>
  <c r="Y63" i="5"/>
  <c r="AK63" i="5" s="1"/>
  <c r="Y69" i="5"/>
  <c r="AK69" i="5" s="1"/>
  <c r="Y70" i="5"/>
  <c r="AK70" i="5" s="1"/>
  <c r="Y52" i="5"/>
  <c r="AK52" i="5" s="1"/>
  <c r="Y96" i="5"/>
  <c r="AK96" i="5" s="1"/>
  <c r="Y66" i="5"/>
  <c r="AK66" i="5" s="1"/>
  <c r="Y87" i="5"/>
  <c r="AK87" i="5" s="1"/>
  <c r="Y93" i="5"/>
  <c r="AK93" i="5" s="1"/>
  <c r="Y58" i="5"/>
  <c r="AK58" i="5" s="1"/>
  <c r="Y95" i="5"/>
  <c r="AK95" i="5" s="1"/>
  <c r="Y100" i="5"/>
  <c r="AK100" i="5" s="1"/>
  <c r="Y26" i="5"/>
  <c r="AK26" i="5" s="1"/>
  <c r="Y99" i="5"/>
  <c r="AK99" i="5" s="1"/>
  <c r="Y32" i="5"/>
  <c r="AK32" i="5" s="1"/>
  <c r="Y107" i="5"/>
  <c r="AK107" i="5" s="1"/>
  <c r="Y23" i="5"/>
  <c r="AK23" i="5" s="1"/>
  <c r="Y29" i="5"/>
  <c r="AK29" i="5" s="1"/>
  <c r="AP110" i="5" l="1"/>
  <c r="AF116" i="5"/>
  <c r="AP109" i="5"/>
  <c r="AF115" i="5"/>
  <c r="AP111" i="5"/>
  <c r="AF117" i="5"/>
  <c r="AH115" i="5"/>
  <c r="AO109" i="5"/>
  <c r="AO111" i="5"/>
  <c r="AH117" i="5"/>
  <c r="AO110" i="5"/>
  <c r="AH11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<sst xmlns="http://schemas.openxmlformats.org/spreadsheetml/2006/main" count="207" uniqueCount="127">
  <si>
    <t>Date</t>
  </si>
  <si>
    <t>Price</t>
  </si>
  <si>
    <t>Retruns</t>
  </si>
  <si>
    <t>MEDIA POTFOLIO</t>
  </si>
  <si>
    <t>PRTFOLIO VARIANCE</t>
  </si>
  <si>
    <t>COVARIANCE</t>
  </si>
  <si>
    <t>T</t>
  </si>
  <si>
    <t>VAR(95%)</t>
  </si>
  <si>
    <t>VAR(99%)</t>
  </si>
  <si>
    <t>VAR(99,5%)</t>
  </si>
  <si>
    <t>as formula</t>
  </si>
  <si>
    <t>ZSCORE</t>
  </si>
  <si>
    <t>JOINT</t>
  </si>
  <si>
    <t>VAR= Zscore*rad(sigma)*RAD(T) -mu*(T)</t>
  </si>
  <si>
    <t>lambda</t>
  </si>
  <si>
    <t>COVARIANCE EWMA</t>
  </si>
  <si>
    <t>flat covariance</t>
  </si>
  <si>
    <t>Portfolio EWMA Variance</t>
  </si>
  <si>
    <t>EWMA variances</t>
  </si>
  <si>
    <t>flat variances</t>
  </si>
  <si>
    <t>N</t>
  </si>
  <si>
    <t>CORR</t>
  </si>
  <si>
    <t>VaR(95%)</t>
  </si>
  <si>
    <t>VaR(99%)</t>
  </si>
  <si>
    <t>VaR(99,5%)</t>
  </si>
  <si>
    <t>MONTECARLO using  VBA</t>
  </si>
  <si>
    <t>number of data</t>
  </si>
  <si>
    <t>these are the numbers we consider for Var at T =1</t>
  </si>
  <si>
    <t>Viniziale =</t>
  </si>
  <si>
    <t>V0*vi/(vi-1)</t>
  </si>
  <si>
    <t>P&amp;L</t>
  </si>
  <si>
    <t>as in Hist Val</t>
  </si>
  <si>
    <t>joint</t>
  </si>
  <si>
    <t>Returns</t>
  </si>
  <si>
    <t>VaR (sigma Flat)</t>
  </si>
  <si>
    <t>VaR EWMA</t>
  </si>
  <si>
    <t>used for computing</t>
  </si>
  <si>
    <t>the portfolio variance</t>
  </si>
  <si>
    <t>Dev. St. EWMA</t>
  </si>
  <si>
    <t>PORTFOLIO RETURNS</t>
  </si>
  <si>
    <t>HISTORICAL VaR</t>
  </si>
  <si>
    <t>we need these numbers in order to compute the VaR</t>
  </si>
  <si>
    <t>let us compute the value of our portfolio today:</t>
  </si>
  <si>
    <t xml:space="preserve">SIMULATIONS </t>
  </si>
  <si>
    <t>formula for the simulation=</t>
  </si>
  <si>
    <t>VaR</t>
  </si>
  <si>
    <t>VaR Perc</t>
  </si>
  <si>
    <t>it makes sense that in our case the results are the same as in the historical VaR case</t>
  </si>
  <si>
    <t xml:space="preserve">subaddittivity </t>
  </si>
  <si>
    <t>&lt;</t>
  </si>
  <si>
    <t>07-Oct-2025</t>
  </si>
  <si>
    <t>08-Oct-2025</t>
  </si>
  <si>
    <t>09-Oct-2025</t>
  </si>
  <si>
    <t>10-Oct-2025</t>
  </si>
  <si>
    <t>13-Oct-2025</t>
  </si>
  <si>
    <t>14-Oct-2025</t>
  </si>
  <si>
    <t>15-Oct-2025</t>
  </si>
  <si>
    <t>16-Oct-2025</t>
  </si>
  <si>
    <t>17-Oct-2025</t>
  </si>
  <si>
    <t>20-Oct-2025</t>
  </si>
  <si>
    <t>21-Oct-2025</t>
  </si>
  <si>
    <t>22-Oct-2025</t>
  </si>
  <si>
    <t>23-Oct-2025</t>
  </si>
  <si>
    <t>24-Oct-2025</t>
  </si>
  <si>
    <t>27-Oct-2025</t>
  </si>
  <si>
    <t>28-Oct-2025</t>
  </si>
  <si>
    <t>29-Oct-2025</t>
  </si>
  <si>
    <t>30-Oct-2025</t>
  </si>
  <si>
    <t>31-Oct-2025</t>
  </si>
  <si>
    <t>01-Dec-2025</t>
  </si>
  <si>
    <t>02-Dec-2025</t>
  </si>
  <si>
    <t>03-Dec-2025</t>
  </si>
  <si>
    <t>04-Dec-2025</t>
  </si>
  <si>
    <t>05-Dec-2025</t>
  </si>
  <si>
    <t>08-Dec-2025</t>
  </si>
  <si>
    <t>09-Dec-2025</t>
  </si>
  <si>
    <t>10-Dec-2025</t>
  </si>
  <si>
    <t>11-Dec-2025</t>
  </si>
  <si>
    <t>12-Dec-2025</t>
  </si>
  <si>
    <t>15-Dec-2025</t>
  </si>
  <si>
    <t>16-Dec-2025</t>
  </si>
  <si>
    <t>17-Dec-2025</t>
  </si>
  <si>
    <t>18-Dec-2025</t>
  </si>
  <si>
    <t>19-Dec-2025</t>
  </si>
  <si>
    <t>22-Dec-2025</t>
  </si>
  <si>
    <t>23-Dec-2025</t>
  </si>
  <si>
    <t>24-Dec-2025</t>
  </si>
  <si>
    <t>26-Dec-2025</t>
  </si>
  <si>
    <t>29-Dec-2025</t>
  </si>
  <si>
    <t>30-Dec-2025</t>
  </si>
  <si>
    <t>31-Dec-2025</t>
  </si>
  <si>
    <t>02-Jan-2026</t>
  </si>
  <si>
    <t>05-Jan-2026</t>
  </si>
  <si>
    <t>06-Jan-2026</t>
  </si>
  <si>
    <t>07-Jan-2026</t>
  </si>
  <si>
    <t>08-Jan-2026</t>
  </si>
  <si>
    <t>09-Jan-2026</t>
  </si>
  <si>
    <t>12-Jan-2026</t>
  </si>
  <si>
    <t>13-Jan-2026</t>
  </si>
  <si>
    <t>14-Jan-2026</t>
  </si>
  <si>
    <t>15-Jan-2026</t>
  </si>
  <si>
    <t>16-Jan-2026</t>
  </si>
  <si>
    <t>20-Jan-2026</t>
  </si>
  <si>
    <t>21-Jan-2026</t>
  </si>
  <si>
    <t>22-Jan-2026</t>
  </si>
  <si>
    <t>23-Jan-2026</t>
  </si>
  <si>
    <t>26-Jan-2026</t>
  </si>
  <si>
    <t>27-Jan-2026</t>
  </si>
  <si>
    <t>28-Jan-2026</t>
  </si>
  <si>
    <t>29-Jan-2026</t>
  </si>
  <si>
    <t>30-Jan-2026</t>
  </si>
  <si>
    <t>IBIT</t>
  </si>
  <si>
    <t>LVMH</t>
  </si>
  <si>
    <t xml:space="preserve">IBIT </t>
  </si>
  <si>
    <t>but with amazon and apple we did not have subaddittivity</t>
  </si>
  <si>
    <t>(per amazon e apple era 0,2 (+))</t>
  </si>
  <si>
    <t>MEAN</t>
  </si>
  <si>
    <t>VARIANCE</t>
  </si>
  <si>
    <t>ST. DEV.</t>
  </si>
  <si>
    <t>confidence level</t>
  </si>
  <si>
    <t>rebalancing strategy (- for sell and + for buy)</t>
  </si>
  <si>
    <t>percentage of how much of the respective value we sell or buy</t>
  </si>
  <si>
    <t xml:space="preserve">in this case I sell 1.83% of the value in Bitcoin (number of shares*S1) </t>
  </si>
  <si>
    <t>and buy 1,90% of the value in LVMH</t>
  </si>
  <si>
    <t>IN THIS WAY I REBALANCE THE PORTFOLIO</t>
  </si>
  <si>
    <t>WHICH IS (Vgreater-Vlesser)/2 However I computed the respective value in percentage compared to the new value of the stock</t>
  </si>
  <si>
    <t>NOTICE THAT WE ARE BUYING AND SELLING THE SAME AMOOUNT OF MONEY (like sell 5$ of IBIT and Buy 5$ of LVMH)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</si>
</sst>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d\-mmm\-yyyy;@"/>
    <numFmt numFmtId="165" formatCode="#,##0.000000;\-#,##0.000000"/>
    <numFmt numFmtId="166" formatCode="dd\-mmm\-yyyy"/>
    <numFmt numFmtId="167" formatCode="#,##0.0000;\-#,##0.0000;#,##0.0000;&quot;--&quot;"/>
  </numFmts>
  <fonts count="5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sz val="10"/>
      <color theme="1"/>
      <name val="Helvetica Neue"/>
      <family val="2"/>
    </font>
    <font>
      <sz val="9"/>
      <color theme="1"/>
      <name val="Helvetica Neue"/>
      <family val="2"/>
    </font>
    <font>
      <sz val="10"/>
      <color rgb="FF00B0F0"/>
      <name val="Helvetica Neue"/>
      <family val="2"/>
    </font>
    <font>
      <b/>
      <sz val="16"/>
      <color theme="1"/>
      <name val="Aptos Narrow"/>
      <scheme val="minor"/>
    </font>
    <font>
      <sz val="10"/>
      <color rgb="FFFFC000"/>
      <name val="Helvetica Neue"/>
      <family val="2"/>
    </font>
    <font>
      <sz val="12"/>
      <color rgb="FFFF00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2"/>
      <color rgb="FF000000"/>
      <name val="Helvetica Neue"/>
      <family val="2"/>
    </font>
    <font>
      <sz val="12"/>
      <color rgb="FFC00000"/>
      <name val="Aptos Narrow"/>
      <family val="2"/>
      <scheme val="minor"/>
    </font>
    <font>
      <sz val="10"/>
      <color rgb="FF0070C0"/>
      <name val="Helvetica Neue"/>
      <family val="2"/>
    </font>
    <font>
      <sz val="20"/>
      <color theme="1"/>
      <name val="Aptos Narrow"/>
      <family val="2"/>
      <scheme val="minor"/>
    </font>
    <font>
      <b/>
      <sz val="20"/>
      <color theme="1"/>
      <name val="Aptos Narrow"/>
      <scheme val="minor"/>
    </font>
    <font>
      <b/>
      <sz val="12"/>
      <color rgb="FFFF0000"/>
      <name val="Aptos Narrow"/>
      <scheme val="minor"/>
    </font>
    <font>
      <sz val="10"/>
      <color rgb="FF00B050"/>
      <name val="Helvetica Neue"/>
      <family val="2"/>
    </font>
    <font>
      <sz val="12"/>
      <color theme="0" tint="-0.34998626667073579"/>
      <name val="Aptos Narrow"/>
      <family val="2"/>
      <scheme val="minor"/>
    </font>
    <font>
      <sz val="12"/>
      <color theme="3" tint="0.249977111117893"/>
      <name val="Aptos Narrow"/>
      <family val="2"/>
      <scheme val="minor"/>
    </font>
    <font>
      <sz val="10"/>
      <color theme="8" tint="0.59999389629810485"/>
      <name val="Helvetica Neue"/>
      <family val="2"/>
    </font>
    <font>
      <sz val="12"/>
      <color theme="8" tint="0.59999389629810485"/>
      <name val="Aptos Narrow"/>
      <family val="2"/>
      <scheme val="minor"/>
    </font>
    <font>
      <sz val="10"/>
      <color theme="8" tint="0.39997558519241921"/>
      <name val="Helvetica Neue"/>
      <family val="2"/>
    </font>
    <font>
      <sz val="10"/>
      <color theme="8" tint="-0.499984740745262"/>
      <name val="Helvetica Neue"/>
      <family val="2"/>
    </font>
    <font>
      <sz val="12"/>
      <color theme="8" tint="0.39997558519241921"/>
      <name val="Aptos Narrow"/>
      <family val="2"/>
      <scheme val="minor"/>
    </font>
    <font>
      <sz val="12"/>
      <color theme="5" tint="0.39997558519241921"/>
      <name val="Aptos Narrow"/>
      <family val="2"/>
      <scheme val="minor"/>
    </font>
    <font>
      <sz val="16"/>
      <color rgb="FFFF0000"/>
      <name val="Aptos Narrow"/>
      <family val="2"/>
      <scheme val="minor"/>
    </font>
    <font>
      <sz val="16"/>
      <color theme="3" tint="0.499984740745262"/>
      <name val="Aptos Narrow"/>
      <family val="2"/>
      <scheme val="minor"/>
    </font>
    <font>
      <sz val="16"/>
      <color theme="5" tint="0.39997558519241921"/>
      <name val="Aptos Narrow"/>
      <family val="2"/>
      <scheme val="minor"/>
    </font>
    <font>
      <sz val="16"/>
      <color theme="8" tint="0.39997558519241921"/>
      <name val="Aptos Narrow"/>
      <family val="2"/>
      <scheme val="minor"/>
    </font>
    <font>
      <sz val="16"/>
      <color theme="8" tint="0.59999389629810485"/>
      <name val="Aptos Narrow"/>
      <family val="2"/>
      <scheme val="minor"/>
    </font>
    <font>
      <sz val="16"/>
      <color theme="8" tint="-0.249977111117893"/>
      <name val="Aptos Narrow"/>
      <family val="2"/>
      <scheme val="minor"/>
    </font>
    <font>
      <b/>
      <sz val="14"/>
      <color theme="1"/>
      <name val="Aptos Narrow"/>
      <scheme val="minor"/>
    </font>
    <font>
      <sz val="12"/>
      <color theme="8" tint="-0.499984740745262"/>
      <name val="Aptos Narrow"/>
      <family val="2"/>
      <scheme val="minor"/>
    </font>
    <font>
      <sz val="12"/>
      <color theme="2" tint="-0.499984740745262"/>
      <name val="Aptos Narrow"/>
      <family val="2"/>
      <scheme val="minor"/>
    </font>
    <font>
      <b/>
      <sz val="10"/>
      <color theme="3" tint="0.499984740745262"/>
      <name val="Helvetica Neue"/>
      <family val="2"/>
    </font>
    <font>
      <b/>
      <sz val="12"/>
      <color theme="5" tint="0.39997558519241921"/>
      <name val="Aptos Narrow"/>
      <scheme val="minor"/>
    </font>
    <font>
      <b/>
      <sz val="12"/>
      <color rgb="FFC00000"/>
      <name val="Aptos Narrow"/>
      <scheme val="minor"/>
    </font>
    <font>
      <sz val="10"/>
      <color theme="3" tint="0.499984740745262"/>
      <name val="Helvetica Neue"/>
      <family val="2"/>
    </font>
    <font>
      <b/>
      <sz val="14"/>
      <color rgb="FFC00000"/>
      <name val="Aptos Narrow"/>
      <scheme val="minor"/>
    </font>
    <font>
      <b/>
      <sz val="14"/>
      <color theme="3" tint="0.499984740745262"/>
      <name val="Aptos Narrow"/>
      <scheme val="minor"/>
    </font>
    <font>
      <b/>
      <sz val="14"/>
      <color theme="3" tint="0.249977111117893"/>
      <name val="Aptos Narrow"/>
      <scheme val="minor"/>
    </font>
    <font>
      <b/>
      <sz val="14"/>
      <color theme="5" tint="-0.249977111117893"/>
      <name val="Aptos Narrow"/>
      <scheme val="minor"/>
    </font>
    <font>
      <b/>
      <sz val="22"/>
      <color rgb="FF00B050"/>
      <name val="Aptos Narrow"/>
      <scheme val="minor"/>
    </font>
    <font>
      <sz val="12"/>
      <color rgb="FF000000"/>
      <name val="Aptos Narrow"/>
      <family val="2"/>
      <scheme val="minor"/>
    </font>
    <font>
      <sz val="10"/>
      <color rgb="FF000000"/>
      <name val="Calibri"/>
      <family val="2"/>
    </font>
    <font>
      <sz val="12"/>
      <color rgb="FF7030A0"/>
      <name val="Aptos Narrow"/>
      <family val="2"/>
      <scheme val="minor"/>
    </font>
    <font>
      <sz val="10"/>
      <color rgb="FF92D050"/>
      <name val="Helvetica Neue"/>
      <family val="2"/>
    </font>
    <font>
      <b/>
      <sz val="12"/>
      <color rgb="FF000000"/>
      <name val="Tahoma"/>
      <family val="2"/>
    </font>
    <font>
      <sz val="10"/>
      <color rgb="FFFF0000"/>
      <name val="Helvetica Neue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3">
    <xf numFmtId="0" fontId="0" fillId="0" borderId="0" xfId="0"/>
    <xf numFmtId="0" fontId="3" fillId="0" borderId="0" xfId="0" applyFont="1"/>
    <xf numFmtId="0" fontId="2" fillId="0" borderId="0" xfId="0" applyFont="1"/>
    <xf numFmtId="10" fontId="0" fillId="0" borderId="0" xfId="1" applyNumberFormat="1" applyFont="1"/>
    <xf numFmtId="10" fontId="0" fillId="0" borderId="0" xfId="0" applyNumberFormat="1"/>
    <xf numFmtId="10" fontId="4" fillId="2" borderId="1" xfId="0" applyNumberFormat="1" applyFont="1" applyFill="1" applyBorder="1"/>
    <xf numFmtId="0" fontId="4" fillId="2" borderId="1" xfId="0" applyFont="1" applyFill="1" applyBorder="1"/>
    <xf numFmtId="0" fontId="5" fillId="0" borderId="0" xfId="0" applyFont="1"/>
    <xf numFmtId="14" fontId="5" fillId="0" borderId="0" xfId="0" applyNumberFormat="1" applyFont="1"/>
    <xf numFmtId="0" fontId="0" fillId="3" borderId="0" xfId="0" applyFill="1"/>
    <xf numFmtId="0" fontId="6" fillId="0" borderId="0" xfId="0" applyFont="1"/>
    <xf numFmtId="0" fontId="7" fillId="0" borderId="0" xfId="0" applyFont="1" applyAlignment="1">
      <alignment horizontal="center"/>
    </xf>
    <xf numFmtId="0" fontId="8" fillId="0" borderId="0" xfId="0" applyFont="1"/>
    <xf numFmtId="3" fontId="0" fillId="0" borderId="0" xfId="0" applyNumberFormat="1"/>
    <xf numFmtId="3" fontId="9" fillId="0" borderId="0" xfId="0" applyNumberFormat="1" applyFont="1"/>
    <xf numFmtId="0" fontId="9" fillId="0" borderId="0" xfId="0" applyFont="1"/>
    <xf numFmtId="10" fontId="2" fillId="0" borderId="1" xfId="0" applyNumberFormat="1" applyFont="1" applyBorder="1"/>
    <xf numFmtId="10" fontId="2" fillId="0" borderId="3" xfId="0" applyNumberFormat="1" applyFont="1" applyBorder="1"/>
    <xf numFmtId="10" fontId="2" fillId="0" borderId="0" xfId="0" applyNumberFormat="1" applyFont="1"/>
    <xf numFmtId="0" fontId="9" fillId="0" borderId="1" xfId="0" applyFont="1" applyBorder="1"/>
    <xf numFmtId="0" fontId="2" fillId="6" borderId="1" xfId="0" applyFont="1" applyFill="1" applyBorder="1"/>
    <xf numFmtId="0" fontId="4" fillId="6" borderId="1" xfId="0" applyFont="1" applyFill="1" applyBorder="1"/>
    <xf numFmtId="0" fontId="14" fillId="0" borderId="0" xfId="0" applyFont="1"/>
    <xf numFmtId="0" fontId="15" fillId="0" borderId="0" xfId="0" applyFont="1"/>
    <xf numFmtId="0" fontId="17" fillId="0" borderId="0" xfId="0" applyFont="1"/>
    <xf numFmtId="0" fontId="12" fillId="0" borderId="0" xfId="0" applyFont="1"/>
    <xf numFmtId="0" fontId="17" fillId="7" borderId="0" xfId="0" applyFont="1" applyFill="1"/>
    <xf numFmtId="0" fontId="12" fillId="7" borderId="0" xfId="0" applyFont="1" applyFill="1"/>
    <xf numFmtId="0" fontId="0" fillId="7" borderId="0" xfId="0" applyFill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5" xfId="0" applyBorder="1"/>
    <xf numFmtId="0" fontId="0" fillId="0" borderId="14" xfId="0" applyBorder="1"/>
    <xf numFmtId="0" fontId="0" fillId="0" borderId="15" xfId="0" applyBorder="1"/>
    <xf numFmtId="0" fontId="7" fillId="0" borderId="0" xfId="0" applyFont="1"/>
    <xf numFmtId="0" fontId="18" fillId="0" borderId="0" xfId="0" applyFont="1"/>
    <xf numFmtId="0" fontId="20" fillId="0" borderId="0" xfId="0" applyFont="1"/>
    <xf numFmtId="0" fontId="16" fillId="7" borderId="0" xfId="0" applyFont="1" applyFill="1"/>
    <xf numFmtId="0" fontId="21" fillId="0" borderId="13" xfId="0" applyFont="1" applyBorder="1"/>
    <xf numFmtId="9" fontId="22" fillId="0" borderId="0" xfId="0" applyNumberFormat="1" applyFont="1"/>
    <xf numFmtId="0" fontId="23" fillId="0" borderId="1" xfId="0" applyFont="1" applyBorder="1"/>
    <xf numFmtId="0" fontId="23" fillId="0" borderId="4" xfId="0" applyFont="1" applyBorder="1"/>
    <xf numFmtId="0" fontId="24" fillId="0" borderId="1" xfId="0" applyFont="1" applyBorder="1"/>
    <xf numFmtId="9" fontId="25" fillId="0" borderId="0" xfId="0" applyNumberFormat="1" applyFont="1"/>
    <xf numFmtId="0" fontId="25" fillId="0" borderId="1" xfId="0" applyFont="1" applyBorder="1"/>
    <xf numFmtId="0" fontId="25" fillId="0" borderId="6" xfId="0" applyFont="1" applyBorder="1"/>
    <xf numFmtId="10" fontId="24" fillId="0" borderId="0" xfId="0" applyNumberFormat="1" applyFont="1"/>
    <xf numFmtId="0" fontId="24" fillId="0" borderId="7" xfId="0" applyFont="1" applyBorder="1"/>
    <xf numFmtId="0" fontId="7" fillId="4" borderId="1" xfId="0" applyFont="1" applyFill="1" applyBorder="1"/>
    <xf numFmtId="0" fontId="7" fillId="8" borderId="1" xfId="0" applyFont="1" applyFill="1" applyBorder="1"/>
    <xf numFmtId="0" fontId="28" fillId="0" borderId="0" xfId="0" applyFont="1"/>
    <xf numFmtId="0" fontId="29" fillId="0" borderId="0" xfId="0" applyFont="1"/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0" fontId="34" fillId="0" borderId="0" xfId="0" applyFont="1"/>
    <xf numFmtId="9" fontId="23" fillId="0" borderId="0" xfId="0" applyNumberFormat="1" applyFont="1"/>
    <xf numFmtId="9" fontId="26" fillId="0" borderId="0" xfId="0" applyNumberFormat="1" applyFont="1"/>
    <xf numFmtId="10" fontId="35" fillId="0" borderId="0" xfId="0" applyNumberFormat="1" applyFont="1"/>
    <xf numFmtId="0" fontId="36" fillId="0" borderId="0" xfId="0" applyFont="1"/>
    <xf numFmtId="0" fontId="37" fillId="0" borderId="0" xfId="0" applyFont="1"/>
    <xf numFmtId="0" fontId="38" fillId="0" borderId="0" xfId="0" applyFont="1"/>
    <xf numFmtId="0" fontId="39" fillId="0" borderId="0" xfId="0" applyFont="1"/>
    <xf numFmtId="0" fontId="40" fillId="0" borderId="8" xfId="0" applyFont="1" applyBorder="1"/>
    <xf numFmtId="0" fontId="27" fillId="0" borderId="2" xfId="0" applyFont="1" applyBorder="1"/>
    <xf numFmtId="0" fontId="14" fillId="0" borderId="2" xfId="0" applyFont="1" applyBorder="1"/>
    <xf numFmtId="0" fontId="41" fillId="0" borderId="0" xfId="0" applyFont="1"/>
    <xf numFmtId="0" fontId="41" fillId="0" borderId="10" xfId="0" applyFont="1" applyBorder="1"/>
    <xf numFmtId="0" fontId="42" fillId="0" borderId="10" xfId="0" applyFont="1" applyBorder="1"/>
    <xf numFmtId="9" fontId="23" fillId="0" borderId="12" xfId="0" applyNumberFormat="1" applyFont="1" applyBorder="1"/>
    <xf numFmtId="10" fontId="35" fillId="0" borderId="13" xfId="0" applyNumberFormat="1" applyFont="1" applyBorder="1"/>
    <xf numFmtId="3" fontId="41" fillId="0" borderId="0" xfId="0" applyNumberFormat="1" applyFont="1"/>
    <xf numFmtId="0" fontId="43" fillId="0" borderId="10" xfId="0" applyFont="1" applyBorder="1"/>
    <xf numFmtId="0" fontId="43" fillId="0" borderId="0" xfId="0" applyFont="1"/>
    <xf numFmtId="0" fontId="44" fillId="0" borderId="10" xfId="0" applyFont="1" applyBorder="1"/>
    <xf numFmtId="0" fontId="44" fillId="0" borderId="0" xfId="0" applyFont="1"/>
    <xf numFmtId="0" fontId="45" fillId="0" borderId="0" xfId="0" applyFont="1"/>
    <xf numFmtId="0" fontId="19" fillId="0" borderId="0" xfId="0" applyFont="1" applyAlignment="1">
      <alignment horizontal="center"/>
    </xf>
    <xf numFmtId="0" fontId="46" fillId="0" borderId="0" xfId="0" applyFont="1"/>
    <xf numFmtId="166" fontId="47" fillId="0" borderId="16" xfId="0" applyNumberFormat="1" applyFont="1" applyBorder="1"/>
    <xf numFmtId="167" fontId="47" fillId="0" borderId="16" xfId="0" applyNumberFormat="1" applyFont="1" applyBorder="1"/>
    <xf numFmtId="0" fontId="7" fillId="5" borderId="8" xfId="0" applyFont="1" applyFill="1" applyBorder="1"/>
    <xf numFmtId="166" fontId="47" fillId="0" borderId="17" xfId="0" applyNumberFormat="1" applyFont="1" applyBorder="1"/>
    <xf numFmtId="167" fontId="47" fillId="0" borderId="17" xfId="0" applyNumberFormat="1" applyFont="1" applyBorder="1"/>
    <xf numFmtId="166" fontId="47" fillId="0" borderId="18" xfId="0" applyNumberFormat="1" applyFont="1" applyBorder="1"/>
    <xf numFmtId="167" fontId="47" fillId="0" borderId="18" xfId="0" applyNumberFormat="1" applyFont="1" applyBorder="1"/>
    <xf numFmtId="166" fontId="47" fillId="0" borderId="0" xfId="0" applyNumberFormat="1" applyFont="1"/>
    <xf numFmtId="167" fontId="47" fillId="0" borderId="0" xfId="0" applyNumberFormat="1" applyFont="1"/>
    <xf numFmtId="10" fontId="2" fillId="0" borderId="19" xfId="0" applyNumberFormat="1" applyFont="1" applyBorder="1"/>
    <xf numFmtId="166" fontId="47" fillId="0" borderId="1" xfId="0" applyNumberFormat="1" applyFont="1" applyBorder="1"/>
    <xf numFmtId="167" fontId="47" fillId="0" borderId="1" xfId="0" applyNumberFormat="1" applyFont="1" applyBorder="1"/>
    <xf numFmtId="0" fontId="48" fillId="0" borderId="0" xfId="0" applyFont="1"/>
    <xf numFmtId="0" fontId="49" fillId="0" borderId="0" xfId="0" applyFont="1" applyAlignment="1">
      <alignment horizontal="center"/>
    </xf>
    <xf numFmtId="10" fontId="0" fillId="0" borderId="20" xfId="0" applyNumberFormat="1" applyBorder="1"/>
    <xf numFmtId="0" fontId="7" fillId="4" borderId="8" xfId="0" applyFont="1" applyFill="1" applyBorder="1"/>
    <xf numFmtId="164" fontId="0" fillId="0" borderId="1" xfId="0" applyNumberFormat="1" applyBorder="1" applyAlignment="1">
      <alignment horizontal="right" vertical="top" wrapText="1"/>
    </xf>
    <xf numFmtId="165" fontId="0" fillId="0" borderId="1" xfId="0" applyNumberFormat="1" applyBorder="1" applyAlignment="1">
      <alignment horizontal="right" vertical="top" wrapText="1"/>
    </xf>
    <xf numFmtId="164" fontId="0" fillId="0" borderId="3" xfId="0" applyNumberFormat="1" applyBorder="1" applyAlignment="1">
      <alignment horizontal="right" vertical="top" wrapText="1"/>
    </xf>
    <xf numFmtId="165" fontId="0" fillId="0" borderId="3" xfId="0" applyNumberFormat="1" applyBorder="1" applyAlignment="1">
      <alignment horizontal="right" vertical="top" wrapText="1"/>
    </xf>
    <xf numFmtId="10" fontId="0" fillId="0" borderId="15" xfId="0" applyNumberFormat="1" applyBorder="1"/>
    <xf numFmtId="0" fontId="50" fillId="0" borderId="21" xfId="0" applyFont="1" applyBorder="1" applyAlignment="1">
      <alignment horizontal="right" wrapText="1"/>
    </xf>
    <xf numFmtId="0" fontId="50" fillId="0" borderId="22" xfId="0" applyFont="1" applyBorder="1" applyAlignment="1">
      <alignment horizontal="right" wrapText="1"/>
    </xf>
    <xf numFmtId="0" fontId="11" fillId="0" borderId="7" xfId="0" applyFont="1" applyBorder="1"/>
    <xf numFmtId="0" fontId="12" fillId="0" borderId="21" xfId="0" applyFont="1" applyBorder="1"/>
    <xf numFmtId="0" fontId="12" fillId="0" borderId="22" xfId="0" applyFont="1" applyBorder="1"/>
    <xf numFmtId="0" fontId="11" fillId="0" borderId="23" xfId="0" applyFont="1" applyBorder="1"/>
    <xf numFmtId="0" fontId="10" fillId="4" borderId="1" xfId="0" applyFont="1" applyFill="1" applyBorder="1"/>
    <xf numFmtId="0" fontId="13" fillId="5" borderId="1" xfId="0" applyFont="1" applyFill="1" applyBorder="1"/>
    <xf numFmtId="0" fontId="0" fillId="0" borderId="1" xfId="0" applyBorder="1"/>
    <xf numFmtId="0" fontId="12" fillId="0" borderId="1" xfId="0" applyFont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9" fontId="12" fillId="0" borderId="1" xfId="0" applyNumberFormat="1" applyFont="1" applyBorder="1"/>
    <xf numFmtId="10" fontId="12" fillId="0" borderId="1" xfId="0" applyNumberFormat="1" applyFont="1" applyBorder="1"/>
    <xf numFmtId="10" fontId="0" fillId="0" borderId="1" xfId="0" applyNumberFormat="1" applyBorder="1"/>
    <xf numFmtId="0" fontId="51" fillId="0" borderId="0" xfId="0" applyFont="1"/>
    <xf numFmtId="10" fontId="9" fillId="0" borderId="0" xfId="1" applyNumberFormat="1" applyFont="1"/>
    <xf numFmtId="10" fontId="9" fillId="0" borderId="0" xfId="0" applyNumberFormat="1" applyFont="1"/>
  </cellXfs>
  <cellStyles count="2">
    <cellStyle name="Normale" xfId="0" builtinId="0"/>
    <cellStyle name="Percentual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0B6E1-5087-4846-B02B-8B57E2A74F2F}">
  <sheetPr codeName="Foglio1"/>
  <dimension ref="C3:AG133"/>
  <sheetViews>
    <sheetView tabSelected="1" topLeftCell="D112" workbookViewId="0">
      <selection activeCell="M132" sqref="M132"/>
    </sheetView>
  </sheetViews>
  <sheetFormatPr baseColWidth="10" defaultRowHeight="16" x14ac:dyDescent="0.2"/>
  <cols>
    <col min="3" max="3" width="11.6640625" bestFit="1" customWidth="1"/>
    <col min="4" max="4" width="11" bestFit="1" customWidth="1"/>
    <col min="20" max="20" width="12.1640625" bestFit="1" customWidth="1"/>
    <col min="23" max="23" width="12.1640625" bestFit="1" customWidth="1"/>
    <col min="30" max="30" width="16.5" customWidth="1"/>
    <col min="37" max="37" width="12.1640625" bestFit="1" customWidth="1"/>
  </cols>
  <sheetData>
    <row r="3" spans="3:25" ht="17" thickBot="1" x14ac:dyDescent="0.25">
      <c r="K3" t="s">
        <v>120</v>
      </c>
    </row>
    <row r="4" spans="3:25" ht="23" thickBot="1" x14ac:dyDescent="0.35">
      <c r="C4" s="98" t="s">
        <v>111</v>
      </c>
      <c r="G4" s="85" t="s">
        <v>112</v>
      </c>
      <c r="K4" t="s">
        <v>121</v>
      </c>
      <c r="L4" s="1"/>
    </row>
    <row r="5" spans="3:25" ht="20" thickBot="1" x14ac:dyDescent="0.3">
      <c r="C5" s="104" t="s">
        <v>0</v>
      </c>
      <c r="D5" s="105" t="s">
        <v>1</v>
      </c>
      <c r="E5" s="106" t="s">
        <v>2</v>
      </c>
      <c r="G5" s="107" t="s">
        <v>0</v>
      </c>
      <c r="H5" s="108" t="s">
        <v>1</v>
      </c>
      <c r="I5" s="109" t="s">
        <v>33</v>
      </c>
      <c r="K5" s="3" t="s">
        <v>111</v>
      </c>
      <c r="L5" s="4" t="s">
        <v>112</v>
      </c>
      <c r="U5" s="23" t="s">
        <v>11</v>
      </c>
    </row>
    <row r="6" spans="3:25" x14ac:dyDescent="0.2">
      <c r="C6" s="101">
        <v>46118</v>
      </c>
      <c r="D6" s="102">
        <v>39.520000000000003</v>
      </c>
      <c r="E6" s="103">
        <f>(D6-D7)/D7</f>
        <v>4.0821701343165769E-2</v>
      </c>
      <c r="G6" s="86">
        <v>46119</v>
      </c>
      <c r="H6" s="87">
        <v>466.85</v>
      </c>
      <c r="I6" s="17">
        <f>(H6-H7)/H7</f>
        <v>-8.9162509287761139E-3</v>
      </c>
      <c r="K6" s="3">
        <f>IF(E6&gt;I6,-(E6-I6)/(2*(1+E6)),(I6-E6)/(2*(1+E6)))</f>
        <v>-2.3893598782459932E-2</v>
      </c>
      <c r="L6" s="3">
        <f>IF(E6&gt;I6,(E6-I6)/(2*(1+I6)),-(I6-E6)/(2*(1+I6)))</f>
        <v>2.5092709026130686E-2</v>
      </c>
      <c r="O6" s="110" t="s">
        <v>111</v>
      </c>
      <c r="P6" s="111" t="s">
        <v>112</v>
      </c>
      <c r="R6" s="2"/>
      <c r="S6" s="2"/>
      <c r="T6" s="42">
        <v>0.95</v>
      </c>
      <c r="U6" s="2">
        <f>ABS(_xlfn.NORM.S.INV(1-0.95))</f>
        <v>1.6448536269514715</v>
      </c>
    </row>
    <row r="7" spans="3:25" x14ac:dyDescent="0.2">
      <c r="C7" s="99">
        <v>46114</v>
      </c>
      <c r="D7" s="100">
        <v>37.97</v>
      </c>
      <c r="E7" s="97">
        <f>(D7-D8)/D8</f>
        <v>-1.7339544513457601E-2</v>
      </c>
      <c r="G7" s="83">
        <v>46114</v>
      </c>
      <c r="H7" s="84">
        <v>471.05</v>
      </c>
      <c r="I7" s="17">
        <f>(H7-H8)/H8</f>
        <v>-1.061345786457469E-4</v>
      </c>
      <c r="K7" s="3">
        <f t="shared" ref="K7:K70" si="0">IF(E7&gt;I7,-(E7-I7)/(2*(1+E7)),(I7-E7)/(2*(1+E7)))</f>
        <v>8.7687511177394015E-3</v>
      </c>
      <c r="L7" s="3">
        <f t="shared" ref="L7:L70" si="1">IF(E7&gt;I7,(E7-I7)/(2*(1+I7)),-(I7-E7)/(2*(1+I7)))</f>
        <v>-8.6176195948305546E-3</v>
      </c>
      <c r="N7" s="19" t="s">
        <v>116</v>
      </c>
      <c r="O7" s="4">
        <f>AVERAGE(E6:E128)</f>
        <v>-4.0009905407357854E-3</v>
      </c>
      <c r="P7" s="18">
        <f>AVERAGE(I6:I128)</f>
        <v>-1.2791257889809234E-3</v>
      </c>
      <c r="Q7" s="2"/>
      <c r="R7" s="2"/>
      <c r="S7" s="2"/>
      <c r="T7" s="46">
        <v>0.99</v>
      </c>
      <c r="U7" s="2">
        <f>ABS(_xlfn.NORM.S.INV(1-0.99))</f>
        <v>2.3263478740408408</v>
      </c>
      <c r="V7" s="2"/>
      <c r="W7" s="2"/>
      <c r="X7" s="2"/>
    </row>
    <row r="8" spans="3:25" x14ac:dyDescent="0.2">
      <c r="C8" s="99">
        <v>46113</v>
      </c>
      <c r="D8" s="100">
        <v>38.64</v>
      </c>
      <c r="E8" s="97">
        <f t="shared" ref="E8:E71" si="2">(D8-D9)/D9</f>
        <v>5.7261842790213135E-3</v>
      </c>
      <c r="G8" s="83">
        <v>46113</v>
      </c>
      <c r="H8" s="84">
        <v>471.1</v>
      </c>
      <c r="I8" s="17">
        <f t="shared" ref="I8:I71" si="3">(H8-H9)/H9</f>
        <v>1.7274886633556467E-2</v>
      </c>
      <c r="K8" s="3">
        <f t="shared" si="0"/>
        <v>5.7414744366102565E-3</v>
      </c>
      <c r="L8" s="3">
        <f t="shared" si="1"/>
        <v>-5.6762938446033012E-3</v>
      </c>
      <c r="N8" s="19" t="s">
        <v>117</v>
      </c>
      <c r="O8">
        <f>_xlfn.VAR.S(E6:E128)</f>
        <v>1.0718559730366897E-3</v>
      </c>
      <c r="P8" s="2">
        <f>_xlfn.VAR.S(I6:I128)</f>
        <v>3.8310298653664173E-4</v>
      </c>
      <c r="Q8" s="2"/>
      <c r="R8" s="2"/>
      <c r="T8" s="49">
        <v>0.995</v>
      </c>
      <c r="U8" s="2">
        <f>ABS(_xlfn.NORM.S.INV(1-0.995))</f>
        <v>2.5758293035488999</v>
      </c>
      <c r="V8" s="2"/>
      <c r="W8" s="2"/>
      <c r="X8" s="2"/>
    </row>
    <row r="9" spans="3:25" x14ac:dyDescent="0.2">
      <c r="C9" s="99">
        <v>46112</v>
      </c>
      <c r="D9" s="100">
        <v>38.42</v>
      </c>
      <c r="E9" s="97">
        <f t="shared" si="2"/>
        <v>1.9639065817409821E-2</v>
      </c>
      <c r="G9" s="83">
        <v>46112</v>
      </c>
      <c r="H9" s="84">
        <v>463.1</v>
      </c>
      <c r="I9" s="17">
        <f t="shared" si="3"/>
        <v>-1.1862396204032235E-3</v>
      </c>
      <c r="K9" s="3">
        <f t="shared" si="0"/>
        <v>-1.021209668007282E-2</v>
      </c>
      <c r="L9" s="3">
        <f t="shared" si="1"/>
        <v>1.0425019289831588E-2</v>
      </c>
      <c r="N9" s="19" t="s">
        <v>118</v>
      </c>
      <c r="O9">
        <f>SQRT(O8)</f>
        <v>3.2739211551848488E-2</v>
      </c>
      <c r="P9">
        <f>SQRT(P8)</f>
        <v>1.9573016797025482E-2</v>
      </c>
      <c r="Q9" s="2"/>
      <c r="R9" s="2"/>
      <c r="X9" s="2"/>
    </row>
    <row r="10" spans="3:25" x14ac:dyDescent="0.2">
      <c r="C10" s="99">
        <v>46111</v>
      </c>
      <c r="D10" s="100">
        <v>37.68</v>
      </c>
      <c r="E10" s="97">
        <f t="shared" si="2"/>
        <v>7.4866310160428117E-3</v>
      </c>
      <c r="G10" s="83">
        <v>46111</v>
      </c>
      <c r="H10" s="84">
        <v>463.65</v>
      </c>
      <c r="I10" s="17">
        <f t="shared" si="3"/>
        <v>1.7334064728469507E-2</v>
      </c>
      <c r="K10" s="3">
        <f t="shared" si="0"/>
        <v>4.8871287267085771E-3</v>
      </c>
      <c r="L10" s="3">
        <f t="shared" si="1"/>
        <v>-4.8398230501870664E-3</v>
      </c>
      <c r="R10" s="2"/>
      <c r="X10" s="2"/>
    </row>
    <row r="11" spans="3:25" x14ac:dyDescent="0.2">
      <c r="C11" s="99">
        <v>46108</v>
      </c>
      <c r="D11" s="100">
        <v>37.4</v>
      </c>
      <c r="E11" s="97">
        <f t="shared" si="2"/>
        <v>-3.6579082946934613E-2</v>
      </c>
      <c r="G11" s="83">
        <v>46108</v>
      </c>
      <c r="H11" s="84">
        <v>455.75</v>
      </c>
      <c r="I11" s="17">
        <f t="shared" si="3"/>
        <v>-5.5640410211652003E-3</v>
      </c>
      <c r="K11" s="3">
        <f t="shared" si="0"/>
        <v>1.6096309191956801E-2</v>
      </c>
      <c r="L11" s="3">
        <f t="shared" si="1"/>
        <v>-1.5594288222249175E-2</v>
      </c>
      <c r="N11" s="15" t="s">
        <v>5</v>
      </c>
      <c r="P11" s="20">
        <f>_xlfn.COVARIANCE.P(E6:E129,I6:I129)</f>
        <v>-1.070118130206315E-5</v>
      </c>
      <c r="Q11" s="15" t="s">
        <v>21</v>
      </c>
      <c r="R11" s="21">
        <f>P11/(O9*P9)</f>
        <v>-1.6699587243811684E-2</v>
      </c>
      <c r="S11" t="s">
        <v>115</v>
      </c>
      <c r="X11" s="2"/>
      <c r="Y11" s="2"/>
    </row>
    <row r="12" spans="3:25" x14ac:dyDescent="0.2">
      <c r="C12" s="99">
        <v>46107</v>
      </c>
      <c r="D12" s="100">
        <v>38.82</v>
      </c>
      <c r="E12" s="97">
        <f t="shared" si="2"/>
        <v>-3.3607169529499659E-2</v>
      </c>
      <c r="G12" s="83">
        <v>46107</v>
      </c>
      <c r="H12" s="84">
        <v>458.3</v>
      </c>
      <c r="I12" s="17">
        <f t="shared" si="3"/>
        <v>-8.7595977073645741E-3</v>
      </c>
      <c r="K12" s="3">
        <f t="shared" si="0"/>
        <v>1.2855834107356599E-2</v>
      </c>
      <c r="L12" s="3">
        <f t="shared" si="1"/>
        <v>-1.2533574985778045E-2</v>
      </c>
      <c r="R12" s="2"/>
    </row>
    <row r="13" spans="3:25" x14ac:dyDescent="0.2">
      <c r="C13" s="99">
        <v>46106</v>
      </c>
      <c r="D13" s="100">
        <v>40.17</v>
      </c>
      <c r="E13" s="97">
        <f t="shared" si="2"/>
        <v>2.2657841140529544E-2</v>
      </c>
      <c r="G13" s="83">
        <v>46106</v>
      </c>
      <c r="H13" s="84">
        <v>462.35</v>
      </c>
      <c r="I13" s="17">
        <f t="shared" si="3"/>
        <v>3.4725990233315739E-3</v>
      </c>
      <c r="K13" s="3">
        <f t="shared" si="0"/>
        <v>-9.3800885034047328E-3</v>
      </c>
      <c r="L13" s="3">
        <f t="shared" si="1"/>
        <v>9.5594250086503355E-3</v>
      </c>
      <c r="N13" s="22" t="s">
        <v>3</v>
      </c>
      <c r="O13" s="22"/>
      <c r="P13" s="5">
        <f>1/2*O7+1/2*P7</f>
        <v>-2.6400581648583542E-3</v>
      </c>
      <c r="Q13" s="2"/>
      <c r="R13" s="2"/>
    </row>
    <row r="14" spans="3:25" x14ac:dyDescent="0.2">
      <c r="C14" s="99">
        <v>46105</v>
      </c>
      <c r="D14" s="100">
        <v>39.28</v>
      </c>
      <c r="E14" s="97">
        <f t="shared" si="2"/>
        <v>-1.9225967540574183E-2</v>
      </c>
      <c r="G14" s="83">
        <v>46105</v>
      </c>
      <c r="H14" s="84">
        <v>460.75</v>
      </c>
      <c r="I14" s="17">
        <f t="shared" si="3"/>
        <v>-1.253750535790832E-2</v>
      </c>
      <c r="K14" s="3">
        <f t="shared" si="0"/>
        <v>3.4097875562088564E-3</v>
      </c>
      <c r="L14" s="3">
        <f t="shared" si="1"/>
        <v>-3.3866917573867517E-3</v>
      </c>
      <c r="N14" s="22" t="s">
        <v>4</v>
      </c>
      <c r="O14" s="22"/>
      <c r="P14" s="6">
        <f>1/4*O8+1/4*P8+1/2*P11</f>
        <v>3.5838914924230132E-4</v>
      </c>
      <c r="Q14" s="2"/>
      <c r="R14" s="2"/>
      <c r="W14" s="2" t="s">
        <v>13</v>
      </c>
      <c r="X14" s="2"/>
      <c r="Y14" s="2" t="s">
        <v>10</v>
      </c>
    </row>
    <row r="15" spans="3:25" ht="27" x14ac:dyDescent="0.35">
      <c r="C15" s="99">
        <v>46104</v>
      </c>
      <c r="D15" s="100">
        <v>40.049999999999997</v>
      </c>
      <c r="E15" s="97">
        <f t="shared" si="2"/>
        <v>7.0404827759616298E-3</v>
      </c>
      <c r="G15" s="83">
        <v>46104</v>
      </c>
      <c r="H15" s="84">
        <v>466.6</v>
      </c>
      <c r="I15" s="17">
        <f t="shared" si="3"/>
        <v>1.8888524948138519E-2</v>
      </c>
      <c r="K15" s="3">
        <f t="shared" si="0"/>
        <v>5.8826047089572415E-3</v>
      </c>
      <c r="L15" s="3">
        <f t="shared" si="1"/>
        <v>-5.8141994350068647E-3</v>
      </c>
      <c r="T15" s="26" t="s">
        <v>34</v>
      </c>
      <c r="U15" s="27"/>
      <c r="V15" s="28"/>
    </row>
    <row r="16" spans="3:25" ht="17" thickBot="1" x14ac:dyDescent="0.25">
      <c r="C16" s="99">
        <v>46101</v>
      </c>
      <c r="D16" s="100">
        <v>39.770000000000003</v>
      </c>
      <c r="E16" s="97">
        <f t="shared" si="2"/>
        <v>-1.2556504269210737E-3</v>
      </c>
      <c r="G16" s="83">
        <v>46101</v>
      </c>
      <c r="H16" s="84">
        <v>457.95</v>
      </c>
      <c r="I16" s="17">
        <f t="shared" si="3"/>
        <v>-4.9972840847365809E-3</v>
      </c>
      <c r="K16" s="3">
        <f t="shared" si="0"/>
        <v>-1.8731688742043436E-3</v>
      </c>
      <c r="L16" s="3">
        <f t="shared" si="1"/>
        <v>1.8802127863408529E-3</v>
      </c>
    </row>
    <row r="17" spans="3:27" ht="17" thickBot="1" x14ac:dyDescent="0.25">
      <c r="C17" s="99">
        <v>46100</v>
      </c>
      <c r="D17" s="100">
        <v>39.82</v>
      </c>
      <c r="E17" s="97">
        <f t="shared" si="2"/>
        <v>-1.0928961748633824E-2</v>
      </c>
      <c r="G17" s="83">
        <v>46100</v>
      </c>
      <c r="H17" s="84">
        <v>460.25</v>
      </c>
      <c r="I17" s="17">
        <f t="shared" si="3"/>
        <v>-1.7714224735887334E-2</v>
      </c>
      <c r="K17" s="3">
        <f t="shared" si="0"/>
        <v>-3.4301191344403101E-3</v>
      </c>
      <c r="L17" s="3">
        <f t="shared" si="1"/>
        <v>3.4538131153477808E-3</v>
      </c>
      <c r="P17" s="67" t="s">
        <v>111</v>
      </c>
      <c r="Q17" s="2"/>
      <c r="R17" s="2"/>
      <c r="U17" s="68" t="s">
        <v>112</v>
      </c>
      <c r="Z17" s="69" t="s">
        <v>12</v>
      </c>
    </row>
    <row r="18" spans="3:27" ht="17" thickBot="1" x14ac:dyDescent="0.25">
      <c r="C18" s="99">
        <v>46099</v>
      </c>
      <c r="D18" s="100">
        <v>40.26</v>
      </c>
      <c r="E18" s="97">
        <f t="shared" si="2"/>
        <v>-4.7551454932576412E-2</v>
      </c>
      <c r="G18" s="83">
        <v>46099</v>
      </c>
      <c r="H18" s="84">
        <v>468.55</v>
      </c>
      <c r="I18" s="17">
        <f t="shared" si="3"/>
        <v>-7.8348332451032045E-3</v>
      </c>
      <c r="K18" s="3">
        <f t="shared" si="0"/>
        <v>2.084974663101705E-2</v>
      </c>
      <c r="L18" s="3">
        <f t="shared" si="1"/>
        <v>-2.0015126018471052E-2</v>
      </c>
      <c r="N18" s="25" t="s">
        <v>6</v>
      </c>
      <c r="O18" s="43" t="s">
        <v>7</v>
      </c>
      <c r="P18" s="47" t="s">
        <v>8</v>
      </c>
      <c r="Q18" s="45" t="s">
        <v>9</v>
      </c>
      <c r="R18" s="10"/>
      <c r="T18" s="44" t="s">
        <v>7</v>
      </c>
      <c r="U18" s="48" t="s">
        <v>8</v>
      </c>
      <c r="V18" s="50" t="s">
        <v>9</v>
      </c>
      <c r="Y18" s="44" t="s">
        <v>7</v>
      </c>
      <c r="Z18" s="48" t="s">
        <v>8</v>
      </c>
      <c r="AA18" s="50" t="s">
        <v>9</v>
      </c>
    </row>
    <row r="19" spans="3:27" x14ac:dyDescent="0.2">
      <c r="C19" s="99">
        <v>46098</v>
      </c>
      <c r="D19" s="100">
        <v>42.27</v>
      </c>
      <c r="E19" s="97">
        <f t="shared" si="2"/>
        <v>7.8683834048642199E-3</v>
      </c>
      <c r="G19" s="83">
        <v>46098</v>
      </c>
      <c r="H19" s="84">
        <v>472.25</v>
      </c>
      <c r="I19" s="17">
        <f t="shared" si="3"/>
        <v>-1.4091858037578288E-2</v>
      </c>
      <c r="K19" s="3">
        <f t="shared" si="0"/>
        <v>-1.0894399409700007E-2</v>
      </c>
      <c r="L19" s="3">
        <f t="shared" si="1"/>
        <v>1.1137062626712506E-2</v>
      </c>
      <c r="N19" s="41">
        <v>1</v>
      </c>
      <c r="O19">
        <f>$U$6*SQRT($O$8)*SQRT($N19)-$O$7*$N19</f>
        <v>5.7852201405325286E-2</v>
      </c>
      <c r="P19">
        <f t="shared" ref="P19:P50" si="4">$U$7*SQRT($O$8)*SQRT($N19)-$O$7*$N19</f>
        <v>8.0163785732151854E-2</v>
      </c>
      <c r="Q19" s="33">
        <f t="shared" ref="Q19:Q50" si="5">$U$8*SQRT($O$8)*SQRT($N19)-$O$7*$N19</f>
        <v>8.8331611031073773E-2</v>
      </c>
      <c r="R19" s="2"/>
      <c r="T19" s="32">
        <f t="shared" ref="T19:T50" si="6">$U$6*SQRT($P$8)*SQRT($N19)-$P$7*$N19</f>
        <v>3.3473873457950359E-2</v>
      </c>
      <c r="U19">
        <f t="shared" ref="U19:U50" si="7">$U$7*SQRT($P$8)*SQRT($N19)-$P$7*$N19</f>
        <v>4.681277180330682E-2</v>
      </c>
      <c r="V19" s="33">
        <f t="shared" ref="V19:V50" si="8">$U$8*SQRT($P$8)*SQRT($N19)-$P$7*$N19</f>
        <v>5.1695876013613987E-2</v>
      </c>
      <c r="Y19" s="32">
        <f t="shared" ref="Y19:Y50" si="9">$U$6*SQRT($P$14)*SQRT($N19)-$P$13*$N19</f>
        <v>3.3779059702340755E-2</v>
      </c>
      <c r="Z19">
        <f t="shared" ref="Z19:Z50" si="10">$U$7*SQRT($P$14)*SQRT($N19)-$P$13*$N19</f>
        <v>4.6680542278168383E-2</v>
      </c>
      <c r="AA19" s="33">
        <f t="shared" ref="AA19:AA50" si="11">$U$8*SQRT($P$14)*SQRT($N19)-$P$13*$N19</f>
        <v>5.1403517313596235E-2</v>
      </c>
    </row>
    <row r="20" spans="3:27" x14ac:dyDescent="0.2">
      <c r="C20" s="99">
        <v>46097</v>
      </c>
      <c r="D20" s="100">
        <v>41.94</v>
      </c>
      <c r="E20" s="97">
        <f t="shared" si="2"/>
        <v>3.8890265048303202E-2</v>
      </c>
      <c r="G20" s="83">
        <v>46097</v>
      </c>
      <c r="H20" s="84">
        <v>479</v>
      </c>
      <c r="I20" s="17">
        <f t="shared" si="3"/>
        <v>1.1188515938357634E-2</v>
      </c>
      <c r="K20" s="3">
        <f t="shared" si="0"/>
        <v>-1.3332374959090398E-2</v>
      </c>
      <c r="L20" s="3">
        <f t="shared" si="1"/>
        <v>1.3697618531713168E-2</v>
      </c>
      <c r="N20" s="41">
        <v>2</v>
      </c>
      <c r="O20">
        <f t="shared" ref="O20:O50" si="12">$U$6*SQRT($O$8)*SQRT($N20)-$O$7*$N20</f>
        <v>8.4159093836387408E-2</v>
      </c>
      <c r="P20">
        <f t="shared" si="4"/>
        <v>0.11571243898941654</v>
      </c>
      <c r="Q20" s="33">
        <f t="shared" si="5"/>
        <v>0.12726348830224599</v>
      </c>
      <c r="R20" s="2"/>
      <c r="T20" s="32">
        <f t="shared" si="6"/>
        <v>4.8088500368598019E-2</v>
      </c>
      <c r="U20">
        <f t="shared" si="7"/>
        <v>6.695255131571716E-2</v>
      </c>
      <c r="V20" s="33">
        <f t="shared" si="8"/>
        <v>7.3858303516414717E-2</v>
      </c>
      <c r="Y20" s="32">
        <f t="shared" si="9"/>
        <v>4.9317314622780981E-2</v>
      </c>
      <c r="Z20">
        <f t="shared" si="10"/>
        <v>6.7562766256236584E-2</v>
      </c>
      <c r="AA20" s="33">
        <f t="shared" si="11"/>
        <v>7.4242061606088205E-2</v>
      </c>
    </row>
    <row r="21" spans="3:27" x14ac:dyDescent="0.2">
      <c r="C21" s="99">
        <v>46094</v>
      </c>
      <c r="D21" s="100">
        <v>40.369999999999997</v>
      </c>
      <c r="E21" s="97">
        <f t="shared" si="2"/>
        <v>1.0513141426783343E-2</v>
      </c>
      <c r="G21" s="83">
        <v>46094</v>
      </c>
      <c r="H21" s="84">
        <v>473.7</v>
      </c>
      <c r="I21" s="17">
        <f t="shared" si="3"/>
        <v>-4.3030303030303051E-2</v>
      </c>
      <c r="K21" s="3">
        <f t="shared" si="0"/>
        <v>-2.6493195517223206E-2</v>
      </c>
      <c r="L21" s="3">
        <f t="shared" si="1"/>
        <v>2.7975517211587256E-2</v>
      </c>
      <c r="N21" s="41">
        <v>3</v>
      </c>
      <c r="O21">
        <f>$U$6*SQRT($O$8)*SQRT($N21)-$O$7*$N21</f>
        <v>0.1052760048887815</v>
      </c>
      <c r="P21">
        <f t="shared" si="4"/>
        <v>0.14392080254020256</v>
      </c>
      <c r="Q21" s="33">
        <f t="shared" si="5"/>
        <v>0.15806789094528179</v>
      </c>
      <c r="R21" s="2"/>
      <c r="T21" s="32">
        <f t="shared" si="6"/>
        <v>5.9600316066457514E-2</v>
      </c>
      <c r="U21">
        <f t="shared" si="7"/>
        <v>8.2703965717611336E-2</v>
      </c>
      <c r="V21" s="33">
        <f t="shared" si="8"/>
        <v>9.1161750308516837E-2</v>
      </c>
      <c r="Y21" s="32">
        <f t="shared" si="9"/>
        <v>6.1854507254459963E-2</v>
      </c>
      <c r="Z21">
        <f t="shared" si="10"/>
        <v>8.4200530568757995E-2</v>
      </c>
      <c r="AA21" s="33">
        <f t="shared" si="11"/>
        <v>9.2380963292998455E-2</v>
      </c>
    </row>
    <row r="22" spans="3:27" x14ac:dyDescent="0.2">
      <c r="C22" s="99">
        <v>46093</v>
      </c>
      <c r="D22" s="100">
        <v>39.950000000000003</v>
      </c>
      <c r="E22" s="97">
        <f t="shared" si="2"/>
        <v>-2.9947591714498986E-3</v>
      </c>
      <c r="G22" s="83">
        <v>46093</v>
      </c>
      <c r="H22" s="84">
        <v>495</v>
      </c>
      <c r="I22" s="17">
        <f t="shared" si="3"/>
        <v>-1.0593643813711796E-2</v>
      </c>
      <c r="K22" s="3">
        <f t="shared" si="0"/>
        <v>-3.8108549138352213E-3</v>
      </c>
      <c r="L22" s="3">
        <f t="shared" si="1"/>
        <v>3.840123218710734E-3</v>
      </c>
      <c r="N22" s="41">
        <v>4</v>
      </c>
      <c r="O22">
        <f t="shared" si="12"/>
        <v>0.12370638389212214</v>
      </c>
      <c r="P22">
        <f t="shared" si="4"/>
        <v>0.16832955254577528</v>
      </c>
      <c r="Q22" s="33">
        <f t="shared" si="5"/>
        <v>0.18466520314361912</v>
      </c>
      <c r="R22" s="2"/>
      <c r="T22" s="32">
        <f t="shared" si="6"/>
        <v>6.9505998493862575E-2</v>
      </c>
      <c r="U22">
        <f t="shared" si="7"/>
        <v>9.6183795184575496E-2</v>
      </c>
      <c r="V22" s="33">
        <f t="shared" si="8"/>
        <v>0.10595000360518983</v>
      </c>
      <c r="Y22" s="32">
        <f t="shared" si="9"/>
        <v>7.2838235734398224E-2</v>
      </c>
      <c r="Z22">
        <f t="shared" si="10"/>
        <v>9.8641200886053465E-2</v>
      </c>
      <c r="AA22" s="33">
        <f t="shared" si="11"/>
        <v>0.10808715095690917</v>
      </c>
    </row>
    <row r="23" spans="3:27" x14ac:dyDescent="0.2">
      <c r="C23" s="99">
        <v>46092</v>
      </c>
      <c r="D23" s="100">
        <v>40.07</v>
      </c>
      <c r="E23" s="97">
        <f t="shared" si="2"/>
        <v>9.065726517250048E-3</v>
      </c>
      <c r="G23" s="83">
        <v>46092</v>
      </c>
      <c r="H23" s="84">
        <v>500.3</v>
      </c>
      <c r="I23" s="17">
        <f t="shared" si="3"/>
        <v>-8.3250743310207907E-3</v>
      </c>
      <c r="K23" s="3">
        <f t="shared" si="0"/>
        <v>-8.6172785336265916E-3</v>
      </c>
      <c r="L23" s="3">
        <f t="shared" si="1"/>
        <v>8.7683979891591442E-3</v>
      </c>
      <c r="N23" s="41">
        <v>5</v>
      </c>
      <c r="O23">
        <f t="shared" si="12"/>
        <v>0.14041992086757626</v>
      </c>
      <c r="P23">
        <f t="shared" si="4"/>
        <v>0.1903101401080794</v>
      </c>
      <c r="Q23" s="33">
        <f t="shared" si="5"/>
        <v>0.20857395270481133</v>
      </c>
      <c r="R23" s="2"/>
      <c r="T23" s="32">
        <f t="shared" si="6"/>
        <v>7.8385273251173171E-2</v>
      </c>
      <c r="U23">
        <f t="shared" si="7"/>
        <v>0.10821195669634968</v>
      </c>
      <c r="V23" s="33">
        <f t="shared" si="8"/>
        <v>0.11913090965181194</v>
      </c>
      <c r="Y23" s="32">
        <f t="shared" si="9"/>
        <v>8.2829215013572877E-2</v>
      </c>
      <c r="Z23">
        <f t="shared" si="10"/>
        <v>0.11167780706365255</v>
      </c>
      <c r="AA23" s="33">
        <f t="shared" si="11"/>
        <v>0.12223870029890371</v>
      </c>
    </row>
    <row r="24" spans="3:27" x14ac:dyDescent="0.2">
      <c r="C24" s="99">
        <v>46091</v>
      </c>
      <c r="D24" s="100">
        <v>39.71</v>
      </c>
      <c r="E24" s="97">
        <f t="shared" si="2"/>
        <v>1.4822386915410126E-2</v>
      </c>
      <c r="G24" s="83">
        <v>46091</v>
      </c>
      <c r="H24" s="84">
        <v>504.5</v>
      </c>
      <c r="I24" s="17">
        <f t="shared" si="3"/>
        <v>1.3662849105887104E-2</v>
      </c>
      <c r="K24" s="3">
        <f t="shared" si="0"/>
        <v>-5.7130086233487599E-4</v>
      </c>
      <c r="L24" s="3">
        <f t="shared" si="1"/>
        <v>5.7195437839406148E-4</v>
      </c>
      <c r="N24" s="41">
        <v>6</v>
      </c>
      <c r="O24">
        <f t="shared" si="12"/>
        <v>0.15591393189368072</v>
      </c>
      <c r="P24">
        <f t="shared" si="4"/>
        <v>0.21056592884748432</v>
      </c>
      <c r="Q24" s="33">
        <f t="shared" si="5"/>
        <v>0.2305729331380385</v>
      </c>
      <c r="R24" s="2"/>
      <c r="T24" s="32">
        <f t="shared" si="6"/>
        <v>8.653545892051881E-2</v>
      </c>
      <c r="U24">
        <f t="shared" si="7"/>
        <v>0.11920895359749696</v>
      </c>
      <c r="V24" s="33">
        <f t="shared" si="8"/>
        <v>0.13117006727358571</v>
      </c>
      <c r="Y24" s="32">
        <f t="shared" si="9"/>
        <v>9.2115013855722877E-2</v>
      </c>
      <c r="Z24">
        <f t="shared" si="10"/>
        <v>0.12371706309190854</v>
      </c>
      <c r="AA24" s="33">
        <f t="shared" si="11"/>
        <v>0.13528594199661009</v>
      </c>
    </row>
    <row r="25" spans="3:27" x14ac:dyDescent="0.2">
      <c r="C25" s="99">
        <v>46090</v>
      </c>
      <c r="D25" s="100">
        <v>39.130000000000003</v>
      </c>
      <c r="E25" s="97">
        <f t="shared" si="2"/>
        <v>1.3730569948186557E-2</v>
      </c>
      <c r="G25" s="83">
        <v>46090</v>
      </c>
      <c r="H25" s="84">
        <v>497.7</v>
      </c>
      <c r="I25" s="17">
        <f t="shared" si="3"/>
        <v>-8.9605734767025085E-3</v>
      </c>
      <c r="K25" s="3">
        <f t="shared" si="0"/>
        <v>-1.1191900539237385E-2</v>
      </c>
      <c r="L25" s="3">
        <f t="shared" si="1"/>
        <v>1.144815373516103E-2</v>
      </c>
      <c r="N25" s="41">
        <v>7</v>
      </c>
      <c r="O25">
        <f t="shared" si="12"/>
        <v>0.17048384553255391</v>
      </c>
      <c r="P25">
        <f t="shared" si="4"/>
        <v>0.22951474901718349</v>
      </c>
      <c r="Q25" s="33">
        <f t="shared" si="5"/>
        <v>0.25112478351035267</v>
      </c>
      <c r="R25" s="2"/>
      <c r="T25" s="32">
        <f t="shared" si="6"/>
        <v>9.413317637743604E-2</v>
      </c>
      <c r="U25">
        <f t="shared" si="7"/>
        <v>0.12942458416282018</v>
      </c>
      <c r="V25" s="33">
        <f t="shared" si="8"/>
        <v>0.1423440635293054</v>
      </c>
      <c r="Y25" s="32">
        <f t="shared" si="9"/>
        <v>0.10086646129704485</v>
      </c>
      <c r="Z25">
        <f t="shared" si="10"/>
        <v>0.13500057573671775</v>
      </c>
      <c r="AA25" s="33">
        <f t="shared" si="11"/>
        <v>0.14749639312882634</v>
      </c>
    </row>
    <row r="26" spans="3:27" x14ac:dyDescent="0.2">
      <c r="C26" s="99">
        <v>46087</v>
      </c>
      <c r="D26" s="100">
        <v>38.6</v>
      </c>
      <c r="E26" s="97">
        <f t="shared" si="2"/>
        <v>-4.4317900470413445E-2</v>
      </c>
      <c r="G26" s="83">
        <v>46087</v>
      </c>
      <c r="H26" s="84">
        <v>502.2</v>
      </c>
      <c r="I26" s="17">
        <f t="shared" si="3"/>
        <v>-7.1174377224199736E-3</v>
      </c>
      <c r="K26" s="3">
        <f t="shared" si="0"/>
        <v>1.9462780963619898E-2</v>
      </c>
      <c r="L26" s="3">
        <f t="shared" si="1"/>
        <v>-1.873356636592503E-2</v>
      </c>
      <c r="N26" s="41">
        <v>8</v>
      </c>
      <c r="O26">
        <f t="shared" si="12"/>
        <v>0.18432214983571796</v>
      </c>
      <c r="P26">
        <f t="shared" si="4"/>
        <v>0.24742884014177621</v>
      </c>
      <c r="Q26" s="33">
        <f t="shared" si="5"/>
        <v>0.27053093876743511</v>
      </c>
      <c r="R26" s="2"/>
      <c r="T26" s="32">
        <f t="shared" si="6"/>
        <v>0.10129350389311972</v>
      </c>
      <c r="U26">
        <f t="shared" si="7"/>
        <v>0.13902160578735803</v>
      </c>
      <c r="V26" s="33">
        <f t="shared" si="8"/>
        <v>0.15283311018875315</v>
      </c>
      <c r="Y26" s="32">
        <f t="shared" si="9"/>
        <v>0.10919486190499539</v>
      </c>
      <c r="Z26">
        <f t="shared" si="10"/>
        <v>0.14568576517190659</v>
      </c>
      <c r="AA26" s="33">
        <f t="shared" si="11"/>
        <v>0.15904435587160981</v>
      </c>
    </row>
    <row r="27" spans="3:27" x14ac:dyDescent="0.2">
      <c r="C27" s="99">
        <v>46086</v>
      </c>
      <c r="D27" s="100">
        <v>40.39</v>
      </c>
      <c r="E27" s="97">
        <f t="shared" si="2"/>
        <v>-2.533783783783777E-2</v>
      </c>
      <c r="G27" s="83">
        <v>46086</v>
      </c>
      <c r="H27" s="84">
        <v>505.8</v>
      </c>
      <c r="I27" s="17">
        <f t="shared" si="3"/>
        <v>-3.1533307055576784E-3</v>
      </c>
      <c r="K27" s="3">
        <f t="shared" si="0"/>
        <v>1.1380613710840393E-2</v>
      </c>
      <c r="L27" s="3">
        <f t="shared" si="1"/>
        <v>-1.1127341754565954E-2</v>
      </c>
      <c r="N27" s="41">
        <v>9</v>
      </c>
      <c r="O27">
        <f t="shared" si="12"/>
        <v>0.19756254746039059</v>
      </c>
      <c r="P27">
        <f t="shared" si="4"/>
        <v>0.26449730044087028</v>
      </c>
      <c r="Q27" s="33">
        <f t="shared" si="5"/>
        <v>0.28900077633763599</v>
      </c>
      <c r="R27" s="2"/>
      <c r="T27" s="32">
        <f t="shared" si="6"/>
        <v>0.10809637510773663</v>
      </c>
      <c r="U27">
        <f t="shared" si="7"/>
        <v>0.14811307014380598</v>
      </c>
      <c r="V27" s="33">
        <f t="shared" si="8"/>
        <v>0.16276238277472749</v>
      </c>
      <c r="Y27" s="32">
        <f t="shared" si="9"/>
        <v>0.11717752809617239</v>
      </c>
      <c r="Z27">
        <f t="shared" si="10"/>
        <v>0.15588197582365526</v>
      </c>
      <c r="AA27" s="33">
        <f t="shared" si="11"/>
        <v>0.17005090092993883</v>
      </c>
    </row>
    <row r="28" spans="3:27" x14ac:dyDescent="0.2">
      <c r="C28" s="99">
        <v>46085</v>
      </c>
      <c r="D28" s="100">
        <v>41.44</v>
      </c>
      <c r="E28" s="97">
        <f t="shared" si="2"/>
        <v>7.0801033591731136E-2</v>
      </c>
      <c r="G28" s="83">
        <v>46085</v>
      </c>
      <c r="H28" s="84">
        <v>507.4</v>
      </c>
      <c r="I28" s="17">
        <f t="shared" si="3"/>
        <v>1.0354440461967322E-2</v>
      </c>
      <c r="K28" s="3">
        <f t="shared" si="0"/>
        <v>-2.82249415313931E-2</v>
      </c>
      <c r="L28" s="3">
        <f t="shared" si="1"/>
        <v>2.9913558405367944E-2</v>
      </c>
      <c r="N28" s="41">
        <v>10</v>
      </c>
      <c r="O28">
        <f t="shared" si="12"/>
        <v>0.21030238649746597</v>
      </c>
      <c r="P28">
        <f t="shared" si="4"/>
        <v>0.28085781117715258</v>
      </c>
      <c r="Q28" s="33">
        <f t="shared" si="5"/>
        <v>0.3066867426520915</v>
      </c>
      <c r="R28" s="2"/>
      <c r="T28" s="32">
        <f t="shared" si="6"/>
        <v>0.11459998921814929</v>
      </c>
      <c r="U28">
        <f t="shared" si="7"/>
        <v>0.15678128946692699</v>
      </c>
      <c r="V28" s="33">
        <f t="shared" si="8"/>
        <v>0.1722230208234555</v>
      </c>
      <c r="Y28" s="32">
        <f t="shared" si="9"/>
        <v>0.12487075057051296</v>
      </c>
      <c r="Z28">
        <f t="shared" si="10"/>
        <v>0.16566882070310424</v>
      </c>
      <c r="AA28" s="33">
        <f t="shared" si="11"/>
        <v>0.1806041791471707</v>
      </c>
    </row>
    <row r="29" spans="3:27" x14ac:dyDescent="0.2">
      <c r="C29" s="99">
        <v>46084</v>
      </c>
      <c r="D29" s="100">
        <v>38.700000000000003</v>
      </c>
      <c r="E29" s="97">
        <f t="shared" si="2"/>
        <v>-1.2629161882893161E-2</v>
      </c>
      <c r="G29" s="83">
        <v>46084</v>
      </c>
      <c r="H29" s="84">
        <v>502.2</v>
      </c>
      <c r="I29" s="17">
        <f t="shared" si="3"/>
        <v>-3.515850144092221E-2</v>
      </c>
      <c r="K29" s="3">
        <f t="shared" si="0"/>
        <v>-1.1408752764560059E-2</v>
      </c>
      <c r="L29" s="3">
        <f t="shared" si="1"/>
        <v>1.1675150577413501E-2</v>
      </c>
      <c r="N29" s="41">
        <v>11</v>
      </c>
      <c r="O29">
        <f t="shared" si="12"/>
        <v>0.2226151568922472</v>
      </c>
      <c r="P29">
        <f t="shared" si="4"/>
        <v>0.29661431058270521</v>
      </c>
      <c r="Q29" s="33">
        <f t="shared" si="5"/>
        <v>0.32370392245240165</v>
      </c>
      <c r="R29" s="2"/>
      <c r="T29" s="32">
        <f t="shared" si="6"/>
        <v>0.12084828191693091</v>
      </c>
      <c r="U29">
        <f t="shared" si="7"/>
        <v>0.16508840284517076</v>
      </c>
      <c r="V29" s="33">
        <f t="shared" si="8"/>
        <v>0.18128382732296436</v>
      </c>
      <c r="Y29" s="32">
        <f t="shared" si="9"/>
        <v>0.13231702425957095</v>
      </c>
      <c r="Z29">
        <f t="shared" si="10"/>
        <v>0.17510640120289908</v>
      </c>
      <c r="AA29" s="33">
        <f t="shared" si="11"/>
        <v>0.19077073728962876</v>
      </c>
    </row>
    <row r="30" spans="3:27" x14ac:dyDescent="0.2">
      <c r="C30" s="99">
        <v>46083</v>
      </c>
      <c r="D30" s="100">
        <v>39.195</v>
      </c>
      <c r="E30" s="97">
        <f t="shared" si="2"/>
        <v>5.3912342027426799E-2</v>
      </c>
      <c r="G30" s="83">
        <v>46083</v>
      </c>
      <c r="H30" s="84">
        <v>520.5</v>
      </c>
      <c r="I30" s="17">
        <f t="shared" si="3"/>
        <v>-4.3374379709612242E-2</v>
      </c>
      <c r="K30" s="3">
        <f t="shared" si="0"/>
        <v>-4.615503484373621E-2</v>
      </c>
      <c r="L30" s="3">
        <f t="shared" si="1"/>
        <v>5.0848900381482168E-2</v>
      </c>
      <c r="N30" s="41">
        <v>12</v>
      </c>
      <c r="O30">
        <f t="shared" si="12"/>
        <v>0.23455795302197771</v>
      </c>
      <c r="P30">
        <f t="shared" si="4"/>
        <v>0.31184754832481981</v>
      </c>
      <c r="Q30" s="33">
        <f t="shared" si="5"/>
        <v>0.34014172513497826</v>
      </c>
      <c r="R30" s="2"/>
      <c r="T30" s="32">
        <f t="shared" si="6"/>
        <v>0.12687538686680055</v>
      </c>
      <c r="U30">
        <f t="shared" si="7"/>
        <v>0.17308268616910821</v>
      </c>
      <c r="V30" s="33">
        <f t="shared" si="8"/>
        <v>0.18999825535091922</v>
      </c>
      <c r="Y30" s="32">
        <f t="shared" si="9"/>
        <v>0.13954936349807007</v>
      </c>
      <c r="Z30">
        <f t="shared" si="10"/>
        <v>0.18424141012666612</v>
      </c>
      <c r="AA30" s="33">
        <f t="shared" si="11"/>
        <v>0.20060227557514704</v>
      </c>
    </row>
    <row r="31" spans="3:27" x14ac:dyDescent="0.2">
      <c r="C31" s="99">
        <v>46080</v>
      </c>
      <c r="D31" s="100">
        <v>37.19</v>
      </c>
      <c r="E31" s="97">
        <f t="shared" si="2"/>
        <v>-2.7966544694197605E-2</v>
      </c>
      <c r="G31" s="83">
        <v>46080</v>
      </c>
      <c r="H31" s="84">
        <v>544.1</v>
      </c>
      <c r="I31" s="17">
        <f t="shared" si="3"/>
        <v>-1.3596809282088469E-2</v>
      </c>
      <c r="K31" s="3">
        <f t="shared" si="0"/>
        <v>7.391584792515401E-3</v>
      </c>
      <c r="L31" s="3">
        <f t="shared" si="1"/>
        <v>-7.2839055810691045E-3</v>
      </c>
      <c r="N31" s="41">
        <v>13</v>
      </c>
      <c r="O31">
        <f t="shared" si="12"/>
        <v>0.24617617904766609</v>
      </c>
      <c r="P31">
        <f t="shared" si="4"/>
        <v>0.32662174037487796</v>
      </c>
      <c r="Q31" s="33">
        <f t="shared" si="5"/>
        <v>0.35607125329917294</v>
      </c>
      <c r="R31" s="2"/>
      <c r="T31" s="32">
        <f t="shared" si="6"/>
        <v>0.13270844877784604</v>
      </c>
      <c r="U31">
        <f t="shared" si="7"/>
        <v>0.18080253072023053</v>
      </c>
      <c r="V31" s="33">
        <f t="shared" si="8"/>
        <v>0.19840881333392713</v>
      </c>
      <c r="Y31" s="32">
        <f t="shared" si="9"/>
        <v>0.14659402285330339</v>
      </c>
      <c r="Z31">
        <f t="shared" si="10"/>
        <v>0.19311097980995512</v>
      </c>
      <c r="AA31" s="33">
        <f t="shared" si="11"/>
        <v>0.2101399084729266</v>
      </c>
    </row>
    <row r="32" spans="3:27" x14ac:dyDescent="0.2">
      <c r="C32" s="99">
        <v>46079</v>
      </c>
      <c r="D32" s="100">
        <v>38.26</v>
      </c>
      <c r="E32" s="97">
        <f t="shared" si="2"/>
        <v>-2.4725975019117996E-2</v>
      </c>
      <c r="G32" s="83">
        <v>46079</v>
      </c>
      <c r="H32" s="84">
        <v>551.6</v>
      </c>
      <c r="I32" s="17">
        <f t="shared" si="3"/>
        <v>-2.531645569620212E-3</v>
      </c>
      <c r="K32" s="3">
        <f t="shared" si="0"/>
        <v>1.1378509465548851E-2</v>
      </c>
      <c r="L32" s="3">
        <f t="shared" si="1"/>
        <v>-1.1125330117451301E-2</v>
      </c>
      <c r="N32" s="41">
        <v>14</v>
      </c>
      <c r="O32">
        <f t="shared" si="12"/>
        <v>0.25750664848851346</v>
      </c>
      <c r="P32">
        <f t="shared" si="4"/>
        <v>0.3409889527956137</v>
      </c>
      <c r="Q32" s="33">
        <f t="shared" si="5"/>
        <v>0.37155015665920399</v>
      </c>
      <c r="R32" s="2"/>
      <c r="T32" s="32">
        <f t="shared" si="6"/>
        <v>0.13836947647665557</v>
      </c>
      <c r="U32">
        <f t="shared" si="7"/>
        <v>0.18827906400198527</v>
      </c>
      <c r="V32" s="33">
        <f t="shared" si="8"/>
        <v>0.20654996694086802</v>
      </c>
      <c r="Y32" s="32">
        <f t="shared" si="9"/>
        <v>0.1534722894275031</v>
      </c>
      <c r="Z32">
        <f t="shared" si="10"/>
        <v>0.20174521700768383</v>
      </c>
      <c r="AA32" s="33">
        <f t="shared" si="11"/>
        <v>0.21941697143654137</v>
      </c>
    </row>
    <row r="33" spans="3:27" x14ac:dyDescent="0.2">
      <c r="C33" s="99">
        <v>46078</v>
      </c>
      <c r="D33" s="100">
        <v>39.229999999999997</v>
      </c>
      <c r="E33" s="97">
        <f t="shared" si="2"/>
        <v>7.3911853271283759E-2</v>
      </c>
      <c r="G33" s="83">
        <v>46078</v>
      </c>
      <c r="H33" s="84">
        <v>553</v>
      </c>
      <c r="I33" s="17">
        <f t="shared" si="3"/>
        <v>-1.5663937344250544E-2</v>
      </c>
      <c r="K33" s="3">
        <f t="shared" si="0"/>
        <v>-4.1705373836164523E-2</v>
      </c>
      <c r="L33" s="3">
        <f t="shared" si="1"/>
        <v>4.550061407577502E-2</v>
      </c>
      <c r="N33" s="41">
        <v>15</v>
      </c>
      <c r="O33">
        <f t="shared" si="12"/>
        <v>0.26857970096269584</v>
      </c>
      <c r="P33">
        <f t="shared" si="4"/>
        <v>0.35499209548799759</v>
      </c>
      <c r="Q33" s="33">
        <f t="shared" si="5"/>
        <v>0.38662594684545376</v>
      </c>
      <c r="R33" s="2"/>
      <c r="T33" s="32">
        <f t="shared" si="6"/>
        <v>0.14387660839198255</v>
      </c>
      <c r="U33">
        <f t="shared" si="7"/>
        <v>0.19553793954030177</v>
      </c>
      <c r="V33" s="33">
        <f t="shared" si="8"/>
        <v>0.21445012082461676</v>
      </c>
      <c r="Y33" s="32">
        <f t="shared" si="9"/>
        <v>0.16020170684507182</v>
      </c>
      <c r="Z33">
        <f t="shared" si="10"/>
        <v>0.21016893400263736</v>
      </c>
      <c r="AA33" s="33">
        <f t="shared" si="11"/>
        <v>0.22846093765940281</v>
      </c>
    </row>
    <row r="34" spans="3:27" x14ac:dyDescent="0.2">
      <c r="C34" s="99">
        <v>46077</v>
      </c>
      <c r="D34" s="100">
        <v>36.53</v>
      </c>
      <c r="E34" s="97">
        <f t="shared" si="2"/>
        <v>-5.4719562243491166E-4</v>
      </c>
      <c r="G34" s="83">
        <v>46077</v>
      </c>
      <c r="H34" s="84">
        <v>561.79999999999995</v>
      </c>
      <c r="I34" s="17">
        <f t="shared" si="3"/>
        <v>6.8100358422938257E-3</v>
      </c>
      <c r="K34" s="3">
        <f t="shared" si="0"/>
        <v>3.6806297568551232E-3</v>
      </c>
      <c r="L34" s="3">
        <f t="shared" si="1"/>
        <v>-3.6537336750788853E-3</v>
      </c>
      <c r="N34" s="41">
        <v>16</v>
      </c>
      <c r="O34">
        <f t="shared" si="12"/>
        <v>0.27942069211013054</v>
      </c>
      <c r="P34">
        <f t="shared" si="4"/>
        <v>0.36866702941743684</v>
      </c>
      <c r="Q34" s="33">
        <f t="shared" si="5"/>
        <v>0.40133833061312452</v>
      </c>
      <c r="R34" s="2"/>
      <c r="T34" s="32">
        <f t="shared" si="6"/>
        <v>0.14924500329957252</v>
      </c>
      <c r="U34">
        <f t="shared" si="7"/>
        <v>0.20260059668099836</v>
      </c>
      <c r="V34" s="33">
        <f t="shared" si="8"/>
        <v>0.22213301352222703</v>
      </c>
      <c r="Y34" s="32">
        <f t="shared" si="9"/>
        <v>0.16679693678766327</v>
      </c>
      <c r="Z34">
        <f t="shared" si="10"/>
        <v>0.21840286709097378</v>
      </c>
      <c r="AA34" s="33">
        <f t="shared" si="11"/>
        <v>0.23729476723268517</v>
      </c>
    </row>
    <row r="35" spans="3:27" x14ac:dyDescent="0.2">
      <c r="C35" s="99">
        <v>46076</v>
      </c>
      <c r="D35" s="100">
        <v>36.549999999999997</v>
      </c>
      <c r="E35" s="97">
        <f t="shared" si="2"/>
        <v>-4.8672566371681533E-2</v>
      </c>
      <c r="G35" s="83">
        <v>46076</v>
      </c>
      <c r="H35" s="84">
        <v>558</v>
      </c>
      <c r="I35" s="17">
        <f t="shared" si="3"/>
        <v>5.9491617090318269E-3</v>
      </c>
      <c r="K35" s="3">
        <f t="shared" si="0"/>
        <v>2.8708164061026095E-2</v>
      </c>
      <c r="L35" s="3">
        <f t="shared" si="1"/>
        <v>-2.7149348177752421E-2</v>
      </c>
      <c r="N35" s="41">
        <v>17</v>
      </c>
      <c r="O35">
        <f t="shared" si="12"/>
        <v>0.29005106965462019</v>
      </c>
      <c r="P35">
        <f t="shared" si="4"/>
        <v>0.38204408850900162</v>
      </c>
      <c r="Q35" s="33">
        <f t="shared" si="5"/>
        <v>0.41572089494804887</v>
      </c>
      <c r="R35" s="2"/>
      <c r="T35" s="32">
        <f t="shared" si="6"/>
        <v>0.15448748364194465</v>
      </c>
      <c r="U35">
        <f t="shared" si="7"/>
        <v>0.20948517044922599</v>
      </c>
      <c r="V35" s="33">
        <f t="shared" si="8"/>
        <v>0.22961872488922075</v>
      </c>
      <c r="Y35" s="32">
        <f t="shared" si="9"/>
        <v>0.1732703812179027</v>
      </c>
      <c r="Z35">
        <f t="shared" si="10"/>
        <v>0.22646455660510581</v>
      </c>
      <c r="AA35" s="33">
        <f t="shared" si="11"/>
        <v>0.24593788154333016</v>
      </c>
    </row>
    <row r="36" spans="3:27" x14ac:dyDescent="0.2">
      <c r="C36" s="99">
        <v>46073</v>
      </c>
      <c r="D36" s="100">
        <v>38.42</v>
      </c>
      <c r="E36" s="97">
        <f t="shared" si="2"/>
        <v>9.1935907538744782E-3</v>
      </c>
      <c r="G36" s="83">
        <v>46073</v>
      </c>
      <c r="H36" s="84">
        <v>554.70000000000005</v>
      </c>
      <c r="I36" s="17">
        <f t="shared" si="3"/>
        <v>4.3650047036688705E-2</v>
      </c>
      <c r="K36" s="3">
        <f t="shared" si="0"/>
        <v>1.7071281763231878E-2</v>
      </c>
      <c r="L36" s="3">
        <f t="shared" si="1"/>
        <v>-1.6507667671097674E-2</v>
      </c>
      <c r="N36" s="41">
        <v>18</v>
      </c>
      <c r="O36">
        <f t="shared" si="12"/>
        <v>0.30048916799799164</v>
      </c>
      <c r="P36">
        <f t="shared" si="4"/>
        <v>0.39514920345707893</v>
      </c>
      <c r="Q36" s="33">
        <f t="shared" si="5"/>
        <v>0.42980235139556733</v>
      </c>
      <c r="R36" s="2"/>
      <c r="T36" s="32">
        <f t="shared" si="6"/>
        <v>0.15961501057356511</v>
      </c>
      <c r="U36">
        <f t="shared" si="7"/>
        <v>0.21620716341492255</v>
      </c>
      <c r="V36" s="33">
        <f t="shared" si="8"/>
        <v>0.23692442001701522</v>
      </c>
      <c r="Y36" s="32">
        <f t="shared" si="9"/>
        <v>0.17963264184664318</v>
      </c>
      <c r="Z36">
        <f t="shared" si="10"/>
        <v>0.23436899674700998</v>
      </c>
      <c r="AA36" s="33">
        <f t="shared" si="11"/>
        <v>0.25440688279656481</v>
      </c>
    </row>
    <row r="37" spans="3:27" x14ac:dyDescent="0.2">
      <c r="C37" s="99">
        <v>46072</v>
      </c>
      <c r="D37" s="100">
        <v>38.07</v>
      </c>
      <c r="E37" s="97">
        <f t="shared" si="2"/>
        <v>1.4118273841236045E-2</v>
      </c>
      <c r="G37" s="83">
        <v>46072</v>
      </c>
      <c r="H37" s="84">
        <v>531.5</v>
      </c>
      <c r="I37" s="17">
        <f t="shared" si="3"/>
        <v>-4.4952238246862286E-3</v>
      </c>
      <c r="K37" s="3">
        <f t="shared" si="0"/>
        <v>-9.1771828523604174E-3</v>
      </c>
      <c r="L37" s="3">
        <f t="shared" si="1"/>
        <v>9.3487736630629373E-3</v>
      </c>
      <c r="N37" s="41">
        <v>19</v>
      </c>
      <c r="O37">
        <f t="shared" si="12"/>
        <v>0.31075080642002517</v>
      </c>
      <c r="P37">
        <f t="shared" si="4"/>
        <v>0.40800474777094814</v>
      </c>
      <c r="Q37" s="33">
        <f t="shared" si="5"/>
        <v>0.44360747283744373</v>
      </c>
      <c r="R37" s="2"/>
      <c r="T37" s="32">
        <f t="shared" si="6"/>
        <v>0.164637041592467</v>
      </c>
      <c r="U37">
        <f t="shared" si="7"/>
        <v>0.22277995149803773</v>
      </c>
      <c r="V37" s="33">
        <f t="shared" si="8"/>
        <v>0.24406490928154465</v>
      </c>
      <c r="Y37" s="32">
        <f t="shared" si="9"/>
        <v>0.18589286603695218</v>
      </c>
      <c r="Z37">
        <f t="shared" si="10"/>
        <v>0.24212912480683563</v>
      </c>
      <c r="AA37" s="33">
        <f t="shared" si="11"/>
        <v>0.26271609569913107</v>
      </c>
    </row>
    <row r="38" spans="3:27" x14ac:dyDescent="0.2">
      <c r="C38" s="99">
        <v>46071</v>
      </c>
      <c r="D38" s="100">
        <v>37.54</v>
      </c>
      <c r="E38" s="97">
        <f t="shared" si="2"/>
        <v>-2.2141182599635358E-2</v>
      </c>
      <c r="G38" s="83">
        <v>46071</v>
      </c>
      <c r="H38" s="84">
        <v>533.9</v>
      </c>
      <c r="I38" s="17">
        <f t="shared" si="3"/>
        <v>1.1749099867348742E-2</v>
      </c>
      <c r="K38" s="3">
        <f t="shared" si="0"/>
        <v>1.7328821842135318E-2</v>
      </c>
      <c r="L38" s="3">
        <f t="shared" si="1"/>
        <v>-1.6748363043479594E-2</v>
      </c>
      <c r="N38" s="41">
        <v>20</v>
      </c>
      <c r="O38">
        <f t="shared" si="12"/>
        <v>0.32084974714251041</v>
      </c>
      <c r="P38">
        <f t="shared" si="4"/>
        <v>0.42063018562351662</v>
      </c>
      <c r="Q38" s="33">
        <f t="shared" si="5"/>
        <v>0.45715781081698048</v>
      </c>
      <c r="R38" s="2"/>
      <c r="T38" s="32">
        <f t="shared" si="6"/>
        <v>0.16956180439215557</v>
      </c>
      <c r="U38">
        <f t="shared" si="7"/>
        <v>0.22921517128250862</v>
      </c>
      <c r="V38" s="33">
        <f t="shared" si="8"/>
        <v>0.25105307719343312</v>
      </c>
      <c r="Y38" s="32">
        <f t="shared" si="9"/>
        <v>0.19205901167572931</v>
      </c>
      <c r="Z38">
        <f t="shared" si="10"/>
        <v>0.24975619577588862</v>
      </c>
      <c r="AA38" s="33">
        <f t="shared" si="11"/>
        <v>0.27087798224639092</v>
      </c>
    </row>
    <row r="39" spans="3:27" x14ac:dyDescent="0.2">
      <c r="C39" s="99">
        <v>46070</v>
      </c>
      <c r="D39" s="100">
        <v>38.39</v>
      </c>
      <c r="E39" s="97">
        <f t="shared" si="2"/>
        <v>-1.4883243520656873E-2</v>
      </c>
      <c r="G39" s="83">
        <v>46070</v>
      </c>
      <c r="H39" s="84">
        <v>527.70000000000005</v>
      </c>
      <c r="I39" s="17">
        <f t="shared" si="3"/>
        <v>1.8136214547559506E-2</v>
      </c>
      <c r="K39" s="3">
        <f t="shared" si="0"/>
        <v>1.6759159688960565E-2</v>
      </c>
      <c r="L39" s="3">
        <f t="shared" si="1"/>
        <v>-1.6215638731056043E-2</v>
      </c>
      <c r="N39" s="41">
        <v>21</v>
      </c>
      <c r="O39">
        <f t="shared" si="12"/>
        <v>0.33079805140746121</v>
      </c>
      <c r="P39">
        <f t="shared" si="4"/>
        <v>0.43304257545953428</v>
      </c>
      <c r="Q39" s="33">
        <f t="shared" si="5"/>
        <v>0.47047225315501928</v>
      </c>
      <c r="R39" s="2"/>
      <c r="T39" s="32">
        <f t="shared" si="6"/>
        <v>0.17439650974165491</v>
      </c>
      <c r="U39">
        <f t="shared" si="7"/>
        <v>0.23552302109657208</v>
      </c>
      <c r="V39" s="33">
        <f t="shared" si="8"/>
        <v>0.25790021576666228</v>
      </c>
      <c r="Y39" s="32">
        <f t="shared" si="9"/>
        <v>0.19813805307288482</v>
      </c>
      <c r="Z39">
        <f t="shared" si="10"/>
        <v>0.25726007355376879</v>
      </c>
      <c r="AA39" s="33">
        <f t="shared" si="11"/>
        <v>0.27890346415900363</v>
      </c>
    </row>
    <row r="40" spans="3:27" x14ac:dyDescent="0.2">
      <c r="C40" s="99">
        <v>46066</v>
      </c>
      <c r="D40" s="100">
        <v>38.97</v>
      </c>
      <c r="E40" s="97">
        <f t="shared" si="2"/>
        <v>5.1821862348178191E-2</v>
      </c>
      <c r="G40" s="83">
        <v>46069</v>
      </c>
      <c r="H40" s="84">
        <v>518.29999999999995</v>
      </c>
      <c r="I40" s="17">
        <f t="shared" si="3"/>
        <v>7.9735511474132801E-3</v>
      </c>
      <c r="K40" s="3">
        <f t="shared" si="0"/>
        <v>-2.0843981652403646E-2</v>
      </c>
      <c r="L40" s="3">
        <f t="shared" si="1"/>
        <v>2.1750725081452173E-2</v>
      </c>
      <c r="N40" s="41">
        <v>22</v>
      </c>
      <c r="O40">
        <f t="shared" si="12"/>
        <v>0.34060636002103262</v>
      </c>
      <c r="P40">
        <f t="shared" si="4"/>
        <v>0.44525696677420934</v>
      </c>
      <c r="Q40" s="33">
        <f t="shared" si="5"/>
        <v>0.48356746327975719</v>
      </c>
      <c r="R40" s="2"/>
      <c r="T40" s="32">
        <f t="shared" si="6"/>
        <v>0.17914751920765318</v>
      </c>
      <c r="U40">
        <f t="shared" si="7"/>
        <v>0.24171249822539581</v>
      </c>
      <c r="V40" s="33">
        <f t="shared" si="8"/>
        <v>0.26461628717028068</v>
      </c>
      <c r="Y40" s="32">
        <f t="shared" si="9"/>
        <v>0.20413614318345724</v>
      </c>
      <c r="Z40">
        <f t="shared" si="10"/>
        <v>0.26464946038220655</v>
      </c>
      <c r="AA40" s="33">
        <f t="shared" si="11"/>
        <v>0.28680217692162996</v>
      </c>
    </row>
    <row r="41" spans="3:27" x14ac:dyDescent="0.2">
      <c r="C41" s="99">
        <v>46065</v>
      </c>
      <c r="D41" s="100">
        <v>37.049999999999997</v>
      </c>
      <c r="E41" s="97">
        <f t="shared" si="2"/>
        <v>-3.2384434578218907E-2</v>
      </c>
      <c r="G41" s="83">
        <v>46066</v>
      </c>
      <c r="H41" s="84">
        <v>514.20000000000005</v>
      </c>
      <c r="I41" s="17">
        <f t="shared" si="3"/>
        <v>-1.9637750238322125E-2</v>
      </c>
      <c r="K41" s="3">
        <f t="shared" si="0"/>
        <v>6.5866470091045593E-3</v>
      </c>
      <c r="L41" s="3">
        <f t="shared" si="1"/>
        <v>-6.5010073281562249E-3</v>
      </c>
      <c r="N41" s="41">
        <v>23</v>
      </c>
      <c r="O41">
        <f t="shared" si="12"/>
        <v>0.35028411706988177</v>
      </c>
      <c r="P41">
        <f t="shared" si="4"/>
        <v>0.45728671651952663</v>
      </c>
      <c r="Q41" s="33">
        <f t="shared" si="5"/>
        <v>0.49645823056500749</v>
      </c>
      <c r="R41" s="2"/>
      <c r="T41" s="32">
        <f t="shared" si="6"/>
        <v>0.18382047890250355</v>
      </c>
      <c r="U41">
        <f t="shared" si="7"/>
        <v>0.24779158807342794</v>
      </c>
      <c r="V41" s="33">
        <f t="shared" si="8"/>
        <v>0.27121013317684012</v>
      </c>
      <c r="Y41" s="32">
        <f t="shared" si="9"/>
        <v>0.21005874296968347</v>
      </c>
      <c r="Z41">
        <f t="shared" si="10"/>
        <v>0.27193207980430739</v>
      </c>
      <c r="AA41" s="33">
        <f t="shared" si="11"/>
        <v>0.29458267236303126</v>
      </c>
    </row>
    <row r="42" spans="3:27" x14ac:dyDescent="0.2">
      <c r="C42" s="99">
        <v>46064</v>
      </c>
      <c r="D42" s="100">
        <v>38.29</v>
      </c>
      <c r="E42" s="97">
        <f t="shared" si="2"/>
        <v>-1.7449319989735687E-2</v>
      </c>
      <c r="G42" s="83">
        <v>46065</v>
      </c>
      <c r="H42" s="84">
        <v>524.5</v>
      </c>
      <c r="I42" s="17">
        <f t="shared" si="3"/>
        <v>-1.1426394972386645E-3</v>
      </c>
      <c r="K42" s="3">
        <f t="shared" si="0"/>
        <v>8.298137095750965E-3</v>
      </c>
      <c r="L42" s="3">
        <f t="shared" si="1"/>
        <v>-8.1626672322308736E-3</v>
      </c>
      <c r="N42" s="41">
        <v>24</v>
      </c>
      <c r="O42">
        <f t="shared" si="12"/>
        <v>0.35983975027619086</v>
      </c>
      <c r="P42">
        <f t="shared" si="4"/>
        <v>0.46914374418379806</v>
      </c>
      <c r="Q42" s="33">
        <f t="shared" si="5"/>
        <v>0.50915775276490649</v>
      </c>
      <c r="R42" s="2"/>
      <c r="T42" s="32">
        <f t="shared" si="6"/>
        <v>0.1884204273088087</v>
      </c>
      <c r="U42">
        <f t="shared" si="7"/>
        <v>0.25376741666276498</v>
      </c>
      <c r="V42" s="33">
        <f t="shared" si="8"/>
        <v>0.2776896440149425</v>
      </c>
      <c r="Y42" s="32">
        <f t="shared" si="9"/>
        <v>0.21591072568974601</v>
      </c>
      <c r="Z42">
        <f t="shared" si="10"/>
        <v>0.2791148241621173</v>
      </c>
      <c r="AA42" s="33">
        <f t="shared" si="11"/>
        <v>0.30225258197152038</v>
      </c>
    </row>
    <row r="43" spans="3:27" x14ac:dyDescent="0.2">
      <c r="C43" s="99">
        <v>46063</v>
      </c>
      <c r="D43" s="100">
        <v>38.97</v>
      </c>
      <c r="E43" s="97">
        <f t="shared" si="2"/>
        <v>-2.8421839940164562E-2</v>
      </c>
      <c r="G43" s="83">
        <v>46064</v>
      </c>
      <c r="H43" s="84">
        <v>525.1</v>
      </c>
      <c r="I43" s="17">
        <f t="shared" si="3"/>
        <v>-2.3433141156778914E-2</v>
      </c>
      <c r="K43" s="3">
        <f t="shared" si="0"/>
        <v>2.5673172722812205E-3</v>
      </c>
      <c r="L43" s="3">
        <f t="shared" si="1"/>
        <v>-2.5542023765249126E-3</v>
      </c>
      <c r="N43" s="41">
        <v>25</v>
      </c>
      <c r="O43">
        <f t="shared" si="12"/>
        <v>0.36928081784134215</v>
      </c>
      <c r="P43">
        <f t="shared" si="4"/>
        <v>0.48083873947547495</v>
      </c>
      <c r="Q43" s="33">
        <f t="shared" si="5"/>
        <v>0.52167786597008459</v>
      </c>
      <c r="R43" s="2"/>
      <c r="T43" s="32">
        <f t="shared" si="6"/>
        <v>0.19295188306937028</v>
      </c>
      <c r="U43">
        <f t="shared" si="7"/>
        <v>0.2596463747961526</v>
      </c>
      <c r="V43" s="33">
        <f t="shared" si="8"/>
        <v>0.28406189584768843</v>
      </c>
      <c r="Y43" s="32">
        <f t="shared" si="9"/>
        <v>0.22169646180887087</v>
      </c>
      <c r="Z43">
        <f t="shared" si="10"/>
        <v>0.28620387468800901</v>
      </c>
      <c r="AA43" s="33">
        <f t="shared" si="11"/>
        <v>0.30981874986514824</v>
      </c>
    </row>
    <row r="44" spans="3:27" x14ac:dyDescent="0.2">
      <c r="C44" s="99">
        <v>46062</v>
      </c>
      <c r="D44" s="100">
        <v>40.11</v>
      </c>
      <c r="E44" s="97">
        <f t="shared" si="2"/>
        <v>1.0836693548387089E-2</v>
      </c>
      <c r="G44" s="83">
        <v>46063</v>
      </c>
      <c r="H44" s="84">
        <v>537.70000000000005</v>
      </c>
      <c r="I44" s="17">
        <f t="shared" si="3"/>
        <v>4.2958535674263512E-3</v>
      </c>
      <c r="K44" s="3">
        <f t="shared" si="0"/>
        <v>-3.2353593922278996E-3</v>
      </c>
      <c r="L44" s="3">
        <f t="shared" si="1"/>
        <v>3.2564308404373983E-3</v>
      </c>
      <c r="N44" s="41">
        <v>26</v>
      </c>
      <c r="O44">
        <f t="shared" si="12"/>
        <v>0.37861412908827208</v>
      </c>
      <c r="P44">
        <f t="shared" si="4"/>
        <v>0.49238133294993169</v>
      </c>
      <c r="Q44" s="33">
        <f t="shared" si="5"/>
        <v>0.53402923353275134</v>
      </c>
      <c r="R44" s="2"/>
      <c r="T44" s="32">
        <f t="shared" si="6"/>
        <v>0.19741891711277498</v>
      </c>
      <c r="U44">
        <f t="shared" si="7"/>
        <v>0.2654342200655781</v>
      </c>
      <c r="V44" s="33">
        <f t="shared" si="8"/>
        <v>0.29033326372084145</v>
      </c>
      <c r="Y44" s="32">
        <f t="shared" si="9"/>
        <v>0.22741988875973571</v>
      </c>
      <c r="Z44">
        <f t="shared" si="10"/>
        <v>0.29320480016815809</v>
      </c>
      <c r="AA44" s="33">
        <f t="shared" si="11"/>
        <v>0.31728734203601627</v>
      </c>
    </row>
    <row r="45" spans="3:27" x14ac:dyDescent="0.2">
      <c r="C45" s="99">
        <v>46059</v>
      </c>
      <c r="D45" s="100">
        <v>39.68</v>
      </c>
      <c r="E45" s="97">
        <f t="shared" si="2"/>
        <v>9.9168975069252027E-2</v>
      </c>
      <c r="G45" s="83">
        <v>46062</v>
      </c>
      <c r="H45" s="84">
        <v>535.4</v>
      </c>
      <c r="I45" s="17">
        <f t="shared" si="3"/>
        <v>-1.4919806042522719E-3</v>
      </c>
      <c r="K45" s="3">
        <f t="shared" si="0"/>
        <v>-4.5789572830311313E-2</v>
      </c>
      <c r="L45" s="3">
        <f t="shared" si="1"/>
        <v>5.0405682136844432E-2</v>
      </c>
      <c r="N45" s="41">
        <v>27</v>
      </c>
      <c r="O45">
        <f t="shared" si="12"/>
        <v>0.38784584439958864</v>
      </c>
      <c r="P45">
        <f t="shared" si="4"/>
        <v>0.5037802373538518</v>
      </c>
      <c r="Q45" s="33">
        <f t="shared" si="5"/>
        <v>0.54622150256908952</v>
      </c>
      <c r="R45" s="2"/>
      <c r="T45" s="32">
        <f t="shared" si="6"/>
        <v>0.20182521240102916</v>
      </c>
      <c r="U45">
        <f t="shared" si="7"/>
        <v>0.27113616135449065</v>
      </c>
      <c r="V45" s="33">
        <f t="shared" si="8"/>
        <v>0.29650951512720719</v>
      </c>
      <c r="Y45" s="32">
        <f t="shared" si="9"/>
        <v>0.23308456873083028</v>
      </c>
      <c r="Z45">
        <f t="shared" si="10"/>
        <v>0.30012263867372435</v>
      </c>
      <c r="AA45" s="33">
        <f t="shared" si="11"/>
        <v>0.32466393684644579</v>
      </c>
    </row>
    <row r="46" spans="3:27" x14ac:dyDescent="0.2">
      <c r="C46" s="99">
        <v>46058</v>
      </c>
      <c r="D46" s="100">
        <v>36.1</v>
      </c>
      <c r="E46" s="97">
        <f t="shared" si="2"/>
        <v>-0.13158527784459945</v>
      </c>
      <c r="G46" s="83">
        <v>46059</v>
      </c>
      <c r="H46" s="84">
        <v>536.20000000000005</v>
      </c>
      <c r="I46" s="17">
        <f t="shared" si="3"/>
        <v>-3.7160906726124115E-3</v>
      </c>
      <c r="K46" s="3">
        <f t="shared" si="0"/>
        <v>7.3622189899439069E-2</v>
      </c>
      <c r="L46" s="3">
        <f t="shared" si="1"/>
        <v>-6.4173066519921121E-2</v>
      </c>
      <c r="N46" s="41">
        <v>28</v>
      </c>
      <c r="O46">
        <f t="shared" si="12"/>
        <v>0.39698155863540879</v>
      </c>
      <c r="P46">
        <f t="shared" si="4"/>
        <v>0.51504336560466801</v>
      </c>
      <c r="Q46" s="33">
        <f t="shared" si="5"/>
        <v>0.55826343459100625</v>
      </c>
      <c r="R46" s="2"/>
      <c r="T46" s="32">
        <f t="shared" si="6"/>
        <v>0.20617411380060499</v>
      </c>
      <c r="U46">
        <f t="shared" si="7"/>
        <v>0.27675692937137331</v>
      </c>
      <c r="V46" s="33">
        <f t="shared" si="8"/>
        <v>0.30259588810434374</v>
      </c>
      <c r="Y46" s="32">
        <f t="shared" si="9"/>
        <v>0.23869373690210666</v>
      </c>
      <c r="Z46">
        <f t="shared" si="10"/>
        <v>0.30696196578145246</v>
      </c>
      <c r="AA46" s="33">
        <f t="shared" si="11"/>
        <v>0.33195360056566964</v>
      </c>
    </row>
    <row r="47" spans="3:27" x14ac:dyDescent="0.2">
      <c r="C47" s="99">
        <v>46057</v>
      </c>
      <c r="D47" s="100">
        <v>41.57</v>
      </c>
      <c r="E47" s="97">
        <f t="shared" si="2"/>
        <v>-3.9953810623556511E-2</v>
      </c>
      <c r="G47" s="83">
        <v>46058</v>
      </c>
      <c r="H47" s="84">
        <v>538.20000000000005</v>
      </c>
      <c r="I47" s="17">
        <f t="shared" si="3"/>
        <v>3.9171796306659628E-3</v>
      </c>
      <c r="K47" s="3">
        <f t="shared" si="0"/>
        <v>2.2848374765550072E-2</v>
      </c>
      <c r="L47" s="3">
        <f t="shared" si="1"/>
        <v>-2.184990512382819E-2</v>
      </c>
      <c r="N47" s="41">
        <v>29</v>
      </c>
      <c r="O47">
        <f t="shared" si="12"/>
        <v>0.40602637125090435</v>
      </c>
      <c r="P47">
        <f t="shared" si="4"/>
        <v>0.52617792995914459</v>
      </c>
      <c r="Q47" s="33">
        <f t="shared" si="5"/>
        <v>0.5701630153097218</v>
      </c>
      <c r="R47" s="2"/>
      <c r="T47" s="32">
        <f t="shared" si="6"/>
        <v>0.2104686700019566</v>
      </c>
      <c r="U47">
        <f t="shared" si="7"/>
        <v>0.28230083593731486</v>
      </c>
      <c r="V47" s="33">
        <f t="shared" si="8"/>
        <v>0.30859715688023137</v>
      </c>
      <c r="Y47" s="32">
        <f t="shared" si="9"/>
        <v>0.24425034198984968</v>
      </c>
      <c r="Z47">
        <f t="shared" si="10"/>
        <v>0.31372695191705563</v>
      </c>
      <c r="AA47" s="33">
        <f t="shared" si="11"/>
        <v>0.3391609508628165</v>
      </c>
    </row>
    <row r="48" spans="3:27" x14ac:dyDescent="0.2">
      <c r="C48" s="99">
        <v>46056</v>
      </c>
      <c r="D48" s="100">
        <v>43.3</v>
      </c>
      <c r="E48" s="97">
        <f t="shared" si="2"/>
        <v>-2.0805065581185025E-2</v>
      </c>
      <c r="G48" s="83">
        <v>46057</v>
      </c>
      <c r="H48" s="84">
        <v>536.1</v>
      </c>
      <c r="I48" s="17">
        <f t="shared" si="3"/>
        <v>1.3421550094518002E-2</v>
      </c>
      <c r="K48" s="3">
        <f t="shared" si="0"/>
        <v>1.7476916226092237E-2</v>
      </c>
      <c r="L48" s="3">
        <f t="shared" si="1"/>
        <v>-1.6886662649176366E-2</v>
      </c>
      <c r="N48" s="41">
        <v>30</v>
      </c>
      <c r="O48">
        <f t="shared" si="12"/>
        <v>0.41498494561710308</v>
      </c>
      <c r="P48">
        <f t="shared" si="4"/>
        <v>0.53719052591191929</v>
      </c>
      <c r="Q48" s="33">
        <f t="shared" si="5"/>
        <v>0.58192754753172848</v>
      </c>
      <c r="R48" s="2"/>
      <c r="T48" s="32">
        <f t="shared" si="6"/>
        <v>0.21471166898424196</v>
      </c>
      <c r="U48">
        <f t="shared" si="7"/>
        <v>0.28777182414444263</v>
      </c>
      <c r="V48" s="33">
        <f t="shared" si="8"/>
        <v>0.31451768741077951</v>
      </c>
      <c r="Y48" s="32">
        <f t="shared" si="9"/>
        <v>0.24975708054842222</v>
      </c>
      <c r="Z48">
        <f t="shared" si="10"/>
        <v>0.32042141086882869</v>
      </c>
      <c r="AA48" s="33">
        <f t="shared" si="11"/>
        <v>0.34629021052320463</v>
      </c>
    </row>
    <row r="49" spans="3:27" x14ac:dyDescent="0.2">
      <c r="C49" s="99">
        <v>46055</v>
      </c>
      <c r="D49" s="100">
        <v>44.22</v>
      </c>
      <c r="E49" s="97">
        <f t="shared" si="2"/>
        <v>-6.8856601389766334E-2</v>
      </c>
      <c r="G49" s="83">
        <v>46056</v>
      </c>
      <c r="H49" s="84">
        <v>529</v>
      </c>
      <c r="I49" s="17">
        <f t="shared" si="3"/>
        <v>-1.7276611554894957E-2</v>
      </c>
      <c r="K49" s="3">
        <f t="shared" si="0"/>
        <v>2.7697124799389888E-2</v>
      </c>
      <c r="L49" s="3">
        <f t="shared" si="1"/>
        <v>-2.6243391803507803E-2</v>
      </c>
      <c r="N49" s="41">
        <v>31</v>
      </c>
      <c r="O49">
        <f t="shared" si="12"/>
        <v>0.42386155950991566</v>
      </c>
      <c r="P49">
        <f t="shared" si="4"/>
        <v>0.54808720360309748</v>
      </c>
      <c r="Q49" s="33">
        <f t="shared" si="5"/>
        <v>0.59356373022425635</v>
      </c>
      <c r="R49" s="2"/>
      <c r="T49" s="32">
        <f t="shared" si="6"/>
        <v>0.21890566820000157</v>
      </c>
      <c r="U49">
        <f t="shared" si="7"/>
        <v>0.29317351104668959</v>
      </c>
      <c r="V49" s="33">
        <f t="shared" si="8"/>
        <v>0.32036148464882308</v>
      </c>
      <c r="Y49" s="32">
        <f t="shared" si="9"/>
        <v>0.25521642616511275</v>
      </c>
      <c r="Z49">
        <f t="shared" si="10"/>
        <v>0.32704884107847826</v>
      </c>
      <c r="AA49" s="33">
        <f t="shared" si="11"/>
        <v>0.35334525316726928</v>
      </c>
    </row>
    <row r="50" spans="3:27" ht="17" x14ac:dyDescent="0.2">
      <c r="C50" s="99" t="s">
        <v>110</v>
      </c>
      <c r="D50" s="100">
        <v>47.49</v>
      </c>
      <c r="E50" s="97">
        <f t="shared" si="2"/>
        <v>-2.310924369747887E-3</v>
      </c>
      <c r="G50" s="83">
        <v>46055</v>
      </c>
      <c r="H50" s="84">
        <v>538.29999999999995</v>
      </c>
      <c r="I50" s="17">
        <f t="shared" si="3"/>
        <v>-1.572499542878044E-2</v>
      </c>
      <c r="K50" s="3">
        <f t="shared" si="0"/>
        <v>-6.7225708823957621E-3</v>
      </c>
      <c r="L50" s="3">
        <f t="shared" si="1"/>
        <v>6.8141886143274228E-3</v>
      </c>
      <c r="N50" s="41">
        <v>32</v>
      </c>
      <c r="O50">
        <f t="shared" si="12"/>
        <v>0.43266014832320848</v>
      </c>
      <c r="P50">
        <f t="shared" si="4"/>
        <v>0.55887352893532505</v>
      </c>
      <c r="Q50" s="33">
        <f t="shared" si="5"/>
        <v>0.60507772618664279</v>
      </c>
      <c r="R50" s="2"/>
      <c r="T50" s="32">
        <f t="shared" si="6"/>
        <v>0.22305302040993424</v>
      </c>
      <c r="U50">
        <f t="shared" si="7"/>
        <v>0.29850922419841081</v>
      </c>
      <c r="V50" s="33">
        <f t="shared" si="8"/>
        <v>0.32613223300120103</v>
      </c>
      <c r="Y50" s="32">
        <f t="shared" si="9"/>
        <v>0.26063065444772443</v>
      </c>
      <c r="Z50">
        <f t="shared" si="10"/>
        <v>0.33361246098154684</v>
      </c>
      <c r="AA50" s="33">
        <f t="shared" si="11"/>
        <v>0.36032964238095333</v>
      </c>
    </row>
    <row r="51" spans="3:27" ht="17" x14ac:dyDescent="0.2">
      <c r="C51" s="99" t="s">
        <v>109</v>
      </c>
      <c r="D51" s="100">
        <v>47.6</v>
      </c>
      <c r="E51" s="97">
        <f t="shared" si="2"/>
        <v>-5.761235398930898E-2</v>
      </c>
      <c r="G51" s="83">
        <v>46052</v>
      </c>
      <c r="H51" s="84">
        <v>546.9</v>
      </c>
      <c r="I51" s="17">
        <f t="shared" si="3"/>
        <v>8.2964601769911512E-3</v>
      </c>
      <c r="K51" s="3">
        <f t="shared" si="0"/>
        <v>3.4969056759872053E-2</v>
      </c>
      <c r="L51" s="3">
        <f t="shared" si="1"/>
        <v>-3.268325178625086E-2</v>
      </c>
      <c r="N51" s="41">
        <v>33</v>
      </c>
      <c r="O51">
        <f t="shared" ref="O51:O82" si="13">$U$6*SQRT($O$8)*SQRT($N51)-$O$7*$N51</f>
        <v>0.44138434224784462</v>
      </c>
      <c r="P51">
        <f t="shared" ref="P51:P82" si="14">$U$7*SQRT($O$8)*SQRT($N51)-$O$7*$N51</f>
        <v>0.56955463615681579</v>
      </c>
      <c r="Q51" s="33">
        <f t="shared" ref="Q51:Q82" si="15">$U$8*SQRT($O$8)*SQRT($N51)-$O$7*$N51</f>
        <v>0.61647522027245105</v>
      </c>
      <c r="R51" s="2"/>
      <c r="T51" s="32">
        <f t="shared" ref="T51:T82" si="16">$U$6*SQRT($P$8)*SQRT($N51)-$P$7*$N51</f>
        <v>0.22715589591024957</v>
      </c>
      <c r="U51">
        <f t="shared" ref="U51:U82" si="17">$U$7*SQRT($P$8)*SQRT($N51)-$P$7*$N51</f>
        <v>0.3037820330909522</v>
      </c>
      <c r="V51" s="33">
        <f t="shared" ref="V51:V82" si="18">$U$8*SQRT($P$8)*SQRT($N51)-$P$7*$N51</f>
        <v>0.33183333113663532</v>
      </c>
      <c r="Y51" s="32">
        <f t="shared" ref="Y51:Y82" si="19">$U$6*SQRT($P$14)*SQRT($N51)-$P$13*$N51</f>
        <v>0.26600186452303731</v>
      </c>
      <c r="Z51">
        <f t="shared" ref="Z51:Z82" si="20">$U$7*SQRT($P$14)*SQRT($N51)-$P$13*$N51</f>
        <v>0.34011523941309796</v>
      </c>
      <c r="AA51" s="33">
        <f t="shared" ref="AA51:AA82" si="21">$U$8*SQRT($P$14)*SQRT($N51)-$P$13*$N51</f>
        <v>0.36724666538214834</v>
      </c>
    </row>
    <row r="52" spans="3:27" ht="17" x14ac:dyDescent="0.2">
      <c r="C52" s="99" t="s">
        <v>108</v>
      </c>
      <c r="D52" s="100">
        <v>50.51</v>
      </c>
      <c r="E52" s="97">
        <f t="shared" si="2"/>
        <v>-2.370136282836353E-3</v>
      </c>
      <c r="G52" s="83">
        <v>46051</v>
      </c>
      <c r="H52" s="84">
        <v>542.4</v>
      </c>
      <c r="I52" s="17">
        <f t="shared" si="3"/>
        <v>-7.3691967575530083E-4</v>
      </c>
      <c r="K52" s="3">
        <f t="shared" si="0"/>
        <v>8.1854837474276058E-4</v>
      </c>
      <c r="L52" s="3">
        <f t="shared" si="1"/>
        <v>-8.1721052205346151E-4</v>
      </c>
      <c r="N52" s="41">
        <v>34</v>
      </c>
      <c r="O52">
        <f t="shared" si="13"/>
        <v>0.45003749841560869</v>
      </c>
      <c r="P52">
        <f t="shared" si="14"/>
        <v>0.58013527332311876</v>
      </c>
      <c r="Q52" s="33">
        <f t="shared" si="15"/>
        <v>0.62776146972663294</v>
      </c>
      <c r="R52" s="2"/>
      <c r="T52" s="32">
        <f t="shared" si="16"/>
        <v>0.23121630174979507</v>
      </c>
      <c r="U52">
        <f t="shared" si="17"/>
        <v>0.30899477633180017</v>
      </c>
      <c r="V52" s="33">
        <f t="shared" si="18"/>
        <v>0.33746792207961779</v>
      </c>
      <c r="Y52" s="32">
        <f t="shared" si="19"/>
        <v>0.27133199762375781</v>
      </c>
      <c r="Z52">
        <f t="shared" si="20"/>
        <v>0.34655992189559354</v>
      </c>
      <c r="AA52" s="33">
        <f t="shared" si="21"/>
        <v>0.3740993621277286</v>
      </c>
    </row>
    <row r="53" spans="3:27" ht="17" x14ac:dyDescent="0.2">
      <c r="C53" s="99" t="s">
        <v>107</v>
      </c>
      <c r="D53" s="100">
        <v>50.63</v>
      </c>
      <c r="E53" s="97">
        <f t="shared" si="2"/>
        <v>1.9738167170191421E-2</v>
      </c>
      <c r="G53" s="83">
        <v>46050</v>
      </c>
      <c r="H53" s="84">
        <v>542.79999999999995</v>
      </c>
      <c r="I53" s="17">
        <f t="shared" si="3"/>
        <v>-7.8907178007805875E-2</v>
      </c>
      <c r="K53" s="3">
        <f t="shared" si="0"/>
        <v>-4.8367977366063249E-2</v>
      </c>
      <c r="L53" s="3">
        <f t="shared" si="1"/>
        <v>5.3547993656405495E-2</v>
      </c>
      <c r="N53" s="41">
        <v>35</v>
      </c>
      <c r="O53">
        <f t="shared" si="13"/>
        <v>0.45862272881718485</v>
      </c>
      <c r="P53">
        <f t="shared" si="14"/>
        <v>0.59061984178204574</v>
      </c>
      <c r="Q53" s="33">
        <f t="shared" si="15"/>
        <v>0.63894134790488732</v>
      </c>
      <c r="R53" s="2"/>
      <c r="T53" s="32">
        <f t="shared" si="16"/>
        <v>0.23523609842071591</v>
      </c>
      <c r="U53">
        <f t="shared" si="17"/>
        <v>0.3141500852505002</v>
      </c>
      <c r="V53" s="33">
        <f t="shared" si="18"/>
        <v>0.34303891934786701</v>
      </c>
      <c r="Y53" s="32">
        <f t="shared" si="19"/>
        <v>0.27662285323184987</v>
      </c>
      <c r="Z53">
        <f t="shared" si="20"/>
        <v>0.3529490534707157</v>
      </c>
      <c r="AA53" s="33">
        <f t="shared" si="21"/>
        <v>0.38089055059389459</v>
      </c>
    </row>
    <row r="54" spans="3:27" ht="17" x14ac:dyDescent="0.2">
      <c r="C54" s="99" t="s">
        <v>106</v>
      </c>
      <c r="D54" s="100">
        <v>49.65</v>
      </c>
      <c r="E54" s="97">
        <f t="shared" si="2"/>
        <v>-2.0710059171597715E-2</v>
      </c>
      <c r="G54" s="83">
        <v>46049</v>
      </c>
      <c r="H54" s="84">
        <v>589.29999999999995</v>
      </c>
      <c r="I54" s="17">
        <f t="shared" si="3"/>
        <v>2.2108843537414192E-3</v>
      </c>
      <c r="K54" s="3">
        <f t="shared" si="0"/>
        <v>1.1702838234991885E-2</v>
      </c>
      <c r="L54" s="3">
        <f t="shared" si="1"/>
        <v>-1.143518988028119E-2</v>
      </c>
      <c r="N54" s="41">
        <v>36</v>
      </c>
      <c r="O54">
        <f t="shared" si="13"/>
        <v>0.46714292465402529</v>
      </c>
      <c r="P54">
        <f t="shared" si="14"/>
        <v>0.60101243061498466</v>
      </c>
      <c r="Q54" s="33">
        <f t="shared" si="15"/>
        <v>0.65001938240851609</v>
      </c>
      <c r="R54" s="2"/>
      <c r="T54" s="32">
        <f t="shared" si="16"/>
        <v>0.23921701441712989</v>
      </c>
      <c r="U54">
        <f t="shared" si="17"/>
        <v>0.31925040448926861</v>
      </c>
      <c r="V54" s="33">
        <f t="shared" si="18"/>
        <v>0.34854902975111163</v>
      </c>
      <c r="Y54" s="32">
        <f t="shared" si="19"/>
        <v>0.28187610315979517</v>
      </c>
      <c r="Z54">
        <f t="shared" si="20"/>
        <v>0.35928499861476093</v>
      </c>
      <c r="AA54" s="33">
        <f t="shared" si="21"/>
        <v>0.38762284882732806</v>
      </c>
    </row>
    <row r="55" spans="3:27" ht="17" x14ac:dyDescent="0.2">
      <c r="C55" s="99" t="s">
        <v>105</v>
      </c>
      <c r="D55" s="100">
        <v>50.7</v>
      </c>
      <c r="E55" s="97">
        <f t="shared" si="2"/>
        <v>5.920663114269022E-4</v>
      </c>
      <c r="G55" s="83">
        <v>46048</v>
      </c>
      <c r="H55" s="84">
        <v>588</v>
      </c>
      <c r="I55" s="17">
        <f t="shared" si="3"/>
        <v>-5.7490700033817673E-3</v>
      </c>
      <c r="K55" s="3">
        <f t="shared" si="0"/>
        <v>-3.168692081571551E-3</v>
      </c>
      <c r="L55" s="3">
        <f t="shared" si="1"/>
        <v>3.1889013746410262E-3</v>
      </c>
      <c r="N55" s="41">
        <v>37</v>
      </c>
      <c r="O55">
        <f t="shared" si="13"/>
        <v>0.47560077766553743</v>
      </c>
      <c r="P55">
        <f t="shared" si="14"/>
        <v>0.61131684680034715</v>
      </c>
      <c r="Q55" s="33">
        <f t="shared" si="15"/>
        <v>0.66099978848265128</v>
      </c>
      <c r="R55" s="2"/>
      <c r="T55" s="32">
        <f t="shared" si="16"/>
        <v>0.24316065898550743</v>
      </c>
      <c r="U55">
        <f t="shared" si="17"/>
        <v>0.32429801003609859</v>
      </c>
      <c r="V55" s="33">
        <f t="shared" si="18"/>
        <v>0.35400077335809654</v>
      </c>
      <c r="Y55" s="32">
        <f t="shared" si="19"/>
        <v>0.2870933038828557</v>
      </c>
      <c r="Z55">
        <f t="shared" si="20"/>
        <v>0.36556995868039532</v>
      </c>
      <c r="AA55" s="33">
        <f t="shared" si="21"/>
        <v>0.3942986942574298</v>
      </c>
    </row>
    <row r="56" spans="3:27" ht="17" x14ac:dyDescent="0.2">
      <c r="C56" s="99" t="s">
        <v>104</v>
      </c>
      <c r="D56" s="100">
        <v>50.67</v>
      </c>
      <c r="E56" s="97">
        <f t="shared" si="2"/>
        <v>-8.6088828017999944E-3</v>
      </c>
      <c r="G56" s="83">
        <v>46045</v>
      </c>
      <c r="H56" s="84">
        <v>591.4</v>
      </c>
      <c r="I56" s="17">
        <f t="shared" si="3"/>
        <v>-7.2183985227464624E-3</v>
      </c>
      <c r="K56" s="3">
        <f t="shared" si="0"/>
        <v>7.0127937144687203E-4</v>
      </c>
      <c r="L56" s="3">
        <f t="shared" si="1"/>
        <v>-7.002971635375288E-4</v>
      </c>
      <c r="N56" s="41">
        <v>38</v>
      </c>
      <c r="O56">
        <f t="shared" si="13"/>
        <v>0.48399879887847042</v>
      </c>
      <c r="P56">
        <f t="shared" si="14"/>
        <v>0.62153664173118328</v>
      </c>
      <c r="Q56" s="33">
        <f t="shared" si="15"/>
        <v>0.67188649837766179</v>
      </c>
      <c r="R56" s="2"/>
      <c r="T56" s="32">
        <f t="shared" si="16"/>
        <v>0.24706853333392309</v>
      </c>
      <c r="U56">
        <f t="shared" si="17"/>
        <v>0.32929502507821817</v>
      </c>
      <c r="V56" s="33">
        <f t="shared" si="18"/>
        <v>0.35939650105019244</v>
      </c>
      <c r="Y56" s="32">
        <f t="shared" si="19"/>
        <v>0.29227590738074649</v>
      </c>
      <c r="Z56">
        <f t="shared" si="20"/>
        <v>0.3718059872302385</v>
      </c>
      <c r="AA56" s="33">
        <f t="shared" si="21"/>
        <v>0.40092036067430287</v>
      </c>
    </row>
    <row r="57" spans="3:27" ht="17" x14ac:dyDescent="0.2">
      <c r="C57" s="99" t="s">
        <v>103</v>
      </c>
      <c r="D57" s="100">
        <v>51.11</v>
      </c>
      <c r="E57" s="97">
        <f t="shared" si="2"/>
        <v>6.8951930654058595E-3</v>
      </c>
      <c r="G57" s="83">
        <v>46044</v>
      </c>
      <c r="H57" s="84">
        <v>595.70000000000005</v>
      </c>
      <c r="I57" s="17">
        <f t="shared" si="3"/>
        <v>1.7942583732057416E-2</v>
      </c>
      <c r="K57" s="3">
        <f t="shared" si="0"/>
        <v>5.485869206018716E-3</v>
      </c>
      <c r="L57" s="3">
        <f t="shared" si="1"/>
        <v>-5.4263329008934795E-3</v>
      </c>
      <c r="N57" s="41">
        <v>39</v>
      </c>
      <c r="O57">
        <f t="shared" si="13"/>
        <v>0.49233933514938716</v>
      </c>
      <c r="P57">
        <f t="shared" si="14"/>
        <v>0.63167513461151614</v>
      </c>
      <c r="Q57" s="33">
        <f t="shared" si="15"/>
        <v>0.68268318725455135</v>
      </c>
      <c r="R57" s="2"/>
      <c r="T57" s="32">
        <f t="shared" si="16"/>
        <v>0.25094204052191166</v>
      </c>
      <c r="U57">
        <f t="shared" si="17"/>
        <v>0.33424343398950246</v>
      </c>
      <c r="V57" s="33">
        <f t="shared" si="18"/>
        <v>0.36473841000884155</v>
      </c>
      <c r="Y57" s="32">
        <f t="shared" si="19"/>
        <v>0.29742527070317804</v>
      </c>
      <c r="Z57">
        <f t="shared" si="20"/>
        <v>0.3779950035655934</v>
      </c>
      <c r="AA57" s="33">
        <f t="shared" si="21"/>
        <v>0.40748997320832592</v>
      </c>
    </row>
    <row r="58" spans="3:27" ht="17" x14ac:dyDescent="0.2">
      <c r="C58" s="99" t="s">
        <v>102</v>
      </c>
      <c r="D58" s="100">
        <v>50.76</v>
      </c>
      <c r="E58" s="97">
        <f t="shared" si="2"/>
        <v>-6.4159292035398302E-2</v>
      </c>
      <c r="G58" s="83">
        <v>46043</v>
      </c>
      <c r="H58" s="84">
        <v>585.20000000000005</v>
      </c>
      <c r="I58" s="17">
        <f t="shared" si="3"/>
        <v>2.6666666666666748E-2</v>
      </c>
      <c r="K58" s="3">
        <f t="shared" si="0"/>
        <v>4.8526398739164783E-2</v>
      </c>
      <c r="L58" s="3">
        <f t="shared" si="1"/>
        <v>-4.4233421445810897E-2</v>
      </c>
      <c r="N58" s="41">
        <v>40</v>
      </c>
      <c r="O58">
        <f t="shared" si="13"/>
        <v>0.50062458380964769</v>
      </c>
      <c r="P58">
        <f t="shared" si="14"/>
        <v>0.64173543316902082</v>
      </c>
      <c r="Q58" s="33">
        <f t="shared" si="15"/>
        <v>0.69339329611889866</v>
      </c>
      <c r="R58" s="2"/>
      <c r="T58" s="32">
        <f t="shared" si="16"/>
        <v>0.25478249421591703</v>
      </c>
      <c r="U58">
        <f t="shared" si="17"/>
        <v>0.33914509471347243</v>
      </c>
      <c r="V58" s="33">
        <f t="shared" si="18"/>
        <v>0.37002855742652951</v>
      </c>
      <c r="Y58" s="32">
        <f t="shared" si="19"/>
        <v>0.302542664438193</v>
      </c>
      <c r="Z58">
        <f t="shared" si="20"/>
        <v>0.38413880470337558</v>
      </c>
      <c r="AA58" s="33">
        <f t="shared" si="21"/>
        <v>0.4140095215915085</v>
      </c>
    </row>
    <row r="59" spans="3:27" ht="17" x14ac:dyDescent="0.2">
      <c r="C59" s="99" t="s">
        <v>101</v>
      </c>
      <c r="D59" s="100">
        <v>54.24</v>
      </c>
      <c r="E59" s="97">
        <f t="shared" si="2"/>
        <v>4.4444444444444809E-3</v>
      </c>
      <c r="G59" s="83">
        <v>46042</v>
      </c>
      <c r="H59" s="84">
        <v>570</v>
      </c>
      <c r="I59" s="17">
        <f t="shared" si="3"/>
        <v>-2.1962937542896285E-2</v>
      </c>
      <c r="K59" s="3">
        <f t="shared" si="0"/>
        <v>-1.3145267582193965E-2</v>
      </c>
      <c r="L59" s="3">
        <f t="shared" si="1"/>
        <v>1.3500194931773856E-2</v>
      </c>
      <c r="N59" s="41">
        <v>41</v>
      </c>
      <c r="O59">
        <f t="shared" si="13"/>
        <v>0.50885660567232738</v>
      </c>
      <c r="P59">
        <f t="shared" si="14"/>
        <v>0.65172045205095741</v>
      </c>
      <c r="Q59" s="33">
        <f t="shared" si="15"/>
        <v>0.70402005218960162</v>
      </c>
      <c r="R59" s="2"/>
      <c r="T59" s="32">
        <f t="shared" si="16"/>
        <v>0.25859112646543081</v>
      </c>
      <c r="U59">
        <f t="shared" si="17"/>
        <v>0.34400174976123565</v>
      </c>
      <c r="V59" s="33">
        <f t="shared" si="18"/>
        <v>0.37526887268416387</v>
      </c>
      <c r="Y59" s="32">
        <f t="shared" si="19"/>
        <v>0.30762928023330482</v>
      </c>
      <c r="Z59">
        <f t="shared" si="20"/>
        <v>0.39023907601340424</v>
      </c>
      <c r="AA59" s="33">
        <f t="shared" si="21"/>
        <v>0.42048087193554262</v>
      </c>
    </row>
    <row r="60" spans="3:27" ht="17" x14ac:dyDescent="0.2">
      <c r="C60" s="99" t="s">
        <v>100</v>
      </c>
      <c r="D60" s="100">
        <v>54</v>
      </c>
      <c r="E60" s="97">
        <f t="shared" si="2"/>
        <v>-2.5974025974025934E-2</v>
      </c>
      <c r="G60" s="83">
        <v>46041</v>
      </c>
      <c r="H60" s="84">
        <v>582.79999999999995</v>
      </c>
      <c r="I60" s="17">
        <f t="shared" si="3"/>
        <v>-4.3335521996060555E-2</v>
      </c>
      <c r="K60" s="3">
        <f t="shared" si="0"/>
        <v>-8.9122346246444384E-3</v>
      </c>
      <c r="L60" s="3">
        <f t="shared" si="1"/>
        <v>9.0739733841999765E-3</v>
      </c>
      <c r="N60" s="41">
        <v>42</v>
      </c>
      <c r="O60">
        <f t="shared" si="13"/>
        <v>0.51703733661959173</v>
      </c>
      <c r="P60">
        <f t="shared" si="14"/>
        <v>0.66163292921241557</v>
      </c>
      <c r="Q60" s="33">
        <f t="shared" si="15"/>
        <v>0.71456648704462422</v>
      </c>
      <c r="R60" s="2"/>
      <c r="T60" s="32">
        <f t="shared" si="16"/>
        <v>0.2623690946304606</v>
      </c>
      <c r="U60">
        <f t="shared" si="17"/>
        <v>0.34881503600913749</v>
      </c>
      <c r="V60" s="33">
        <f t="shared" si="18"/>
        <v>0.38046116819944192</v>
      </c>
      <c r="Y60" s="32">
        <f t="shared" si="19"/>
        <v>0.31268623749579799</v>
      </c>
      <c r="Z60">
        <f t="shared" si="20"/>
        <v>0.39629740069476393</v>
      </c>
      <c r="AA60" s="33">
        <f t="shared" si="21"/>
        <v>0.42690577722442552</v>
      </c>
    </row>
    <row r="61" spans="3:27" ht="17" x14ac:dyDescent="0.2">
      <c r="C61" s="99" t="s">
        <v>99</v>
      </c>
      <c r="D61" s="100">
        <v>55.44</v>
      </c>
      <c r="E61" s="97">
        <f t="shared" si="2"/>
        <v>3.4907597535934247E-2</v>
      </c>
      <c r="G61" s="83">
        <v>46038</v>
      </c>
      <c r="H61" s="84">
        <v>609.20000000000005</v>
      </c>
      <c r="I61" s="17">
        <f t="shared" si="3"/>
        <v>-2.6370465079111394E-2</v>
      </c>
      <c r="K61" s="3">
        <f t="shared" si="0"/>
        <v>-2.9605571918181771E-2</v>
      </c>
      <c r="L61" s="3">
        <f t="shared" si="1"/>
        <v>3.1468880317001034E-2</v>
      </c>
      <c r="N61" s="41">
        <v>43</v>
      </c>
      <c r="O61">
        <f t="shared" si="13"/>
        <v>0.52516859795540838</v>
      </c>
      <c r="P61">
        <f t="shared" si="14"/>
        <v>0.67147544055835362</v>
      </c>
      <c r="Q61" s="33">
        <f t="shared" si="15"/>
        <v>0.72503545283327275</v>
      </c>
      <c r="R61" s="2"/>
      <c r="T61" s="32">
        <f t="shared" si="16"/>
        <v>0.2661174875708619</v>
      </c>
      <c r="U61">
        <f t="shared" si="17"/>
        <v>0.35358649345245058</v>
      </c>
      <c r="V61" s="33">
        <f t="shared" si="18"/>
        <v>0.38560714911930011</v>
      </c>
      <c r="Y61" s="32">
        <f t="shared" si="19"/>
        <v>0.31771458937909552</v>
      </c>
      <c r="Z61">
        <f t="shared" si="20"/>
        <v>0.40231526824243857</v>
      </c>
      <c r="AA61" s="33">
        <f t="shared" si="21"/>
        <v>0.43328588668906981</v>
      </c>
    </row>
    <row r="62" spans="3:27" ht="17" x14ac:dyDescent="0.2">
      <c r="C62" s="99" t="s">
        <v>98</v>
      </c>
      <c r="D62" s="100">
        <v>53.57</v>
      </c>
      <c r="E62" s="97">
        <f t="shared" si="2"/>
        <v>3.2774243300559149E-2</v>
      </c>
      <c r="G62" s="83">
        <v>46037</v>
      </c>
      <c r="H62" s="84">
        <v>625.70000000000005</v>
      </c>
      <c r="I62" s="17">
        <f t="shared" si="3"/>
        <v>-1.9125254742122483E-2</v>
      </c>
      <c r="K62" s="3">
        <f t="shared" si="0"/>
        <v>-2.5126255025890387E-2</v>
      </c>
      <c r="L62" s="3">
        <f t="shared" si="1"/>
        <v>2.6455721433136174E-2</v>
      </c>
      <c r="N62" s="41">
        <v>44</v>
      </c>
      <c r="O62">
        <f t="shared" si="13"/>
        <v>0.53325210568068171</v>
      </c>
      <c r="P62">
        <f t="shared" si="14"/>
        <v>0.68125041306159773</v>
      </c>
      <c r="Q62" s="33">
        <f t="shared" si="15"/>
        <v>0.73542963680099049</v>
      </c>
      <c r="R62" s="2"/>
      <c r="T62" s="32">
        <f t="shared" si="16"/>
        <v>0.26983733119144215</v>
      </c>
      <c r="U62">
        <f t="shared" si="17"/>
        <v>0.35831757304792183</v>
      </c>
      <c r="V62" s="33">
        <f t="shared" si="18"/>
        <v>0.39070842200350903</v>
      </c>
      <c r="Y62" s="32">
        <f t="shared" si="19"/>
        <v>0.32271532814602566</v>
      </c>
      <c r="Z62">
        <f t="shared" si="20"/>
        <v>0.40829408203268192</v>
      </c>
      <c r="AA62" s="33">
        <f t="shared" si="21"/>
        <v>0.43962275420614128</v>
      </c>
    </row>
    <row r="63" spans="3:27" ht="17" x14ac:dyDescent="0.2">
      <c r="C63" s="99" t="s">
        <v>97</v>
      </c>
      <c r="D63" s="100">
        <v>51.87</v>
      </c>
      <c r="E63" s="97">
        <f t="shared" si="2"/>
        <v>1.3878029710711511E-2</v>
      </c>
      <c r="G63" s="83">
        <v>46036</v>
      </c>
      <c r="H63" s="84">
        <v>637.9</v>
      </c>
      <c r="I63" s="17">
        <f t="shared" si="3"/>
        <v>-1.3454995360346497E-2</v>
      </c>
      <c r="K63" s="3">
        <f t="shared" si="0"/>
        <v>-1.3479444405584419E-2</v>
      </c>
      <c r="L63" s="3">
        <f t="shared" si="1"/>
        <v>1.3852903284955406E-2</v>
      </c>
      <c r="N63" s="41">
        <v>45</v>
      </c>
      <c r="O63">
        <f t="shared" si="13"/>
        <v>0.54128947882480238</v>
      </c>
      <c r="P63">
        <f t="shared" si="14"/>
        <v>0.69096013654631161</v>
      </c>
      <c r="Q63" s="33">
        <f t="shared" si="15"/>
        <v>0.74575157433650752</v>
      </c>
      <c r="R63" s="2"/>
      <c r="T63" s="32">
        <f t="shared" si="16"/>
        <v>0.27352959342294725</v>
      </c>
      <c r="U63">
        <f t="shared" si="17"/>
        <v>0.36300964375847677</v>
      </c>
      <c r="V63" s="33">
        <f t="shared" si="18"/>
        <v>0.39576650262486357</v>
      </c>
      <c r="Y63" s="32">
        <f t="shared" si="19"/>
        <v>0.32768938998646929</v>
      </c>
      <c r="Z63">
        <f t="shared" si="20"/>
        <v>0.4142351661367083</v>
      </c>
      <c r="AA63" s="33">
        <f t="shared" si="21"/>
        <v>0.44591784584246175</v>
      </c>
    </row>
    <row r="64" spans="3:27" ht="17" x14ac:dyDescent="0.2">
      <c r="C64" s="99" t="s">
        <v>96</v>
      </c>
      <c r="D64" s="100">
        <v>51.16</v>
      </c>
      <c r="E64" s="97">
        <f t="shared" si="2"/>
        <v>-6.9875776397516796E-3</v>
      </c>
      <c r="G64" s="83">
        <v>46035</v>
      </c>
      <c r="H64" s="84">
        <v>646.6</v>
      </c>
      <c r="I64" s="17">
        <f t="shared" si="3"/>
        <v>-2.6222427888322256E-3</v>
      </c>
      <c r="K64" s="3">
        <f t="shared" si="0"/>
        <v>2.1980263049195688E-3</v>
      </c>
      <c r="L64" s="3">
        <f t="shared" si="1"/>
        <v>-2.1884059572000324E-3</v>
      </c>
      <c r="N64" s="41">
        <v>46</v>
      </c>
      <c r="O64">
        <f t="shared" si="13"/>
        <v>0.5492822469483527</v>
      </c>
      <c r="P64">
        <f t="shared" si="14"/>
        <v>0.70060677429921636</v>
      </c>
      <c r="Q64" s="33">
        <f t="shared" si="15"/>
        <v>0.75600366072102354</v>
      </c>
      <c r="R64" s="2"/>
      <c r="T64" s="32">
        <f t="shared" si="16"/>
        <v>0.27719518870752624</v>
      </c>
      <c r="U64">
        <f t="shared" si="17"/>
        <v>0.36766399889709739</v>
      </c>
      <c r="V64" s="33">
        <f t="shared" si="18"/>
        <v>0.40078282299338891</v>
      </c>
      <c r="Y64" s="32">
        <f t="shared" si="19"/>
        <v>0.33263765935573497</v>
      </c>
      <c r="Z64">
        <f t="shared" si="20"/>
        <v>0.42013977145653891</v>
      </c>
      <c r="AA64" s="33">
        <f t="shared" si="21"/>
        <v>0.45217254664887341</v>
      </c>
    </row>
    <row r="65" spans="3:27" ht="17" x14ac:dyDescent="0.2">
      <c r="C65" s="99" t="s">
        <v>95</v>
      </c>
      <c r="D65" s="100">
        <v>51.52</v>
      </c>
      <c r="E65" s="97">
        <f t="shared" si="2"/>
        <v>-3.8804811796655064E-4</v>
      </c>
      <c r="G65" s="83">
        <v>46034</v>
      </c>
      <c r="H65" s="84">
        <v>648.29999999999995</v>
      </c>
      <c r="I65" s="17">
        <f t="shared" si="3"/>
        <v>-5.8273270970711057E-3</v>
      </c>
      <c r="K65" s="3">
        <f t="shared" si="0"/>
        <v>-2.7206952502236872E-3</v>
      </c>
      <c r="L65" s="3">
        <f t="shared" si="1"/>
        <v>2.7355806125822003E-3</v>
      </c>
      <c r="N65" s="41">
        <v>47</v>
      </c>
      <c r="O65">
        <f t="shared" si="13"/>
        <v>0.55723185691557164</v>
      </c>
      <c r="P65">
        <f t="shared" si="14"/>
        <v>0.71019237264801605</v>
      </c>
      <c r="Q65" s="33">
        <f t="shared" si="15"/>
        <v>0.76618816173384208</v>
      </c>
      <c r="R65" s="2"/>
      <c r="T65" s="32">
        <f t="shared" si="16"/>
        <v>0.28083498204762453</v>
      </c>
      <c r="U65">
        <f t="shared" si="17"/>
        <v>0.37228186185324941</v>
      </c>
      <c r="V65" s="33">
        <f t="shared" si="18"/>
        <v>0.40575873769687942</v>
      </c>
      <c r="Y65" s="32">
        <f t="shared" si="19"/>
        <v>0.33756097289067905</v>
      </c>
      <c r="Z65">
        <f t="shared" si="20"/>
        <v>0.42600908126364562</v>
      </c>
      <c r="AA65" s="33">
        <f t="shared" si="21"/>
        <v>0.45838816679285588</v>
      </c>
    </row>
    <row r="66" spans="3:27" ht="17" x14ac:dyDescent="0.2">
      <c r="C66" s="99" t="s">
        <v>94</v>
      </c>
      <c r="D66" s="100">
        <v>51.54</v>
      </c>
      <c r="E66" s="97">
        <f t="shared" si="2"/>
        <v>-1.7349857006673092E-2</v>
      </c>
      <c r="G66" s="83">
        <v>46031</v>
      </c>
      <c r="H66" s="84">
        <v>652.1</v>
      </c>
      <c r="I66" s="17">
        <f t="shared" si="3"/>
        <v>2.7738376674546924E-2</v>
      </c>
      <c r="K66" s="3">
        <f t="shared" si="0"/>
        <v>2.2942160036670451E-2</v>
      </c>
      <c r="L66" s="3">
        <f t="shared" si="1"/>
        <v>-2.1935657315391887E-2</v>
      </c>
      <c r="N66" s="41">
        <v>48</v>
      </c>
      <c r="O66">
        <f t="shared" si="13"/>
        <v>0.56513967902161433</v>
      </c>
      <c r="P66">
        <f t="shared" si="14"/>
        <v>0.71971886962729847</v>
      </c>
      <c r="Q66" s="33">
        <f t="shared" si="15"/>
        <v>0.77630722324761536</v>
      </c>
      <c r="R66" s="2"/>
      <c r="T66" s="32">
        <f t="shared" si="16"/>
        <v>0.28444979266914328</v>
      </c>
      <c r="U66">
        <f t="shared" si="17"/>
        <v>0.37686439127375859</v>
      </c>
      <c r="V66" s="33">
        <f t="shared" si="18"/>
        <v>0.4106955296373806</v>
      </c>
      <c r="Y66" s="32">
        <f t="shared" si="19"/>
        <v>0.34246012295274064</v>
      </c>
      <c r="Z66">
        <f t="shared" si="20"/>
        <v>0.43184421620993274</v>
      </c>
      <c r="AA66" s="33">
        <f t="shared" si="21"/>
        <v>0.46456594710689458</v>
      </c>
    </row>
    <row r="67" spans="3:27" ht="17" x14ac:dyDescent="0.2">
      <c r="C67" s="99" t="s">
        <v>93</v>
      </c>
      <c r="D67" s="100">
        <v>52.45</v>
      </c>
      <c r="E67" s="97">
        <f t="shared" si="2"/>
        <v>-1.8892630003741077E-2</v>
      </c>
      <c r="G67" s="83">
        <v>46030</v>
      </c>
      <c r="H67" s="84">
        <v>634.5</v>
      </c>
      <c r="I67" s="17">
        <f t="shared" si="3"/>
        <v>8.2631495312252435E-3</v>
      </c>
      <c r="K67" s="3">
        <f t="shared" si="0"/>
        <v>1.3839351515150613E-2</v>
      </c>
      <c r="L67" s="3">
        <f t="shared" si="1"/>
        <v>-1.3466613129514816E-2</v>
      </c>
      <c r="N67" s="41">
        <v>49</v>
      </c>
      <c r="O67">
        <f t="shared" si="13"/>
        <v>0.57300701254817998</v>
      </c>
      <c r="P67">
        <f t="shared" si="14"/>
        <v>0.72918810283596591</v>
      </c>
      <c r="Q67" s="33">
        <f t="shared" si="15"/>
        <v>0.78636287992841936</v>
      </c>
      <c r="R67" s="2"/>
      <c r="T67" s="32">
        <f t="shared" si="16"/>
        <v>0.28804039734285131</v>
      </c>
      <c r="U67">
        <f t="shared" si="17"/>
        <v>0.38141268576034654</v>
      </c>
      <c r="V67" s="33">
        <f t="shared" si="18"/>
        <v>0.41559441523249674</v>
      </c>
      <c r="Y67" s="32">
        <f t="shared" si="19"/>
        <v>0.34733586084043622</v>
      </c>
      <c r="Z67">
        <f t="shared" si="20"/>
        <v>0.43764623887122955</v>
      </c>
      <c r="AA67" s="33">
        <f t="shared" si="21"/>
        <v>0.47070706411922453</v>
      </c>
    </row>
    <row r="68" spans="3:27" ht="17" x14ac:dyDescent="0.2">
      <c r="C68" s="99" t="s">
        <v>92</v>
      </c>
      <c r="D68" s="100">
        <v>53.46</v>
      </c>
      <c r="E68" s="97">
        <f t="shared" si="2"/>
        <v>4.9469964664311021E-2</v>
      </c>
      <c r="G68" s="83">
        <v>46029</v>
      </c>
      <c r="H68" s="84">
        <v>629.29999999999995</v>
      </c>
      <c r="I68" s="17">
        <f t="shared" si="3"/>
        <v>-2.3432650527622632E-2</v>
      </c>
      <c r="K68" s="3">
        <f t="shared" si="0"/>
        <v>-3.4733064140264683E-2</v>
      </c>
      <c r="L68" s="3">
        <f t="shared" si="1"/>
        <v>3.732595362282063E-2</v>
      </c>
      <c r="N68" s="41">
        <v>50</v>
      </c>
      <c r="O68">
        <f t="shared" si="13"/>
        <v>0.58083509081136853</v>
      </c>
      <c r="P68">
        <f t="shared" si="14"/>
        <v>0.73860181657651403</v>
      </c>
      <c r="Q68" s="33">
        <f t="shared" si="15"/>
        <v>0.79635706314066135</v>
      </c>
      <c r="R68" s="2"/>
      <c r="T68" s="32">
        <f t="shared" si="16"/>
        <v>0.291607533402227</v>
      </c>
      <c r="U68">
        <f t="shared" si="17"/>
        <v>0.38592778813782275</v>
      </c>
      <c r="V68" s="33">
        <f t="shared" si="18"/>
        <v>0.42045654914131053</v>
      </c>
      <c r="Y68" s="32">
        <f t="shared" si="19"/>
        <v>0.35218889970823908</v>
      </c>
      <c r="Z68">
        <f t="shared" si="20"/>
        <v>0.44341615787551708</v>
      </c>
      <c r="AA68" s="33">
        <f t="shared" si="21"/>
        <v>0.47681263462477519</v>
      </c>
    </row>
    <row r="69" spans="3:27" ht="17" x14ac:dyDescent="0.2">
      <c r="C69" s="99" t="s">
        <v>91</v>
      </c>
      <c r="D69" s="100">
        <v>50.94</v>
      </c>
      <c r="E69" s="97">
        <f t="shared" si="2"/>
        <v>2.5981873111782461E-2</v>
      </c>
      <c r="G69" s="83">
        <v>46028</v>
      </c>
      <c r="H69" s="84">
        <v>644.4</v>
      </c>
      <c r="I69" s="17">
        <f t="shared" si="3"/>
        <v>2.4891101431238688E-3</v>
      </c>
      <c r="K69" s="3">
        <f t="shared" si="0"/>
        <v>-1.1448917171121899E-2</v>
      </c>
      <c r="L69" s="3">
        <f t="shared" si="1"/>
        <v>1.1717216043027421E-2</v>
      </c>
      <c r="N69" s="41">
        <v>51</v>
      </c>
      <c r="O69">
        <f t="shared" si="13"/>
        <v>0.58862508575736017</v>
      </c>
      <c r="P69">
        <f t="shared" si="14"/>
        <v>0.7479616683547905</v>
      </c>
      <c r="Q69" s="33">
        <f t="shared" si="15"/>
        <v>0.8062916081438829</v>
      </c>
      <c r="R69" s="2"/>
      <c r="T69" s="32">
        <f t="shared" si="16"/>
        <v>0.29515190149096909</v>
      </c>
      <c r="U69">
        <f t="shared" si="17"/>
        <v>0.39041068933994094</v>
      </c>
      <c r="V69" s="33">
        <f t="shared" si="18"/>
        <v>0.42528302856696576</v>
      </c>
      <c r="Y69" s="32">
        <f t="shared" si="19"/>
        <v>0.3570199172239924</v>
      </c>
      <c r="Z69">
        <f t="shared" si="20"/>
        <v>0.44915493166135806</v>
      </c>
      <c r="AA69" s="33">
        <f t="shared" si="21"/>
        <v>0.48288371984666068</v>
      </c>
    </row>
    <row r="70" spans="3:27" ht="34" x14ac:dyDescent="0.2">
      <c r="C70" s="99" t="s">
        <v>90</v>
      </c>
      <c r="D70" s="100">
        <v>49.65</v>
      </c>
      <c r="E70" s="97">
        <f t="shared" si="2"/>
        <v>-3.6122817579771166E-3</v>
      </c>
      <c r="G70" s="83">
        <v>46027</v>
      </c>
      <c r="H70" s="84">
        <v>642.79999999999995</v>
      </c>
      <c r="I70" s="17">
        <f t="shared" si="3"/>
        <v>1.5581177937052041E-3</v>
      </c>
      <c r="K70" s="3">
        <f t="shared" si="0"/>
        <v>2.5945721013124878E-3</v>
      </c>
      <c r="L70" s="3">
        <f t="shared" si="1"/>
        <v>-2.5811779964761304E-3</v>
      </c>
      <c r="N70" s="41">
        <v>52</v>
      </c>
      <c r="O70">
        <f t="shared" si="13"/>
        <v>0.59637811215446268</v>
      </c>
      <c r="P70">
        <f t="shared" si="14"/>
        <v>0.7572692348088863</v>
      </c>
      <c r="Q70" s="33">
        <f t="shared" si="15"/>
        <v>0.81616826065747627</v>
      </c>
      <c r="R70" s="2"/>
      <c r="T70" s="32">
        <f t="shared" si="16"/>
        <v>0.29867416806919611</v>
      </c>
      <c r="U70">
        <f t="shared" si="17"/>
        <v>0.39486233195396503</v>
      </c>
      <c r="V70" s="33">
        <f t="shared" si="18"/>
        <v>0.43007489718135827</v>
      </c>
      <c r="Y70" s="32">
        <f t="shared" si="19"/>
        <v>0.36182955799292399</v>
      </c>
      <c r="Z70">
        <f t="shared" si="20"/>
        <v>0.45486347190622745</v>
      </c>
      <c r="AA70" s="33">
        <f t="shared" si="21"/>
        <v>0.48892132923217041</v>
      </c>
    </row>
    <row r="71" spans="3:27" ht="34" x14ac:dyDescent="0.2">
      <c r="C71" s="99" t="s">
        <v>89</v>
      </c>
      <c r="D71" s="100">
        <v>49.83</v>
      </c>
      <c r="E71" s="97">
        <f t="shared" si="2"/>
        <v>9.1130012150667412E-3</v>
      </c>
      <c r="G71" s="83">
        <v>46024</v>
      </c>
      <c r="H71" s="84">
        <v>641.79999999999995</v>
      </c>
      <c r="I71" s="17">
        <f t="shared" si="3"/>
        <v>-4.9612403100775899E-3</v>
      </c>
      <c r="K71" s="3">
        <f t="shared" ref="K71:K128" si="22">IF(E71&gt;I71,-(E71-I71)/(2*(1+E71)),(I71-E71)/(2*(1+E71)))</f>
        <v>-6.9735706051738634E-3</v>
      </c>
      <c r="L71" s="3">
        <f t="shared" ref="L71:L128" si="23">IF(E71&gt;I71,(E71-I71)/(2*(1+I71)),-(I71-E71)/(2*(1+I71)))</f>
        <v>7.0722076844173375E-3</v>
      </c>
      <c r="N71" s="41">
        <v>53</v>
      </c>
      <c r="O71">
        <f t="shared" si="13"/>
        <v>0.6040952314240251</v>
      </c>
      <c r="P71">
        <f t="shared" si="14"/>
        <v>0.76652601712727142</v>
      </c>
      <c r="Q71" s="33">
        <f t="shared" si="15"/>
        <v>0.82598868285986859</v>
      </c>
      <c r="R71" s="2"/>
      <c r="T71" s="32">
        <f t="shared" si="16"/>
        <v>0.30217496770374425</v>
      </c>
      <c r="U71">
        <f t="shared" si="17"/>
        <v>0.39928361345988139</v>
      </c>
      <c r="V71" s="33">
        <f t="shared" si="18"/>
        <v>0.43483314871172596</v>
      </c>
      <c r="Y71" s="32">
        <f t="shared" si="19"/>
        <v>0.36661843577283965</v>
      </c>
      <c r="Z71">
        <f t="shared" si="20"/>
        <v>0.46054264665950262</v>
      </c>
      <c r="AA71" s="33">
        <f t="shared" si="21"/>
        <v>0.49492642392174596</v>
      </c>
    </row>
    <row r="72" spans="3:27" ht="34" x14ac:dyDescent="0.2">
      <c r="C72" s="99" t="s">
        <v>88</v>
      </c>
      <c r="D72" s="100">
        <v>49.38</v>
      </c>
      <c r="E72" s="97">
        <f t="shared" ref="E72:E128" si="24">(D72-D73)/D73</f>
        <v>-4.6361620640999173E-3</v>
      </c>
      <c r="G72" s="83">
        <v>46022</v>
      </c>
      <c r="H72" s="84">
        <v>645</v>
      </c>
      <c r="I72" s="17">
        <f t="shared" ref="I72:I128" si="25">(H72-H73)/H73</f>
        <v>8.9160018770530983E-3</v>
      </c>
      <c r="K72" s="3">
        <f t="shared" si="22"/>
        <v>6.8076433082280381E-3</v>
      </c>
      <c r="L72" s="3">
        <f t="shared" si="23"/>
        <v>-6.7162003159528076E-3</v>
      </c>
      <c r="N72" s="41">
        <v>54</v>
      </c>
      <c r="O72">
        <f t="shared" si="13"/>
        <v>0.61177745514753046</v>
      </c>
      <c r="P72">
        <f t="shared" si="14"/>
        <v>0.77573344600894134</v>
      </c>
      <c r="Q72" s="33">
        <f t="shared" si="15"/>
        <v>0.83575445888060385</v>
      </c>
      <c r="R72" s="2"/>
      <c r="T72" s="32">
        <f t="shared" si="16"/>
        <v>0.30565490516486971</v>
      </c>
      <c r="U72">
        <f t="shared" si="17"/>
        <v>0.40367538919580415</v>
      </c>
      <c r="V72" s="33">
        <f t="shared" si="18"/>
        <v>0.43955873022407038</v>
      </c>
      <c r="Y72" s="32">
        <f t="shared" si="19"/>
        <v>0.37138713550206937</v>
      </c>
      <c r="Z72">
        <f t="shared" si="20"/>
        <v>0.46619328321062636</v>
      </c>
      <c r="AA72" s="33">
        <f t="shared" si="21"/>
        <v>0.50089991992473104</v>
      </c>
    </row>
    <row r="73" spans="3:27" ht="34" x14ac:dyDescent="0.2">
      <c r="C73" s="99" t="s">
        <v>87</v>
      </c>
      <c r="D73" s="100">
        <v>49.61</v>
      </c>
      <c r="E73" s="97">
        <f t="shared" si="24"/>
        <v>3.0327537403962508E-3</v>
      </c>
      <c r="G73" s="83">
        <v>46021</v>
      </c>
      <c r="H73" s="84">
        <v>639.29999999999995</v>
      </c>
      <c r="I73" s="17">
        <f t="shared" si="25"/>
        <v>9.6336070751735763E-3</v>
      </c>
      <c r="K73" s="3">
        <f t="shared" si="22"/>
        <v>3.2904475502729949E-3</v>
      </c>
      <c r="L73" s="3">
        <f t="shared" si="23"/>
        <v>-3.2689350317386232E-3</v>
      </c>
      <c r="N73" s="41">
        <v>55</v>
      </c>
      <c r="O73">
        <f t="shared" si="13"/>
        <v>0.61942574828270636</v>
      </c>
      <c r="P73">
        <f t="shared" si="14"/>
        <v>0.78489288621202491</v>
      </c>
      <c r="Q73" s="33">
        <f t="shared" si="15"/>
        <v>0.84546709983675128</v>
      </c>
      <c r="R73" s="2"/>
      <c r="T73" s="32">
        <f t="shared" si="16"/>
        <v>0.30911455734898857</v>
      </c>
      <c r="U73">
        <f t="shared" si="17"/>
        <v>0.40803847507734398</v>
      </c>
      <c r="V73" s="33">
        <f t="shared" si="18"/>
        <v>0.44425254513415446</v>
      </c>
      <c r="Y73" s="32">
        <f t="shared" si="19"/>
        <v>0.37613621515915602</v>
      </c>
      <c r="Z73">
        <f t="shared" si="20"/>
        <v>0.47181617071929993</v>
      </c>
      <c r="AA73" s="33">
        <f t="shared" si="21"/>
        <v>0.50684269103163049</v>
      </c>
    </row>
    <row r="74" spans="3:27" ht="34" x14ac:dyDescent="0.2">
      <c r="C74" s="99" t="s">
        <v>86</v>
      </c>
      <c r="D74" s="100">
        <v>49.46</v>
      </c>
      <c r="E74" s="97">
        <f t="shared" si="24"/>
        <v>-3.8267875125880713E-3</v>
      </c>
      <c r="G74" s="83">
        <v>46020</v>
      </c>
      <c r="H74" s="84">
        <v>633.20000000000005</v>
      </c>
      <c r="I74" s="17">
        <f t="shared" si="25"/>
        <v>1.7402309761114106E-3</v>
      </c>
      <c r="K74" s="3">
        <f t="shared" si="22"/>
        <v>2.7942020619078976E-3</v>
      </c>
      <c r="L74" s="3">
        <f t="shared" si="23"/>
        <v>-2.7786737102865936E-3</v>
      </c>
      <c r="N74" s="41">
        <v>56</v>
      </c>
      <c r="O74">
        <f t="shared" si="13"/>
        <v>0.62704103211762885</v>
      </c>
      <c r="P74">
        <f t="shared" si="14"/>
        <v>0.79400564073182944</v>
      </c>
      <c r="Q74" s="33">
        <f t="shared" si="15"/>
        <v>0.85512804845901003</v>
      </c>
      <c r="R74" s="2"/>
      <c r="T74" s="32">
        <f t="shared" si="16"/>
        <v>0.31255447504477696</v>
      </c>
      <c r="U74">
        <f t="shared" si="17"/>
        <v>0.41237365009543636</v>
      </c>
      <c r="V74" s="33">
        <f t="shared" si="18"/>
        <v>0.44891545597320187</v>
      </c>
      <c r="Y74" s="32">
        <f t="shared" si="19"/>
        <v>0.38086620747104016</v>
      </c>
      <c r="Z74">
        <f t="shared" si="20"/>
        <v>0.47741206263140157</v>
      </c>
      <c r="AA74" s="33">
        <f t="shared" si="21"/>
        <v>0.51275557148911666</v>
      </c>
    </row>
    <row r="75" spans="3:27" ht="34" x14ac:dyDescent="0.2">
      <c r="C75" s="99" t="s">
        <v>85</v>
      </c>
      <c r="D75" s="100">
        <v>49.65</v>
      </c>
      <c r="E75" s="97">
        <f t="shared" si="24"/>
        <v>-8.7841884607707081E-3</v>
      </c>
      <c r="G75" s="83">
        <v>46015</v>
      </c>
      <c r="H75" s="84">
        <v>632.1</v>
      </c>
      <c r="I75" s="17">
        <f t="shared" si="25"/>
        <v>7.6518412242947056E-3</v>
      </c>
      <c r="K75" s="3">
        <f t="shared" si="22"/>
        <v>8.2908431714494111E-3</v>
      </c>
      <c r="L75" s="3">
        <f t="shared" si="23"/>
        <v>-8.1556094142078237E-3</v>
      </c>
      <c r="N75" s="41">
        <v>57</v>
      </c>
      <c r="O75">
        <f t="shared" si="13"/>
        <v>0.63462418698844392</v>
      </c>
      <c r="P75">
        <f t="shared" si="14"/>
        <v>0.80307295464456629</v>
      </c>
      <c r="Q75" s="33">
        <f t="shared" si="15"/>
        <v>0.86473868334764259</v>
      </c>
      <c r="R75" s="2"/>
      <c r="T75" s="32">
        <f t="shared" si="16"/>
        <v>0.31597518455795082</v>
      </c>
      <c r="U75">
        <f t="shared" si="17"/>
        <v>0.41668165861429901</v>
      </c>
      <c r="V75" s="33">
        <f t="shared" si="18"/>
        <v>0.45354828693229166</v>
      </c>
      <c r="Y75" s="32">
        <f t="shared" si="19"/>
        <v>0.38557762148455965</v>
      </c>
      <c r="Z75">
        <f t="shared" si="20"/>
        <v>0.48298167890158861</v>
      </c>
      <c r="AA75" s="33">
        <f t="shared" si="21"/>
        <v>0.51863935846098586</v>
      </c>
    </row>
    <row r="76" spans="3:27" ht="34" x14ac:dyDescent="0.2">
      <c r="C76" s="99" t="s">
        <v>84</v>
      </c>
      <c r="D76" s="100">
        <v>50.09</v>
      </c>
      <c r="E76" s="97">
        <f t="shared" si="24"/>
        <v>3.6064916850331963E-3</v>
      </c>
      <c r="G76" s="83">
        <v>46014</v>
      </c>
      <c r="H76" s="84">
        <v>627.29999999999995</v>
      </c>
      <c r="I76" s="17">
        <f t="shared" si="25"/>
        <v>-6.3724709256028503E-4</v>
      </c>
      <c r="K76" s="3">
        <f t="shared" si="22"/>
        <v>-2.1142443840056961E-3</v>
      </c>
      <c r="L76" s="3">
        <f t="shared" si="23"/>
        <v>2.1232224061018879E-3</v>
      </c>
      <c r="N76" s="41">
        <v>58</v>
      </c>
      <c r="O76">
        <f t="shared" si="13"/>
        <v>0.64217605478342255</v>
      </c>
      <c r="P76">
        <f t="shared" si="14"/>
        <v>0.81209601864888303</v>
      </c>
      <c r="Q76" s="33">
        <f t="shared" si="15"/>
        <v>0.87430032289380744</v>
      </c>
      <c r="R76" s="2"/>
      <c r="T76" s="32">
        <f t="shared" si="16"/>
        <v>0.31937718920830577</v>
      </c>
      <c r="U76">
        <f t="shared" si="17"/>
        <v>0.42096321248872409</v>
      </c>
      <c r="V76" s="33">
        <f t="shared" si="18"/>
        <v>0.45815182620671224</v>
      </c>
      <c r="Y76" s="32">
        <f t="shared" si="19"/>
        <v>0.39027094401439788</v>
      </c>
      <c r="Z76">
        <f t="shared" si="20"/>
        <v>0.4885257080411578</v>
      </c>
      <c r="AA76" s="33">
        <f t="shared" si="21"/>
        <v>0.52449481429563583</v>
      </c>
    </row>
    <row r="77" spans="3:27" ht="34" x14ac:dyDescent="0.2">
      <c r="C77" s="99" t="s">
        <v>83</v>
      </c>
      <c r="D77" s="100">
        <v>49.91</v>
      </c>
      <c r="E77" s="97">
        <f t="shared" si="24"/>
        <v>4.0658882402001578E-2</v>
      </c>
      <c r="G77" s="83">
        <v>46013</v>
      </c>
      <c r="H77" s="84">
        <v>627.70000000000005</v>
      </c>
      <c r="I77" s="17">
        <f t="shared" si="25"/>
        <v>-6.3321196770618959E-3</v>
      </c>
      <c r="K77" s="3">
        <f t="shared" si="22"/>
        <v>-2.2577524140571875E-2</v>
      </c>
      <c r="L77" s="3">
        <f t="shared" si="23"/>
        <v>2.364522543678859E-2</v>
      </c>
      <c r="N77" s="41">
        <v>59</v>
      </c>
      <c r="O77">
        <f t="shared" si="13"/>
        <v>0.6496974412535288</v>
      </c>
      <c r="P77">
        <f t="shared" si="14"/>
        <v>0.82107597233374463</v>
      </c>
      <c r="Q77" s="33">
        <f t="shared" si="15"/>
        <v>0.8838142288978923</v>
      </c>
      <c r="R77" s="2"/>
      <c r="T77" s="32">
        <f t="shared" si="16"/>
        <v>0.3227609707110819</v>
      </c>
      <c r="U77">
        <f t="shared" si="17"/>
        <v>0.42521899301776822</v>
      </c>
      <c r="V77" s="33">
        <f t="shared" si="18"/>
        <v>0.46272682815916844</v>
      </c>
      <c r="Y77" s="32">
        <f t="shared" si="19"/>
        <v>0.39494664097914989</v>
      </c>
      <c r="Z77">
        <f t="shared" si="20"/>
        <v>0.49404480900766923</v>
      </c>
      <c r="AA77" s="33">
        <f t="shared" si="21"/>
        <v>0.53032266861833544</v>
      </c>
    </row>
    <row r="78" spans="3:27" ht="34" x14ac:dyDescent="0.2">
      <c r="C78" s="99" t="s">
        <v>82</v>
      </c>
      <c r="D78" s="100">
        <v>47.96</v>
      </c>
      <c r="E78" s="97">
        <f t="shared" si="24"/>
        <v>-1.5397249024840895E-2</v>
      </c>
      <c r="G78" s="83">
        <v>46010</v>
      </c>
      <c r="H78" s="84">
        <v>631.70000000000005</v>
      </c>
      <c r="I78" s="17">
        <f t="shared" si="25"/>
        <v>-8.9425792281141066E-3</v>
      </c>
      <c r="K78" s="3">
        <f t="shared" si="22"/>
        <v>3.2778040637881762E-3</v>
      </c>
      <c r="L78" s="3">
        <f t="shared" si="23"/>
        <v>-3.2564560142739076E-3</v>
      </c>
      <c r="N78" s="41">
        <v>60</v>
      </c>
      <c r="O78">
        <f t="shared" si="13"/>
        <v>0.65718911814746517</v>
      </c>
      <c r="P78">
        <f t="shared" si="14"/>
        <v>0.83001390719806878</v>
      </c>
      <c r="Q78" s="33">
        <f t="shared" si="15"/>
        <v>0.893281609912981</v>
      </c>
      <c r="R78" s="2"/>
      <c r="T78" s="32">
        <f t="shared" si="16"/>
        <v>0.32612699045339277</v>
      </c>
      <c r="U78">
        <f t="shared" si="17"/>
        <v>0.42944965275003127</v>
      </c>
      <c r="V78" s="33">
        <f t="shared" si="18"/>
        <v>0.46727401531866125</v>
      </c>
      <c r="Y78" s="32">
        <f t="shared" si="19"/>
        <v>0.39960515863589424</v>
      </c>
      <c r="Z78">
        <f t="shared" si="20"/>
        <v>0.49953961295102534</v>
      </c>
      <c r="AA78" s="33">
        <f t="shared" si="21"/>
        <v>0.53612362026455629</v>
      </c>
    </row>
    <row r="79" spans="3:27" ht="34" x14ac:dyDescent="0.2">
      <c r="C79" s="99" t="s">
        <v>81</v>
      </c>
      <c r="D79" s="100">
        <v>48.71</v>
      </c>
      <c r="E79" s="97">
        <f t="shared" si="24"/>
        <v>-2.0116676725005028E-2</v>
      </c>
      <c r="G79" s="83">
        <v>46009</v>
      </c>
      <c r="H79" s="84">
        <v>637.4</v>
      </c>
      <c r="I79" s="17">
        <f t="shared" si="25"/>
        <v>9.0232705398130934E-3</v>
      </c>
      <c r="K79" s="3">
        <f t="shared" si="22"/>
        <v>1.4869090315480485E-2</v>
      </c>
      <c r="L79" s="3">
        <f t="shared" si="23"/>
        <v>-1.4439680488849711E-2</v>
      </c>
      <c r="N79" s="41">
        <v>61</v>
      </c>
      <c r="O79">
        <f t="shared" si="13"/>
        <v>0.66465182518722399</v>
      </c>
      <c r="P79">
        <f t="shared" si="14"/>
        <v>0.8389108694447851</v>
      </c>
      <c r="Q79" s="33">
        <f t="shared" si="15"/>
        <v>0.90270362433855222</v>
      </c>
      <c r="R79" s="2"/>
      <c r="T79" s="32">
        <f t="shared" si="16"/>
        <v>0.32947569067530141</v>
      </c>
      <c r="U79">
        <f t="shared" si="17"/>
        <v>0.43365581715407348</v>
      </c>
      <c r="V79" s="33">
        <f t="shared" si="18"/>
        <v>0.47179408023004349</v>
      </c>
      <c r="Y79" s="32">
        <f t="shared" si="19"/>
        <v>0.40424692472253831</v>
      </c>
      <c r="Z79">
        <f t="shared" si="20"/>
        <v>0.50501072482911136</v>
      </c>
      <c r="AA79" s="33">
        <f t="shared" si="21"/>
        <v>0.54189833906887697</v>
      </c>
    </row>
    <row r="80" spans="3:27" ht="34" x14ac:dyDescent="0.2">
      <c r="C80" s="99" t="s">
        <v>80</v>
      </c>
      <c r="D80" s="100">
        <v>49.71</v>
      </c>
      <c r="E80" s="97">
        <f t="shared" si="24"/>
        <v>2.1578298397040778E-2</v>
      </c>
      <c r="G80" s="83">
        <v>46008</v>
      </c>
      <c r="H80" s="84">
        <v>631.70000000000005</v>
      </c>
      <c r="I80" s="17">
        <f t="shared" si="25"/>
        <v>-7.5412411626079407E-3</v>
      </c>
      <c r="K80" s="3">
        <f t="shared" si="22"/>
        <v>-1.4252230888880574E-2</v>
      </c>
      <c r="L80" s="3">
        <f t="shared" si="23"/>
        <v>1.4670402825483939E-2</v>
      </c>
      <c r="N80" s="41">
        <v>62</v>
      </c>
      <c r="O80">
        <f t="shared" si="13"/>
        <v>0.67208627189846681</v>
      </c>
      <c r="P80">
        <f t="shared" si="14"/>
        <v>0.8477678625695777</v>
      </c>
      <c r="Q80" s="33">
        <f t="shared" si="15"/>
        <v>0.91208138328684185</v>
      </c>
      <c r="R80" s="2"/>
      <c r="T80" s="32">
        <f t="shared" si="16"/>
        <v>0.33280749556410605</v>
      </c>
      <c r="U80">
        <f t="shared" si="17"/>
        <v>0.43783808616608594</v>
      </c>
      <c r="V80" s="33">
        <f t="shared" si="18"/>
        <v>0.47628768716766479</v>
      </c>
      <c r="Y80" s="32">
        <f t="shared" si="19"/>
        <v>0.40887234951622031</v>
      </c>
      <c r="Z80">
        <f t="shared" si="20"/>
        <v>0.51045872490471322</v>
      </c>
      <c r="AA80" s="33">
        <f t="shared" si="21"/>
        <v>0.54764746752243332</v>
      </c>
    </row>
    <row r="81" spans="3:27" ht="34" x14ac:dyDescent="0.2">
      <c r="C81" s="99" t="s">
        <v>79</v>
      </c>
      <c r="D81" s="100">
        <v>48.66</v>
      </c>
      <c r="E81" s="97">
        <f t="shared" si="24"/>
        <v>-4.9609375000000122E-2</v>
      </c>
      <c r="G81" s="83">
        <v>46007</v>
      </c>
      <c r="H81" s="84">
        <v>636.5</v>
      </c>
      <c r="I81" s="17">
        <f t="shared" si="25"/>
        <v>1.6610765053505793E-2</v>
      </c>
      <c r="K81" s="3">
        <f t="shared" si="22"/>
        <v>3.4838380299419477E-2</v>
      </c>
      <c r="L81" s="3">
        <f t="shared" si="23"/>
        <v>-3.2569072810290693E-2</v>
      </c>
      <c r="N81" s="41">
        <v>63</v>
      </c>
      <c r="O81">
        <f t="shared" si="13"/>
        <v>0.6794931393085647</v>
      </c>
      <c r="P81">
        <f t="shared" si="14"/>
        <v>0.85658584976245344</v>
      </c>
      <c r="Q81" s="33">
        <f t="shared" si="15"/>
        <v>0.92141595324196102</v>
      </c>
      <c r="R81" s="2"/>
      <c r="T81" s="32">
        <f t="shared" si="16"/>
        <v>0.33612281226950691</v>
      </c>
      <c r="U81">
        <f t="shared" si="17"/>
        <v>0.44199703562565928</v>
      </c>
      <c r="V81" s="33">
        <f t="shared" si="18"/>
        <v>0.48075547372511496</v>
      </c>
      <c r="Y81" s="32">
        <f t="shared" si="19"/>
        <v>0.41348182681518542</v>
      </c>
      <c r="Z81">
        <f t="shared" si="20"/>
        <v>0.51588417013420418</v>
      </c>
      <c r="AA81" s="33">
        <f t="shared" si="21"/>
        <v>0.55337162231052983</v>
      </c>
    </row>
    <row r="82" spans="3:27" ht="34" x14ac:dyDescent="0.2">
      <c r="C82" s="99" t="s">
        <v>78</v>
      </c>
      <c r="D82" s="100">
        <v>51.2</v>
      </c>
      <c r="E82" s="97">
        <f t="shared" si="24"/>
        <v>-1.7274472168905923E-2</v>
      </c>
      <c r="G82" s="83">
        <v>46006</v>
      </c>
      <c r="H82" s="84">
        <v>626.1</v>
      </c>
      <c r="I82" s="17">
        <f t="shared" si="25"/>
        <v>2.5620496397118059E-3</v>
      </c>
      <c r="K82" s="3">
        <f t="shared" si="22"/>
        <v>1.0092605334267417E-2</v>
      </c>
      <c r="L82" s="3">
        <f t="shared" si="23"/>
        <v>-9.8929147655979627E-3</v>
      </c>
      <c r="N82" s="41">
        <v>64</v>
      </c>
      <c r="O82">
        <f t="shared" si="13"/>
        <v>0.68687308152380622</v>
      </c>
      <c r="P82">
        <f t="shared" si="14"/>
        <v>0.86536575613841882</v>
      </c>
      <c r="Q82" s="33">
        <f t="shared" si="15"/>
        <v>0.93070835852979417</v>
      </c>
      <c r="R82" s="2"/>
      <c r="T82" s="32">
        <f t="shared" si="16"/>
        <v>0.33942203184653463</v>
      </c>
      <c r="U82">
        <f t="shared" si="17"/>
        <v>0.44613321860938626</v>
      </c>
      <c r="V82" s="33">
        <f t="shared" si="18"/>
        <v>0.48519805229184365</v>
      </c>
      <c r="Y82" s="32">
        <f t="shared" si="19"/>
        <v>0.41807573485079386</v>
      </c>
      <c r="Z82">
        <f t="shared" si="20"/>
        <v>0.52128759545741488</v>
      </c>
      <c r="AA82" s="33">
        <f t="shared" si="21"/>
        <v>0.55907139574083775</v>
      </c>
    </row>
    <row r="83" spans="3:27" ht="34" x14ac:dyDescent="0.2">
      <c r="C83" s="99" t="s">
        <v>77</v>
      </c>
      <c r="D83" s="100">
        <v>52.1</v>
      </c>
      <c r="E83" s="97">
        <f t="shared" si="24"/>
        <v>-7.4299866641265111E-3</v>
      </c>
      <c r="G83" s="83">
        <v>46003</v>
      </c>
      <c r="H83" s="84">
        <v>624.5</v>
      </c>
      <c r="I83" s="17">
        <f t="shared" si="25"/>
        <v>-1.1196417146513843E-3</v>
      </c>
      <c r="K83" s="3">
        <f t="shared" si="22"/>
        <v>3.1787908483488429E-3</v>
      </c>
      <c r="L83" s="3">
        <f t="shared" si="23"/>
        <v>-3.1587090972072457E-3</v>
      </c>
      <c r="N83" s="41">
        <v>65</v>
      </c>
      <c r="O83">
        <f t="shared" ref="O83:O118" si="26">$U$6*SQRT($O$8)*SQRT($N83)-$O$7*$N83</f>
        <v>0.69422672719612177</v>
      </c>
      <c r="P83">
        <f t="shared" ref="P83:P118" si="27">$U$7*SQRT($O$8)*SQRT($N83)-$O$7*$N83</f>
        <v>0.87410847081189569</v>
      </c>
      <c r="Q83" s="33">
        <f t="shared" ref="Q83:Q118" si="28">$U$8*SQRT($O$8)*SQRT($N83)-$O$7*$N83</f>
        <v>0.93995958361487786</v>
      </c>
      <c r="R83" s="2"/>
      <c r="T83" s="32">
        <f t="shared" ref="T83:T118" si="29">$U$6*SQRT($P$8)*SQRT($N83)-$P$7*$N83</f>
        <v>0.34270553013242555</v>
      </c>
      <c r="U83">
        <f t="shared" ref="U83:U118" si="30">$U$7*SQRT($P$8)*SQRT($N83)-$P$7*$N83</f>
        <v>0.45024716667104236</v>
      </c>
      <c r="V83" s="33">
        <f t="shared" ref="V83:V118" si="31">$U$8*SQRT($P$8)*SQRT($N83)-$P$7*$N83</f>
        <v>0.48961601142634059</v>
      </c>
      <c r="Y83" s="32">
        <f t="shared" ref="Y83:Y118" si="32">$U$6*SQRT($P$14)*SQRT($N83)-$P$13*$N83</f>
        <v>0.42265443713564094</v>
      </c>
      <c r="Z83">
        <f t="shared" ref="Z83:Z118" si="33">$U$7*SQRT($P$14)*SQRT($N83)-$P$13*$N83</f>
        <v>0.52666951499714587</v>
      </c>
      <c r="AA83" s="33">
        <f t="shared" ref="AA83:AA118" si="34">$U$8*SQRT($P$14)*SQRT($N83)-$P$13*$N83</f>
        <v>0.56474735707154478</v>
      </c>
    </row>
    <row r="84" spans="3:27" ht="34" x14ac:dyDescent="0.2">
      <c r="C84" s="99" t="s">
        <v>76</v>
      </c>
      <c r="D84" s="100">
        <v>52.49</v>
      </c>
      <c r="E84" s="97">
        <f t="shared" si="24"/>
        <v>-6.811731315042562E-3</v>
      </c>
      <c r="G84" s="83">
        <v>46002</v>
      </c>
      <c r="H84" s="84">
        <v>625.20000000000005</v>
      </c>
      <c r="I84" s="17">
        <f t="shared" si="25"/>
        <v>1.0342598577892843E-2</v>
      </c>
      <c r="K84" s="3">
        <f t="shared" si="22"/>
        <v>8.6359909967768725E-3</v>
      </c>
      <c r="L84" s="3">
        <f t="shared" si="23"/>
        <v>-8.4893628740790369E-3</v>
      </c>
      <c r="N84" s="41">
        <v>66</v>
      </c>
      <c r="O84">
        <f t="shared" si="26"/>
        <v>0.70155468088863615</v>
      </c>
      <c r="P84">
        <f t="shared" si="27"/>
        <v>0.88281484882804906</v>
      </c>
      <c r="Q84" s="33">
        <f t="shared" si="28"/>
        <v>0.94917057523884796</v>
      </c>
      <c r="R84" s="2"/>
      <c r="T84" s="32">
        <f t="shared" si="29"/>
        <v>0.3459736685630127</v>
      </c>
      <c r="U84">
        <f t="shared" si="30"/>
        <v>0.45433939099622367</v>
      </c>
      <c r="V84" s="33">
        <f t="shared" si="31"/>
        <v>0.49400991713459863</v>
      </c>
      <c r="Y84" s="32">
        <f t="shared" si="32"/>
        <v>0.42721828325317662</v>
      </c>
      <c r="Z84">
        <f t="shared" si="33"/>
        <v>0.53203042317594185</v>
      </c>
      <c r="AA84" s="33">
        <f t="shared" si="34"/>
        <v>0.57040005374789471</v>
      </c>
    </row>
    <row r="85" spans="3:27" ht="34" x14ac:dyDescent="0.2">
      <c r="C85" s="99" t="s">
        <v>75</v>
      </c>
      <c r="D85" s="100">
        <v>52.85</v>
      </c>
      <c r="E85" s="97">
        <f t="shared" si="24"/>
        <v>2.5815217391304313E-2</v>
      </c>
      <c r="G85" s="83">
        <v>46001</v>
      </c>
      <c r="H85" s="84">
        <v>618.79999999999995</v>
      </c>
      <c r="I85" s="17">
        <f t="shared" si="25"/>
        <v>4.0564660068148628E-3</v>
      </c>
      <c r="K85" s="3">
        <f t="shared" si="22"/>
        <v>-1.0605590078797508E-2</v>
      </c>
      <c r="L85" s="3">
        <f t="shared" si="23"/>
        <v>1.083542217054044E-2</v>
      </c>
      <c r="N85" s="41">
        <v>67</v>
      </c>
      <c r="O85">
        <f t="shared" si="26"/>
        <v>0.70885752434845317</v>
      </c>
      <c r="P85">
        <f t="shared" si="27"/>
        <v>0.89148571296290879</v>
      </c>
      <c r="Q85" s="33">
        <f t="shared" si="28"/>
        <v>0.95834224441360938</v>
      </c>
      <c r="R85" s="2"/>
      <c r="T85" s="32">
        <f t="shared" si="29"/>
        <v>0.34922679493365494</v>
      </c>
      <c r="U85">
        <f t="shared" si="30"/>
        <v>0.45841038347854329</v>
      </c>
      <c r="V85" s="33">
        <f t="shared" si="31"/>
        <v>0.49838031406172312</v>
      </c>
      <c r="Y85" s="32">
        <f t="shared" si="32"/>
        <v>0.43176760959368177</v>
      </c>
      <c r="Z85">
        <f t="shared" si="33"/>
        <v>0.53737079575699653</v>
      </c>
      <c r="AA85" s="33">
        <f t="shared" si="34"/>
        <v>0.57603001255472031</v>
      </c>
    </row>
    <row r="86" spans="3:27" ht="34" x14ac:dyDescent="0.2">
      <c r="C86" s="99" t="s">
        <v>74</v>
      </c>
      <c r="D86" s="100">
        <v>51.52</v>
      </c>
      <c r="E86" s="97">
        <f t="shared" si="24"/>
        <v>1.63740382718486E-2</v>
      </c>
      <c r="G86" s="83">
        <v>46000</v>
      </c>
      <c r="H86" s="84">
        <v>616.29999999999995</v>
      </c>
      <c r="I86" s="17">
        <f t="shared" si="25"/>
        <v>-1.4235444657709677E-2</v>
      </c>
      <c r="K86" s="3">
        <f t="shared" si="22"/>
        <v>-1.5058178277361304E-2</v>
      </c>
      <c r="L86" s="3">
        <f t="shared" si="23"/>
        <v>1.5525757526821221E-2</v>
      </c>
      <c r="N86" s="41">
        <v>68</v>
      </c>
      <c r="O86">
        <f t="shared" si="26"/>
        <v>0.71613581769425716</v>
      </c>
      <c r="P86">
        <f t="shared" si="27"/>
        <v>0.90012185540301992</v>
      </c>
      <c r="Q86" s="33">
        <f t="shared" si="28"/>
        <v>0.96747546828111441</v>
      </c>
      <c r="R86" s="2"/>
      <c r="T86" s="32">
        <f t="shared" si="29"/>
        <v>0.35246524410924068</v>
      </c>
      <c r="U86">
        <f t="shared" si="30"/>
        <v>0.46246061772380337</v>
      </c>
      <c r="V86" s="33">
        <f t="shared" si="31"/>
        <v>0.50272772660379295</v>
      </c>
      <c r="Y86" s="32">
        <f t="shared" si="32"/>
        <v>0.43630274004098946</v>
      </c>
      <c r="Z86">
        <f t="shared" si="33"/>
        <v>0.54269109081539568</v>
      </c>
      <c r="AA86" s="33">
        <f t="shared" si="34"/>
        <v>0.58163774069184437</v>
      </c>
    </row>
    <row r="87" spans="3:27" ht="34" x14ac:dyDescent="0.2">
      <c r="C87" s="99" t="s">
        <v>73</v>
      </c>
      <c r="D87" s="100">
        <v>50.69</v>
      </c>
      <c r="E87" s="97">
        <f t="shared" si="24"/>
        <v>-3.466006474957152E-2</v>
      </c>
      <c r="G87" s="83">
        <v>45999</v>
      </c>
      <c r="H87" s="84">
        <v>625.20000000000005</v>
      </c>
      <c r="I87" s="17">
        <f t="shared" si="25"/>
        <v>-4.6170991880273475E-3</v>
      </c>
      <c r="K87" s="3">
        <f t="shared" si="22"/>
        <v>1.5560821874498762E-2</v>
      </c>
      <c r="L87" s="3">
        <f t="shared" si="23"/>
        <v>-1.5091160164112199E-2</v>
      </c>
      <c r="N87" s="41">
        <v>69</v>
      </c>
      <c r="O87">
        <f t="shared" si="26"/>
        <v>0.72339010052560138</v>
      </c>
      <c r="P87">
        <f t="shared" si="27"/>
        <v>0.90872403931432788</v>
      </c>
      <c r="Q87" s="33">
        <f t="shared" si="28"/>
        <v>0.97657109185049862</v>
      </c>
      <c r="R87" s="2"/>
      <c r="T87" s="32">
        <f t="shared" si="29"/>
        <v>0.35568933868737129</v>
      </c>
      <c r="U87">
        <f t="shared" si="30"/>
        <v>0.4664905499879477</v>
      </c>
      <c r="V87" s="33">
        <f t="shared" si="31"/>
        <v>0.50705265994640092</v>
      </c>
      <c r="Y87" s="32">
        <f t="shared" si="32"/>
        <v>0.44082398661392042</v>
      </c>
      <c r="Z87">
        <f t="shared" si="33"/>
        <v>0.54799174964531183</v>
      </c>
      <c r="AA87" s="33">
        <f t="shared" si="34"/>
        <v>0.58722372677856327</v>
      </c>
    </row>
    <row r="88" spans="3:27" ht="34" x14ac:dyDescent="0.2">
      <c r="C88" s="99" t="s">
        <v>72</v>
      </c>
      <c r="D88" s="100">
        <v>52.51</v>
      </c>
      <c r="E88" s="97">
        <f t="shared" si="24"/>
        <v>-4.3610163064088728E-3</v>
      </c>
      <c r="G88" s="83">
        <v>45996</v>
      </c>
      <c r="H88" s="84">
        <v>628.1</v>
      </c>
      <c r="I88" s="17">
        <f t="shared" si="25"/>
        <v>-7.8976465013425989E-3</v>
      </c>
      <c r="K88" s="3">
        <f t="shared" si="22"/>
        <v>-1.7760605263835909E-3</v>
      </c>
      <c r="L88" s="3">
        <f t="shared" si="23"/>
        <v>1.7823917978128817E-3</v>
      </c>
      <c r="N88" s="41">
        <v>70</v>
      </c>
      <c r="O88">
        <f t="shared" si="26"/>
        <v>0.73062089296010058</v>
      </c>
      <c r="P88">
        <f t="shared" si="27"/>
        <v>0.91729300030910033</v>
      </c>
      <c r="Q88" s="33">
        <f t="shared" si="28"/>
        <v>0.98562992962231732</v>
      </c>
      <c r="R88" s="2"/>
      <c r="T88" s="32">
        <f t="shared" si="29"/>
        <v>0.35889938961844303</v>
      </c>
      <c r="U88">
        <f t="shared" si="30"/>
        <v>0.47050062005405574</v>
      </c>
      <c r="V88" s="33">
        <f t="shared" si="31"/>
        <v>0.51135560103569833</v>
      </c>
      <c r="Y88" s="32">
        <f t="shared" si="32"/>
        <v>0.44533165006603126</v>
      </c>
      <c r="Z88">
        <f t="shared" si="33"/>
        <v>0.55327319760823979</v>
      </c>
      <c r="AA88" s="33">
        <f t="shared" si="34"/>
        <v>0.59278844179284818</v>
      </c>
    </row>
    <row r="89" spans="3:27" ht="34" x14ac:dyDescent="0.2">
      <c r="C89" s="99" t="s">
        <v>71</v>
      </c>
      <c r="D89" s="100">
        <v>52.74</v>
      </c>
      <c r="E89" s="97">
        <f t="shared" si="24"/>
        <v>2.0708341397329209E-2</v>
      </c>
      <c r="G89" s="83">
        <v>45995</v>
      </c>
      <c r="H89" s="84">
        <v>633.1</v>
      </c>
      <c r="I89" s="17">
        <f t="shared" si="25"/>
        <v>4.4423290496590009E-3</v>
      </c>
      <c r="K89" s="3">
        <f t="shared" si="22"/>
        <v>-7.9680020667815665E-3</v>
      </c>
      <c r="L89" s="3">
        <f t="shared" si="23"/>
        <v>8.0970364734927591E-3</v>
      </c>
      <c r="N89" s="41">
        <v>71</v>
      </c>
      <c r="O89">
        <f t="shared" si="26"/>
        <v>0.73782869660417383</v>
      </c>
      <c r="P89">
        <f t="shared" si="27"/>
        <v>0.92582944781886878</v>
      </c>
      <c r="Q89" s="33">
        <f t="shared" si="28"/>
        <v>0.99465276710872386</v>
      </c>
      <c r="R89" s="2"/>
      <c r="T89" s="32">
        <f t="shared" si="29"/>
        <v>0.36209569678600251</v>
      </c>
      <c r="U89">
        <f t="shared" si="30"/>
        <v>0.47449125205315035</v>
      </c>
      <c r="V89" s="33">
        <f t="shared" si="31"/>
        <v>0.51563701948722662</v>
      </c>
      <c r="Y89" s="32">
        <f t="shared" si="32"/>
        <v>0.44982602044693876</v>
      </c>
      <c r="Z89">
        <f t="shared" si="33"/>
        <v>0.55853584492688746</v>
      </c>
      <c r="AA89" s="33">
        <f t="shared" si="34"/>
        <v>0.59833233995037549</v>
      </c>
    </row>
    <row r="90" spans="3:27" ht="34" x14ac:dyDescent="0.2">
      <c r="C90" s="99" t="s">
        <v>70</v>
      </c>
      <c r="D90" s="100">
        <v>51.67</v>
      </c>
      <c r="E90" s="97">
        <f t="shared" si="24"/>
        <v>6.5360824742268078E-2</v>
      </c>
      <c r="G90" s="83">
        <v>45994</v>
      </c>
      <c r="H90" s="84">
        <v>630.29999999999995</v>
      </c>
      <c r="I90" s="17">
        <f t="shared" si="25"/>
        <v>-9.2738132662686119E-3</v>
      </c>
      <c r="K90" s="3">
        <f t="shared" si="22"/>
        <v>-3.502786862216014E-2</v>
      </c>
      <c r="L90" s="3">
        <f t="shared" si="23"/>
        <v>3.7666632318761738E-2</v>
      </c>
      <c r="N90" s="41">
        <v>72</v>
      </c>
      <c r="O90">
        <f t="shared" si="26"/>
        <v>0.74501399546247149</v>
      </c>
      <c r="P90">
        <f t="shared" si="27"/>
        <v>0.9343340663806462</v>
      </c>
      <c r="Q90" s="33">
        <f t="shared" si="28"/>
        <v>1.0036403622576229</v>
      </c>
      <c r="R90" s="2"/>
      <c r="T90" s="32">
        <f t="shared" si="29"/>
        <v>0.36527854955044348</v>
      </c>
      <c r="U90">
        <f t="shared" si="30"/>
        <v>0.47846285523315835</v>
      </c>
      <c r="V90" s="33">
        <f t="shared" si="31"/>
        <v>0.51989736843734369</v>
      </c>
      <c r="Y90" s="32">
        <f t="shared" si="32"/>
        <v>0.45430737762818707</v>
      </c>
      <c r="Z90">
        <f t="shared" si="33"/>
        <v>0.56378008742892072</v>
      </c>
      <c r="AA90" s="33">
        <f t="shared" si="34"/>
        <v>0.60385585952803034</v>
      </c>
    </row>
    <row r="91" spans="3:27" ht="34" x14ac:dyDescent="0.2">
      <c r="C91" s="99" t="s">
        <v>69</v>
      </c>
      <c r="D91" s="100">
        <v>48.5</v>
      </c>
      <c r="E91" s="97">
        <f t="shared" si="24"/>
        <v>-5.9165858389912653E-2</v>
      </c>
      <c r="G91" s="83">
        <v>45993</v>
      </c>
      <c r="H91" s="84">
        <v>636.20000000000005</v>
      </c>
      <c r="I91" s="17">
        <f t="shared" si="25"/>
        <v>-1.01135833203672E-2</v>
      </c>
      <c r="K91" s="3">
        <f t="shared" si="22"/>
        <v>2.6068502884897607E-2</v>
      </c>
      <c r="L91" s="3">
        <f t="shared" si="23"/>
        <v>-2.4776718946240853E-2</v>
      </c>
      <c r="N91" s="41">
        <v>73</v>
      </c>
      <c r="O91">
        <f t="shared" si="26"/>
        <v>0.75217725679064906</v>
      </c>
      <c r="P91">
        <f t="shared" si="27"/>
        <v>0.94280751684302322</v>
      </c>
      <c r="Q91" s="33">
        <f t="shared" si="28"/>
        <v>1.0125934467881113</v>
      </c>
      <c r="R91" s="2"/>
      <c r="T91" s="32">
        <f t="shared" si="29"/>
        <v>0.36844822725883514</v>
      </c>
      <c r="U91">
        <f t="shared" si="30"/>
        <v>0.48241582467997052</v>
      </c>
      <c r="V91" s="33">
        <f t="shared" si="31"/>
        <v>0.52413708534161074</v>
      </c>
      <c r="Y91" s="32">
        <f t="shared" si="32"/>
        <v>0.45877599179635786</v>
      </c>
      <c r="Z91">
        <f t="shared" si="33"/>
        <v>0.56900630724437795</v>
      </c>
      <c r="AA91" s="33">
        <f t="shared" si="34"/>
        <v>0.60935942363611462</v>
      </c>
    </row>
    <row r="92" spans="3:27" x14ac:dyDescent="0.2">
      <c r="C92" s="99">
        <v>45989</v>
      </c>
      <c r="D92" s="100">
        <v>51.55</v>
      </c>
      <c r="E92" s="97">
        <f t="shared" si="24"/>
        <v>1.019008426415826E-2</v>
      </c>
      <c r="G92" s="83">
        <v>45992</v>
      </c>
      <c r="H92" s="84">
        <v>642.70000000000005</v>
      </c>
      <c r="I92" s="17">
        <f t="shared" si="25"/>
        <v>1.1329661683713682E-2</v>
      </c>
      <c r="K92" s="3">
        <f t="shared" si="22"/>
        <v>5.640410836073058E-4</v>
      </c>
      <c r="L92" s="3">
        <f t="shared" si="23"/>
        <v>-5.6340551589191773E-4</v>
      </c>
      <c r="N92" s="41">
        <v>74</v>
      </c>
      <c r="O92">
        <f t="shared" si="26"/>
        <v>0.75931893189574673</v>
      </c>
      <c r="P92">
        <f t="shared" si="27"/>
        <v>0.95125043749815918</v>
      </c>
      <c r="Q92" s="33">
        <f t="shared" si="28"/>
        <v>1.0215127274438651</v>
      </c>
      <c r="R92" s="2"/>
      <c r="T92" s="32">
        <f t="shared" si="29"/>
        <v>0.37160499972342587</v>
      </c>
      <c r="U92">
        <f t="shared" si="30"/>
        <v>0.4863505419941988</v>
      </c>
      <c r="V92" s="33">
        <f t="shared" si="31"/>
        <v>0.52835659272412638</v>
      </c>
      <c r="Y92" s="32">
        <f t="shared" si="32"/>
        <v>0.46323212391588231</v>
      </c>
      <c r="Z92">
        <f t="shared" si="33"/>
        <v>0.57421487346023448</v>
      </c>
      <c r="AA92" s="33">
        <f t="shared" si="34"/>
        <v>0.61484344094310694</v>
      </c>
    </row>
    <row r="93" spans="3:27" x14ac:dyDescent="0.2">
      <c r="C93" s="99">
        <v>45987</v>
      </c>
      <c r="D93" s="100">
        <v>51.03</v>
      </c>
      <c r="E93" s="97">
        <f t="shared" si="24"/>
        <v>2.9661016949152519E-2</v>
      </c>
      <c r="G93" s="83">
        <v>45989</v>
      </c>
      <c r="H93" s="84">
        <v>635.5</v>
      </c>
      <c r="I93" s="17">
        <f t="shared" si="25"/>
        <v>1.2910423971947757E-2</v>
      </c>
      <c r="K93" s="3">
        <f t="shared" si="22"/>
        <v>-8.1340328037455226E-3</v>
      </c>
      <c r="L93" s="3">
        <f t="shared" si="23"/>
        <v>8.2685460534211389E-3</v>
      </c>
      <c r="N93" s="41">
        <v>75</v>
      </c>
      <c r="O93">
        <f t="shared" si="26"/>
        <v>0.7664394568880547</v>
      </c>
      <c r="P93">
        <f t="shared" si="27"/>
        <v>0.95966344514516</v>
      </c>
      <c r="Q93" s="33">
        <f t="shared" si="28"/>
        <v>1.0303988871705561</v>
      </c>
      <c r="R93" s="2"/>
      <c r="T93" s="32">
        <f t="shared" si="29"/>
        <v>0.37474912767114299</v>
      </c>
      <c r="U93">
        <f t="shared" si="30"/>
        <v>0.49026737592691216</v>
      </c>
      <c r="V93" s="33">
        <f t="shared" si="31"/>
        <v>0.53255629888143963</v>
      </c>
      <c r="Y93" s="32">
        <f t="shared" si="32"/>
        <v>0.46767602616380111</v>
      </c>
      <c r="Z93">
        <f t="shared" si="33"/>
        <v>0.57940614273529134</v>
      </c>
      <c r="AA93" s="33">
        <f t="shared" si="34"/>
        <v>0.62030830635649359</v>
      </c>
    </row>
    <row r="94" spans="3:27" x14ac:dyDescent="0.2">
      <c r="C94" s="99">
        <v>45986</v>
      </c>
      <c r="D94" s="100">
        <v>49.56</v>
      </c>
      <c r="E94" s="97">
        <f t="shared" si="24"/>
        <v>-1.9972315602135613E-2</v>
      </c>
      <c r="G94" s="83">
        <v>45988</v>
      </c>
      <c r="H94" s="84">
        <v>627.4</v>
      </c>
      <c r="I94" s="17">
        <f t="shared" si="25"/>
        <v>3.1979533098816758E-3</v>
      </c>
      <c r="K94" s="3">
        <f t="shared" si="22"/>
        <v>1.1821231828901475E-2</v>
      </c>
      <c r="L94" s="3">
        <f t="shared" si="23"/>
        <v>-1.1548203839317511E-2</v>
      </c>
      <c r="N94" s="41">
        <v>76</v>
      </c>
      <c r="O94">
        <f t="shared" si="26"/>
        <v>0.77353925338801011</v>
      </c>
      <c r="P94">
        <f t="shared" si="27"/>
        <v>0.96804713608985615</v>
      </c>
      <c r="Q94" s="33">
        <f t="shared" si="28"/>
        <v>1.0392525862228472</v>
      </c>
      <c r="R94" s="2"/>
      <c r="T94" s="32">
        <f t="shared" si="29"/>
        <v>0.37788086316620906</v>
      </c>
      <c r="U94">
        <f t="shared" si="30"/>
        <v>0.49416668297735056</v>
      </c>
      <c r="V94" s="33">
        <f t="shared" si="31"/>
        <v>0.5367365985443644</v>
      </c>
      <c r="Y94" s="32">
        <f t="shared" si="32"/>
        <v>0.47210794233852182</v>
      </c>
      <c r="Z94">
        <f t="shared" si="33"/>
        <v>0.58458045987828866</v>
      </c>
      <c r="AA94" s="33">
        <f t="shared" si="34"/>
        <v>0.62575440166287954</v>
      </c>
    </row>
    <row r="95" spans="3:27" x14ac:dyDescent="0.2">
      <c r="C95" s="99">
        <v>45985</v>
      </c>
      <c r="D95" s="100">
        <v>50.57</v>
      </c>
      <c r="E95" s="97">
        <f t="shared" si="24"/>
        <v>5.4200542005420085E-2</v>
      </c>
      <c r="G95" s="83">
        <v>45987</v>
      </c>
      <c r="H95" s="84">
        <v>625.4</v>
      </c>
      <c r="I95" s="17">
        <f t="shared" si="25"/>
        <v>9.8498304537381291E-3</v>
      </c>
      <c r="K95" s="3">
        <f t="shared" si="22"/>
        <v>-2.1035234656260466E-2</v>
      </c>
      <c r="L95" s="3">
        <f t="shared" si="23"/>
        <v>2.1959062731017456E-2</v>
      </c>
      <c r="N95" s="41">
        <v>77</v>
      </c>
      <c r="O95">
        <f t="shared" si="26"/>
        <v>0.7806187291913721</v>
      </c>
      <c r="P95">
        <f t="shared" si="27"/>
        <v>0.97640208708557141</v>
      </c>
      <c r="Q95" s="33">
        <f t="shared" si="28"/>
        <v>1.0480744632060517</v>
      </c>
      <c r="R95" s="2"/>
      <c r="T95" s="32">
        <f t="shared" si="29"/>
        <v>0.38100045000781346</v>
      </c>
      <c r="U95">
        <f t="shared" si="30"/>
        <v>0.49804880795536011</v>
      </c>
      <c r="V95" s="33">
        <f t="shared" si="31"/>
        <v>0.54089787350073004</v>
      </c>
      <c r="Y95" s="32">
        <f t="shared" si="32"/>
        <v>0.47652810824444991</v>
      </c>
      <c r="Z95">
        <f t="shared" si="33"/>
        <v>0.58973815839189725</v>
      </c>
      <c r="AA95" s="33">
        <f t="shared" si="34"/>
        <v>0.63118209613031873</v>
      </c>
    </row>
    <row r="96" spans="3:27" x14ac:dyDescent="0.2">
      <c r="C96" s="99">
        <v>45982</v>
      </c>
      <c r="D96" s="100">
        <v>47.97</v>
      </c>
      <c r="E96" s="97">
        <f t="shared" si="24"/>
        <v>-2.0220588235294157E-2</v>
      </c>
      <c r="G96" s="83">
        <v>45986</v>
      </c>
      <c r="H96" s="84">
        <v>619.29999999999995</v>
      </c>
      <c r="I96" s="17">
        <f t="shared" si="25"/>
        <v>-3.8603828212965914E-3</v>
      </c>
      <c r="K96" s="3">
        <f t="shared" si="22"/>
        <v>8.3489228379124529E-3</v>
      </c>
      <c r="L96" s="3">
        <f t="shared" si="23"/>
        <v>-8.2118034118216429E-3</v>
      </c>
      <c r="N96" s="41">
        <v>78</v>
      </c>
      <c r="O96">
        <f t="shared" si="26"/>
        <v>0.78767827889564179</v>
      </c>
      <c r="P96">
        <f t="shared" si="27"/>
        <v>0.98472885621908246</v>
      </c>
      <c r="Q96" s="33">
        <f t="shared" si="28"/>
        <v>1.0568651360571035</v>
      </c>
      <c r="R96" s="2"/>
      <c r="T96" s="32">
        <f t="shared" si="29"/>
        <v>0.38410812410461598</v>
      </c>
      <c r="U96">
        <f t="shared" si="30"/>
        <v>0.50191408451106045</v>
      </c>
      <c r="V96" s="33">
        <f t="shared" si="31"/>
        <v>0.5450404931818521</v>
      </c>
      <c r="Y96" s="32">
        <f t="shared" si="32"/>
        <v>0.48093675205421138</v>
      </c>
      <c r="Z96">
        <f t="shared" si="33"/>
        <v>0.59487956098501638</v>
      </c>
      <c r="AA96" s="33">
        <f t="shared" si="34"/>
        <v>0.63659174707555155</v>
      </c>
    </row>
    <row r="97" spans="3:27" x14ac:dyDescent="0.2">
      <c r="C97" s="99">
        <v>45981</v>
      </c>
      <c r="D97" s="100">
        <v>48.96</v>
      </c>
      <c r="E97" s="97">
        <f t="shared" si="24"/>
        <v>-3.4890597279716065E-2</v>
      </c>
      <c r="G97" s="83">
        <v>45985</v>
      </c>
      <c r="H97" s="84">
        <v>621.70000000000005</v>
      </c>
      <c r="I97" s="17">
        <f t="shared" si="25"/>
        <v>-2.0866773675761708E-3</v>
      </c>
      <c r="K97" s="3">
        <f t="shared" si="22"/>
        <v>1.699492296918767E-2</v>
      </c>
      <c r="L97" s="3">
        <f t="shared" si="23"/>
        <v>-1.6436257121813697E-2</v>
      </c>
      <c r="N97" s="41">
        <v>79</v>
      </c>
      <c r="O97">
        <f t="shared" si="26"/>
        <v>0.79471828449045612</v>
      </c>
      <c r="P97">
        <f t="shared" si="27"/>
        <v>0.99302798374562196</v>
      </c>
      <c r="Q97" s="33">
        <f t="shared" si="28"/>
        <v>1.0656252029691089</v>
      </c>
      <c r="R97" s="2"/>
      <c r="T97" s="32">
        <f t="shared" si="29"/>
        <v>0.38720411382771114</v>
      </c>
      <c r="U97">
        <f t="shared" si="30"/>
        <v>0.50576283563404867</v>
      </c>
      <c r="V97" s="33">
        <f t="shared" si="31"/>
        <v>0.54916481521527105</v>
      </c>
      <c r="Y97" s="32">
        <f t="shared" si="32"/>
        <v>0.48533409465004257</v>
      </c>
      <c r="Z97">
        <f t="shared" si="33"/>
        <v>0.60000498005560798</v>
      </c>
      <c r="AA97" s="33">
        <f t="shared" si="34"/>
        <v>0.64198370039861874</v>
      </c>
    </row>
    <row r="98" spans="3:27" x14ac:dyDescent="0.2">
      <c r="C98" s="99">
        <v>45980</v>
      </c>
      <c r="D98" s="100">
        <v>50.73</v>
      </c>
      <c r="E98" s="97">
        <f t="shared" si="24"/>
        <v>-3.6650208887200907E-2</v>
      </c>
      <c r="G98" s="83">
        <v>45982</v>
      </c>
      <c r="H98" s="84">
        <v>623</v>
      </c>
      <c r="I98" s="17">
        <f t="shared" si="25"/>
        <v>5.4874112330535463E-3</v>
      </c>
      <c r="K98" s="3">
        <f t="shared" si="22"/>
        <v>2.187036344897102E-2</v>
      </c>
      <c r="L98" s="3">
        <f t="shared" si="23"/>
        <v>-2.0953827790136163E-2</v>
      </c>
      <c r="N98" s="41">
        <v>80</v>
      </c>
      <c r="O98">
        <f t="shared" si="26"/>
        <v>0.80173911591445224</v>
      </c>
      <c r="P98">
        <f t="shared" si="27"/>
        <v>1.0012999928764645</v>
      </c>
      <c r="Q98" s="33">
        <f t="shared" si="28"/>
        <v>1.0743552432633923</v>
      </c>
      <c r="R98" s="2"/>
      <c r="T98" s="32">
        <f t="shared" si="29"/>
        <v>0.3902886403435481</v>
      </c>
      <c r="U98">
        <f t="shared" si="30"/>
        <v>0.50959537412425415</v>
      </c>
      <c r="V98" s="33">
        <f t="shared" si="31"/>
        <v>0.55327118594610325</v>
      </c>
      <c r="Y98" s="32">
        <f t="shared" si="32"/>
        <v>0.48972034994579278</v>
      </c>
      <c r="Z98">
        <f t="shared" si="33"/>
        <v>0.6051147181461114</v>
      </c>
      <c r="AA98" s="33">
        <f t="shared" si="34"/>
        <v>0.64735829108711607</v>
      </c>
    </row>
    <row r="99" spans="3:27" x14ac:dyDescent="0.2">
      <c r="C99" s="99">
        <v>45979</v>
      </c>
      <c r="D99" s="100">
        <v>52.66</v>
      </c>
      <c r="E99" s="97">
        <f t="shared" si="24"/>
        <v>1.0748560460652498E-2</v>
      </c>
      <c r="G99" s="83">
        <v>45981</v>
      </c>
      <c r="H99" s="84">
        <v>619.6</v>
      </c>
      <c r="I99" s="17">
        <f t="shared" si="25"/>
        <v>1.6404199475065617E-2</v>
      </c>
      <c r="K99" s="3">
        <f t="shared" si="22"/>
        <v>2.797747746400717E-3</v>
      </c>
      <c r="L99" s="3">
        <f t="shared" si="23"/>
        <v>-2.7821800703568731E-3</v>
      </c>
      <c r="N99" s="41">
        <v>81</v>
      </c>
      <c r="O99">
        <f t="shared" si="26"/>
        <v>0.8087411315809041</v>
      </c>
      <c r="P99">
        <f t="shared" si="27"/>
        <v>1.0095453905223433</v>
      </c>
      <c r="Q99" s="33">
        <f t="shared" si="28"/>
        <v>1.0830558182126406</v>
      </c>
      <c r="R99" s="2"/>
      <c r="T99" s="32">
        <f t="shared" si="29"/>
        <v>0.39336191792817976</v>
      </c>
      <c r="U99">
        <f t="shared" si="30"/>
        <v>0.5134120030363879</v>
      </c>
      <c r="V99" s="33">
        <f t="shared" si="31"/>
        <v>0.55735994092915231</v>
      </c>
      <c r="Y99" s="32">
        <f t="shared" si="32"/>
        <v>0.49409572519086831</v>
      </c>
      <c r="Z99">
        <f t="shared" si="33"/>
        <v>0.6102090683733169</v>
      </c>
      <c r="AA99" s="33">
        <f t="shared" si="34"/>
        <v>0.65271584369216762</v>
      </c>
    </row>
    <row r="100" spans="3:27" x14ac:dyDescent="0.2">
      <c r="C100" s="99">
        <v>45978</v>
      </c>
      <c r="D100" s="100">
        <v>52.1</v>
      </c>
      <c r="E100" s="97">
        <f t="shared" si="24"/>
        <v>-2.5712949976624589E-2</v>
      </c>
      <c r="G100" s="83">
        <v>45980</v>
      </c>
      <c r="H100" s="84">
        <v>609.6</v>
      </c>
      <c r="I100" s="17">
        <f t="shared" si="25"/>
        <v>-2.7809586127922983E-3</v>
      </c>
      <c r="K100" s="3">
        <f t="shared" si="22"/>
        <v>1.1768601134174007E-2</v>
      </c>
      <c r="L100" s="3">
        <f t="shared" si="23"/>
        <v>-1.149797106357503E-2</v>
      </c>
      <c r="N100" s="41">
        <v>82</v>
      </c>
      <c r="O100">
        <f t="shared" si="26"/>
        <v>0.81572467887424238</v>
      </c>
      <c r="P100">
        <f t="shared" si="27"/>
        <v>1.0177646679956873</v>
      </c>
      <c r="Q100" s="33">
        <f t="shared" si="28"/>
        <v>1.0917274718184478</v>
      </c>
      <c r="R100" s="2"/>
      <c r="T100" s="32">
        <f t="shared" si="29"/>
        <v>0.39642415426410582</v>
      </c>
      <c r="U100">
        <f t="shared" si="30"/>
        <v>0.51721301609977255</v>
      </c>
      <c r="V100" s="33">
        <f t="shared" si="31"/>
        <v>0.56143140539376435</v>
      </c>
      <c r="Y100" s="32">
        <f t="shared" si="32"/>
        <v>0.49846042125734136</v>
      </c>
      <c r="Z100">
        <f t="shared" si="33"/>
        <v>0.61528831483442969</v>
      </c>
      <c r="AA100" s="33">
        <f t="shared" si="34"/>
        <v>0.65805667277803714</v>
      </c>
    </row>
    <row r="101" spans="3:27" x14ac:dyDescent="0.2">
      <c r="C101" s="99">
        <v>45975</v>
      </c>
      <c r="D101" s="100">
        <v>53.475000000000001</v>
      </c>
      <c r="E101" s="97">
        <f t="shared" si="24"/>
        <v>-3.8046411225040509E-2</v>
      </c>
      <c r="G101" s="83">
        <v>45979</v>
      </c>
      <c r="H101" s="84">
        <v>611.29999999999995</v>
      </c>
      <c r="I101" s="17">
        <f t="shared" si="25"/>
        <v>-2.0352564102564176E-2</v>
      </c>
      <c r="K101" s="3">
        <f t="shared" si="22"/>
        <v>9.1968299349084563E-3</v>
      </c>
      <c r="L101" s="3">
        <f t="shared" si="23"/>
        <v>-9.0307219077582473E-3</v>
      </c>
      <c r="N101" s="41">
        <v>83</v>
      </c>
      <c r="O101">
        <f t="shared" si="26"/>
        <v>0.82269009461940668</v>
      </c>
      <c r="P101">
        <f t="shared" si="27"/>
        <v>1.0259583016744371</v>
      </c>
      <c r="Q101" s="33">
        <f t="shared" si="28"/>
        <v>1.1003707315463196</v>
      </c>
      <c r="R101" s="2"/>
      <c r="T101" s="32">
        <f t="shared" si="29"/>
        <v>0.39947555072087348</v>
      </c>
      <c r="U101">
        <f t="shared" si="30"/>
        <v>0.52099869811520128</v>
      </c>
      <c r="V101" s="33">
        <f t="shared" si="31"/>
        <v>0.56548589468324462</v>
      </c>
      <c r="Y101" s="32">
        <f t="shared" si="32"/>
        <v>0.50281463291134898</v>
      </c>
      <c r="Z101">
        <f t="shared" si="33"/>
        <v>0.62035273299091409</v>
      </c>
      <c r="AA101" s="33">
        <f t="shared" si="34"/>
        <v>0.6633810833471363</v>
      </c>
    </row>
    <row r="102" spans="3:27" x14ac:dyDescent="0.2">
      <c r="C102" s="99">
        <v>45974</v>
      </c>
      <c r="D102" s="100">
        <v>55.59</v>
      </c>
      <c r="E102" s="97">
        <f t="shared" si="24"/>
        <v>-3.4728251432540366E-2</v>
      </c>
      <c r="G102" s="83">
        <v>45978</v>
      </c>
      <c r="H102" s="84">
        <v>624</v>
      </c>
      <c r="I102" s="17">
        <f t="shared" si="25"/>
        <v>-2.0408163265306121E-2</v>
      </c>
      <c r="K102" s="3">
        <f t="shared" si="22"/>
        <v>7.4176459574655526E-3</v>
      </c>
      <c r="L102" s="3">
        <f t="shared" si="23"/>
        <v>-7.3092116686924793E-3</v>
      </c>
      <c r="N102" s="41">
        <v>84</v>
      </c>
      <c r="O102">
        <f t="shared" si="26"/>
        <v>0.82963770552582539</v>
      </c>
      <c r="P102">
        <f t="shared" si="27"/>
        <v>1.0341267536299716</v>
      </c>
      <c r="Q102" s="33">
        <f t="shared" si="28"/>
        <v>1.1089861090209416</v>
      </c>
      <c r="R102" s="2"/>
      <c r="T102" s="32">
        <f t="shared" si="29"/>
        <v>0.40251630262050864</v>
      </c>
      <c r="U102">
        <f t="shared" si="30"/>
        <v>0.52476932533034293</v>
      </c>
      <c r="V102" s="33">
        <f t="shared" si="31"/>
        <v>0.56952371467052332</v>
      </c>
      <c r="Y102" s="32">
        <f t="shared" si="32"/>
        <v>0.5071585490698205</v>
      </c>
      <c r="Z102">
        <f t="shared" si="33"/>
        <v>0.62540259003158838</v>
      </c>
      <c r="AA102" s="33">
        <f t="shared" si="34"/>
        <v>0.66868937124205807</v>
      </c>
    </row>
    <row r="103" spans="3:27" x14ac:dyDescent="0.2">
      <c r="C103" s="99">
        <v>45973</v>
      </c>
      <c r="D103" s="100">
        <v>57.59</v>
      </c>
      <c r="E103" s="97">
        <f t="shared" si="24"/>
        <v>-1.3024850042844868E-2</v>
      </c>
      <c r="G103" s="83">
        <v>45975</v>
      </c>
      <c r="H103" s="84">
        <v>637</v>
      </c>
      <c r="I103" s="17">
        <f t="shared" si="25"/>
        <v>3.1407035175886542E-4</v>
      </c>
      <c r="K103" s="3">
        <f t="shared" si="22"/>
        <v>6.7574752997493293E-3</v>
      </c>
      <c r="L103" s="3">
        <f t="shared" si="23"/>
        <v>-6.6673661752618971E-3</v>
      </c>
      <c r="N103" s="41">
        <v>85</v>
      </c>
      <c r="O103">
        <f t="shared" si="26"/>
        <v>0.83656782860767831</v>
      </c>
      <c r="P103">
        <f t="shared" si="27"/>
        <v>1.042270472221495</v>
      </c>
      <c r="Q103" s="33">
        <f t="shared" si="28"/>
        <v>1.1175741006843074</v>
      </c>
      <c r="R103" s="2"/>
      <c r="T103" s="32">
        <f t="shared" si="29"/>
        <v>0.40554659948876881</v>
      </c>
      <c r="U103">
        <f t="shared" si="30"/>
        <v>0.52852516579509323</v>
      </c>
      <c r="V103" s="33">
        <f t="shared" si="31"/>
        <v>0.57354516215161422</v>
      </c>
      <c r="Y103" s="32">
        <f t="shared" si="32"/>
        <v>0.51149235304349072</v>
      </c>
      <c r="Z103">
        <f t="shared" si="33"/>
        <v>0.63043814521632302</v>
      </c>
      <c r="AA103" s="33">
        <f t="shared" si="34"/>
        <v>0.67398182352613456</v>
      </c>
    </row>
    <row r="104" spans="3:27" x14ac:dyDescent="0.2">
      <c r="C104" s="99">
        <v>45972</v>
      </c>
      <c r="D104" s="100">
        <v>58.35</v>
      </c>
      <c r="E104" s="97">
        <f t="shared" si="24"/>
        <v>-3.0569862103339365E-2</v>
      </c>
      <c r="G104" s="83">
        <v>45974</v>
      </c>
      <c r="H104" s="84">
        <v>636.79999999999995</v>
      </c>
      <c r="I104" s="17">
        <f t="shared" si="25"/>
        <v>-1.6069221260815961E-2</v>
      </c>
      <c r="K104" s="3">
        <f t="shared" si="22"/>
        <v>7.4789509195499881E-3</v>
      </c>
      <c r="L104" s="3">
        <f t="shared" si="23"/>
        <v>-7.3687301768853236E-3</v>
      </c>
      <c r="N104" s="41">
        <v>86</v>
      </c>
      <c r="O104">
        <f t="shared" si="26"/>
        <v>0.84348077158197399</v>
      </c>
      <c r="P104">
        <f t="shared" si="27"/>
        <v>1.0503898926590449</v>
      </c>
      <c r="Q104" s="33">
        <f t="shared" si="28"/>
        <v>1.1261351884191049</v>
      </c>
      <c r="R104" s="2"/>
      <c r="T104" s="32">
        <f t="shared" si="29"/>
        <v>0.40856662529313159</v>
      </c>
      <c r="U104">
        <f t="shared" si="30"/>
        <v>0.53226647969816632</v>
      </c>
      <c r="V104" s="33">
        <f t="shared" si="31"/>
        <v>0.57755052521830375</v>
      </c>
      <c r="Y104" s="32">
        <f t="shared" si="32"/>
        <v>0.51581622276708439</v>
      </c>
      <c r="Z104">
        <f t="shared" si="33"/>
        <v>0.63545965020159501</v>
      </c>
      <c r="AA104" s="33">
        <f t="shared" si="34"/>
        <v>0.67925871884390321</v>
      </c>
    </row>
    <row r="105" spans="3:27" x14ac:dyDescent="0.2">
      <c r="C105" s="99">
        <v>45971</v>
      </c>
      <c r="D105" s="100">
        <v>60.19</v>
      </c>
      <c r="E105" s="97">
        <f t="shared" si="24"/>
        <v>2.2248641304347744E-2</v>
      </c>
      <c r="G105" s="83">
        <v>45973</v>
      </c>
      <c r="H105" s="84">
        <v>647.20000000000005</v>
      </c>
      <c r="I105" s="17">
        <f t="shared" si="25"/>
        <v>2.2594406699320696E-2</v>
      </c>
      <c r="K105" s="3">
        <f t="shared" si="22"/>
        <v>1.6912000711087713E-4</v>
      </c>
      <c r="L105" s="3">
        <f t="shared" si="23"/>
        <v>-1.6906282329912006E-4</v>
      </c>
      <c r="N105" s="41">
        <v>87</v>
      </c>
      <c r="O105">
        <f t="shared" si="26"/>
        <v>0.85037683324585434</v>
      </c>
      <c r="P105">
        <f t="shared" si="27"/>
        <v>1.0584854375371213</v>
      </c>
      <c r="Q105" s="33">
        <f t="shared" si="28"/>
        <v>1.1346698401395745</v>
      </c>
      <c r="R105" s="2"/>
      <c r="T105" s="32">
        <f t="shared" si="29"/>
        <v>0.41157655866836584</v>
      </c>
      <c r="U105">
        <f t="shared" si="30"/>
        <v>0.53599351968612474</v>
      </c>
      <c r="V105" s="33">
        <f t="shared" si="31"/>
        <v>0.58154008361139364</v>
      </c>
      <c r="Y105" s="32">
        <f t="shared" si="32"/>
        <v>0.52013033101749062</v>
      </c>
      <c r="Z105">
        <f t="shared" si="33"/>
        <v>0.64046734934905558</v>
      </c>
      <c r="AA105" s="33">
        <f t="shared" si="34"/>
        <v>0.68452032776276672</v>
      </c>
    </row>
    <row r="106" spans="3:27" x14ac:dyDescent="0.2">
      <c r="C106" s="99">
        <v>45968</v>
      </c>
      <c r="D106" s="100">
        <v>58.88</v>
      </c>
      <c r="E106" s="97">
        <f t="shared" si="24"/>
        <v>2.8292001397135953E-2</v>
      </c>
      <c r="G106" s="83">
        <v>45972</v>
      </c>
      <c r="H106" s="84">
        <v>632.9</v>
      </c>
      <c r="I106" s="17">
        <f t="shared" si="25"/>
        <v>2.4275772778766792E-2</v>
      </c>
      <c r="K106" s="3">
        <f t="shared" si="22"/>
        <v>-1.9528638815201952E-3</v>
      </c>
      <c r="L106" s="3">
        <f t="shared" si="23"/>
        <v>1.9605211433799219E-3</v>
      </c>
      <c r="N106" s="41">
        <v>88</v>
      </c>
      <c r="O106">
        <f t="shared" si="26"/>
        <v>0.85725630383443974</v>
      </c>
      <c r="P106">
        <f t="shared" si="27"/>
        <v>1.0665575173407933</v>
      </c>
      <c r="Q106" s="33">
        <f t="shared" si="28"/>
        <v>1.143178510351889</v>
      </c>
      <c r="R106" s="2"/>
      <c r="T106" s="32">
        <f t="shared" si="29"/>
        <v>0.41457657313046703</v>
      </c>
      <c r="U106">
        <f t="shared" si="30"/>
        <v>0.53970653116595224</v>
      </c>
      <c r="V106" s="33">
        <f t="shared" si="31"/>
        <v>0.58551410905572199</v>
      </c>
      <c r="Y106" s="32">
        <f t="shared" si="32"/>
        <v>0.5244348456206821</v>
      </c>
      <c r="Z106">
        <f t="shared" si="33"/>
        <v>0.6454614800181806</v>
      </c>
      <c r="AA106" s="33">
        <f t="shared" si="34"/>
        <v>0.68976691309702742</v>
      </c>
    </row>
    <row r="107" spans="3:27" x14ac:dyDescent="0.2">
      <c r="C107" s="99">
        <v>45967</v>
      </c>
      <c r="D107" s="100">
        <v>57.26</v>
      </c>
      <c r="E107" s="97">
        <f t="shared" si="24"/>
        <v>-2.8173794976239029E-2</v>
      </c>
      <c r="G107" s="83">
        <v>45971</v>
      </c>
      <c r="H107" s="84">
        <v>617.9</v>
      </c>
      <c r="I107" s="17">
        <f t="shared" si="25"/>
        <v>2.4370026525198825E-2</v>
      </c>
      <c r="K107" s="3">
        <f t="shared" si="22"/>
        <v>2.7033548400844556E-2</v>
      </c>
      <c r="L107" s="3">
        <f t="shared" si="23"/>
        <v>-2.5646895233587402E-2</v>
      </c>
      <c r="N107" s="41">
        <v>89</v>
      </c>
      <c r="O107">
        <f t="shared" si="26"/>
        <v>0.86411946536042383</v>
      </c>
      <c r="P107">
        <f t="shared" si="27"/>
        <v>1.0746065309259953</v>
      </c>
      <c r="Q107" s="33">
        <f t="shared" si="28"/>
        <v>1.1516616406859594</v>
      </c>
      <c r="R107" s="2"/>
      <c r="T107" s="32">
        <f t="shared" si="29"/>
        <v>0.41756683727968313</v>
      </c>
      <c r="U107">
        <f t="shared" si="30"/>
        <v>0.54340575259219703</v>
      </c>
      <c r="V107" s="33">
        <f t="shared" si="31"/>
        <v>0.58947286557810108</v>
      </c>
      <c r="Y107" s="32">
        <f t="shared" si="32"/>
        <v>0.52872992964808407</v>
      </c>
      <c r="Z107">
        <f t="shared" si="33"/>
        <v>0.65044227284399891</v>
      </c>
      <c r="AA107" s="33">
        <f t="shared" si="34"/>
        <v>0.6949987302153996</v>
      </c>
    </row>
    <row r="108" spans="3:27" x14ac:dyDescent="0.2">
      <c r="C108" s="99">
        <v>45966</v>
      </c>
      <c r="D108" s="100">
        <v>58.92</v>
      </c>
      <c r="E108" s="97">
        <f t="shared" si="24"/>
        <v>3.0430220356768137E-2</v>
      </c>
      <c r="G108" s="83">
        <v>45968</v>
      </c>
      <c r="H108" s="84">
        <v>603.20000000000005</v>
      </c>
      <c r="I108" s="17">
        <f t="shared" si="25"/>
        <v>5.3333333333334095E-3</v>
      </c>
      <c r="K108" s="3">
        <f t="shared" si="22"/>
        <v>-1.217786829599455E-2</v>
      </c>
      <c r="L108" s="3">
        <f t="shared" si="23"/>
        <v>1.2481873519612762E-2</v>
      </c>
      <c r="N108" s="41">
        <v>90</v>
      </c>
      <c r="O108">
        <f t="shared" si="26"/>
        <v>0.87096659193654491</v>
      </c>
      <c r="P108">
        <f t="shared" si="27"/>
        <v>1.0826328659756048</v>
      </c>
      <c r="Q108" s="33">
        <f t="shared" si="28"/>
        <v>1.1601196604004214</v>
      </c>
      <c r="R108" s="2"/>
      <c r="T108" s="32">
        <f t="shared" si="29"/>
        <v>0.42054751499330328</v>
      </c>
      <c r="U108">
        <f t="shared" si="30"/>
        <v>0.54709141573963638</v>
      </c>
      <c r="V108" s="33">
        <f t="shared" si="31"/>
        <v>0.59341660980922195</v>
      </c>
      <c r="Y108" s="32">
        <f t="shared" si="32"/>
        <v>0.53301574160304011</v>
      </c>
      <c r="Z108">
        <f t="shared" si="33"/>
        <v>0.65540995200081409</v>
      </c>
      <c r="AA108" s="33">
        <f t="shared" si="34"/>
        <v>0.70021602733301336</v>
      </c>
    </row>
    <row r="109" spans="3:27" x14ac:dyDescent="0.2">
      <c r="C109" s="99">
        <v>45965</v>
      </c>
      <c r="D109" s="100">
        <v>57.18</v>
      </c>
      <c r="E109" s="97">
        <f t="shared" si="24"/>
        <v>-5.5344457293903873E-2</v>
      </c>
      <c r="G109" s="83">
        <v>45967</v>
      </c>
      <c r="H109" s="84">
        <v>600</v>
      </c>
      <c r="I109" s="17">
        <f t="shared" si="25"/>
        <v>-2.0887728459529954E-2</v>
      </c>
      <c r="K109" s="3">
        <f t="shared" si="22"/>
        <v>1.8237721199236216E-2</v>
      </c>
      <c r="L109" s="3">
        <f t="shared" si="23"/>
        <v>-1.7595902858086949E-2</v>
      </c>
      <c r="N109" s="41">
        <v>91</v>
      </c>
      <c r="O109">
        <f t="shared" si="26"/>
        <v>0.87779795008197703</v>
      </c>
      <c r="P109">
        <f t="shared" si="27"/>
        <v>1.0906368994327749</v>
      </c>
      <c r="Q109" s="33">
        <f t="shared" si="28"/>
        <v>1.1685529868624418</v>
      </c>
      <c r="R109" s="2"/>
      <c r="T109" s="32">
        <f t="shared" si="29"/>
        <v>0.42351876560883178</v>
      </c>
      <c r="U109">
        <f t="shared" si="30"/>
        <v>0.55076374596234345</v>
      </c>
      <c r="V109" s="33">
        <f t="shared" si="31"/>
        <v>0.59734559127050479</v>
      </c>
      <c r="Y109" s="32">
        <f t="shared" si="32"/>
        <v>0.53729243559798023</v>
      </c>
      <c r="Z109">
        <f t="shared" si="33"/>
        <v>0.66036473545277663</v>
      </c>
      <c r="AA109" s="33">
        <f t="shared" si="34"/>
        <v>0.70541904578885883</v>
      </c>
    </row>
    <row r="110" spans="3:27" x14ac:dyDescent="0.2">
      <c r="C110" s="99">
        <v>45964</v>
      </c>
      <c r="D110" s="100">
        <v>60.53</v>
      </c>
      <c r="E110" s="97">
        <f t="shared" si="24"/>
        <v>-2.8410914927768798E-2</v>
      </c>
      <c r="G110" s="83">
        <v>45966</v>
      </c>
      <c r="H110" s="84">
        <v>612.79999999999995</v>
      </c>
      <c r="I110" s="17">
        <f t="shared" si="25"/>
        <v>2.6178010471202698E-3</v>
      </c>
      <c r="K110" s="3">
        <f t="shared" si="22"/>
        <v>1.5968024163518824E-2</v>
      </c>
      <c r="L110" s="3">
        <f t="shared" si="23"/>
        <v>-1.5473850525336326E-2</v>
      </c>
      <c r="N110" s="41">
        <v>92</v>
      </c>
      <c r="O110">
        <f t="shared" si="26"/>
        <v>0.88461379901360959</v>
      </c>
      <c r="P110">
        <f t="shared" si="27"/>
        <v>1.0986189979128993</v>
      </c>
      <c r="Q110" s="33">
        <f t="shared" si="28"/>
        <v>1.1769620260038611</v>
      </c>
      <c r="R110" s="2"/>
      <c r="T110" s="32">
        <f t="shared" si="29"/>
        <v>0.42648074409812958</v>
      </c>
      <c r="U110">
        <f t="shared" si="30"/>
        <v>0.55442296243997835</v>
      </c>
      <c r="V110" s="33">
        <f t="shared" si="31"/>
        <v>0.60126005264680271</v>
      </c>
      <c r="Y110" s="32">
        <f t="shared" si="32"/>
        <v>0.54156016152285125</v>
      </c>
      <c r="Z110">
        <f t="shared" si="33"/>
        <v>0.66530683519209899</v>
      </c>
      <c r="AA110" s="33">
        <f t="shared" si="34"/>
        <v>0.71060802030954684</v>
      </c>
    </row>
    <row r="111" spans="3:27" ht="17" x14ac:dyDescent="0.2">
      <c r="C111" s="99" t="s">
        <v>68</v>
      </c>
      <c r="D111" s="100">
        <v>62.3</v>
      </c>
      <c r="E111" s="97">
        <f t="shared" si="24"/>
        <v>3.1456953642384086E-2</v>
      </c>
      <c r="G111" s="83">
        <v>45965</v>
      </c>
      <c r="H111" s="84">
        <v>611.20000000000005</v>
      </c>
      <c r="I111" s="17">
        <f t="shared" si="25"/>
        <v>-9.0791180285342242E-3</v>
      </c>
      <c r="K111" s="3">
        <f t="shared" si="22"/>
        <v>-1.9649909541921879E-2</v>
      </c>
      <c r="L111" s="3">
        <f t="shared" si="23"/>
        <v>2.045373773447514E-2</v>
      </c>
      <c r="N111" s="41">
        <v>93</v>
      </c>
      <c r="O111">
        <f t="shared" si="26"/>
        <v>0.89141439092311869</v>
      </c>
      <c r="P111">
        <f t="shared" si="27"/>
        <v>1.1065795180954783</v>
      </c>
      <c r="Q111" s="33">
        <f t="shared" si="28"/>
        <v>1.1853471727550839</v>
      </c>
      <c r="R111" s="2"/>
      <c r="T111" s="32">
        <f t="shared" si="29"/>
        <v>0.42943360123305918</v>
      </c>
      <c r="U111">
        <f t="shared" si="30"/>
        <v>0.55806927841206366</v>
      </c>
      <c r="V111" s="33">
        <f t="shared" si="31"/>
        <v>0.60516023004580033</v>
      </c>
      <c r="Y111" s="32">
        <f t="shared" si="32"/>
        <v>0.54581906520532997</v>
      </c>
      <c r="Z111">
        <f t="shared" si="33"/>
        <v>0.67023645746564731</v>
      </c>
      <c r="AA111" s="33">
        <f t="shared" si="34"/>
        <v>0.71578317926020185</v>
      </c>
    </row>
    <row r="112" spans="3:27" ht="17" x14ac:dyDescent="0.2">
      <c r="C112" s="99" t="s">
        <v>67</v>
      </c>
      <c r="D112" s="100">
        <v>60.4</v>
      </c>
      <c r="E112" s="97">
        <f t="shared" si="24"/>
        <v>-3.7450199203187276E-2</v>
      </c>
      <c r="G112" s="83">
        <v>45964</v>
      </c>
      <c r="H112" s="84">
        <v>616.79999999999995</v>
      </c>
      <c r="I112" s="17">
        <f t="shared" si="25"/>
        <v>7.6784839078580811E-3</v>
      </c>
      <c r="K112" s="3">
        <f t="shared" si="22"/>
        <v>2.3442258818030599E-2</v>
      </c>
      <c r="L112" s="3">
        <f t="shared" si="23"/>
        <v>-2.2392401858196229E-2</v>
      </c>
      <c r="N112" s="41">
        <v>94</v>
      </c>
      <c r="O112">
        <f t="shared" si="26"/>
        <v>0.89819997124066364</v>
      </c>
      <c r="P112">
        <f t="shared" si="27"/>
        <v>1.1145188070970697</v>
      </c>
      <c r="Q112" s="33">
        <f t="shared" si="28"/>
        <v>1.1937088114580283</v>
      </c>
      <c r="R112" s="2"/>
      <c r="T112" s="32">
        <f t="shared" si="29"/>
        <v>0.43237748374313573</v>
      </c>
      <c r="U112">
        <f t="shared" si="30"/>
        <v>0.5617029014009528</v>
      </c>
      <c r="V112" s="33">
        <f t="shared" si="31"/>
        <v>0.60904635324489464</v>
      </c>
      <c r="Y112" s="32">
        <f t="shared" si="32"/>
        <v>0.55006928856330439</v>
      </c>
      <c r="Z112">
        <f t="shared" si="33"/>
        <v>0.67515380299059902</v>
      </c>
      <c r="AA112" s="33">
        <f t="shared" si="34"/>
        <v>0.72094474488324656</v>
      </c>
    </row>
    <row r="113" spans="3:33" ht="36" customHeight="1" x14ac:dyDescent="0.2">
      <c r="C113" s="99" t="s">
        <v>66</v>
      </c>
      <c r="D113" s="100">
        <v>62.75</v>
      </c>
      <c r="E113" s="97">
        <f t="shared" si="24"/>
        <v>-2.6980927275546518E-2</v>
      </c>
      <c r="G113" s="83">
        <v>45961</v>
      </c>
      <c r="H113" s="84">
        <v>612.1</v>
      </c>
      <c r="I113" s="17">
        <f t="shared" si="25"/>
        <v>3.2781511227667594E-3</v>
      </c>
      <c r="K113" s="3">
        <f t="shared" si="22"/>
        <v>1.5549067457428073E-2</v>
      </c>
      <c r="L113" s="3">
        <f t="shared" si="23"/>
        <v>-1.5080104338188963E-2</v>
      </c>
      <c r="N113" s="41">
        <v>95</v>
      </c>
      <c r="O113">
        <f t="shared" si="26"/>
        <v>0.90497077888599553</v>
      </c>
      <c r="P113">
        <f t="shared" si="27"/>
        <v>1.1224372028264371</v>
      </c>
      <c r="Q113" s="33">
        <f t="shared" si="28"/>
        <v>1.2020473162593568</v>
      </c>
      <c r="R113" s="2"/>
      <c r="T113" s="32">
        <f t="shared" si="29"/>
        <v>0.4353125344656506</v>
      </c>
      <c r="U113">
        <f t="shared" si="30"/>
        <v>0.56532403342415261</v>
      </c>
      <c r="V113" s="33">
        <f t="shared" si="31"/>
        <v>0.61291864592628731</v>
      </c>
      <c r="Y113" s="32">
        <f t="shared" si="32"/>
        <v>0.55431096975007477</v>
      </c>
      <c r="Z113">
        <f t="shared" si="33"/>
        <v>0.6800590671598028</v>
      </c>
      <c r="AA113" s="33">
        <f t="shared" si="34"/>
        <v>0.72609293352578486</v>
      </c>
      <c r="AD113" s="113" t="s">
        <v>119</v>
      </c>
      <c r="AE113" s="114" t="s">
        <v>111</v>
      </c>
      <c r="AF113" s="115" t="s">
        <v>112</v>
      </c>
      <c r="AG113" s="116" t="s">
        <v>12</v>
      </c>
    </row>
    <row r="114" spans="3:33" ht="17" x14ac:dyDescent="0.2">
      <c r="C114" s="99" t="s">
        <v>65</v>
      </c>
      <c r="D114" s="100">
        <v>64.489999999999995</v>
      </c>
      <c r="E114" s="97">
        <f t="shared" si="24"/>
        <v>-1.2101715686274606E-2</v>
      </c>
      <c r="G114" s="83">
        <v>45960</v>
      </c>
      <c r="H114" s="84">
        <v>610.1</v>
      </c>
      <c r="I114" s="17">
        <f t="shared" si="25"/>
        <v>-1.4059469941822774E-2</v>
      </c>
      <c r="K114" s="3">
        <f t="shared" si="22"/>
        <v>-9.9086833464245979E-4</v>
      </c>
      <c r="L114" s="3">
        <f t="shared" si="23"/>
        <v>9.9283587390034951E-4</v>
      </c>
      <c r="N114" s="41">
        <v>96</v>
      </c>
      <c r="O114">
        <f t="shared" si="26"/>
        <v>0.91172704650769942</v>
      </c>
      <c r="P114">
        <f t="shared" si="27"/>
        <v>1.1303350343229139</v>
      </c>
      <c r="Q114" s="33">
        <f t="shared" si="28"/>
        <v>1.2103630514851305</v>
      </c>
      <c r="R114" s="2"/>
      <c r="T114" s="32">
        <f t="shared" si="29"/>
        <v>0.43823889248870174</v>
      </c>
      <c r="U114">
        <f t="shared" si="30"/>
        <v>0.56893287119661429</v>
      </c>
      <c r="V114" s="33">
        <f t="shared" si="31"/>
        <v>0.61677732590096934</v>
      </c>
      <c r="Y114" s="32">
        <f t="shared" si="32"/>
        <v>0.55854424329269303</v>
      </c>
      <c r="Z114">
        <f t="shared" si="33"/>
        <v>0.68495244023743562</v>
      </c>
      <c r="AA114" s="33">
        <f t="shared" si="34"/>
        <v>0.73122795585624178</v>
      </c>
      <c r="AD114" s="117">
        <v>0.95</v>
      </c>
      <c r="AE114" s="112">
        <f>O118</f>
        <v>0.93861116271947354</v>
      </c>
      <c r="AF114" s="112">
        <f>T118</f>
        <v>0.44986005558778674</v>
      </c>
      <c r="AG114" s="112">
        <f>Y118</f>
        <v>0.57539583186065946</v>
      </c>
    </row>
    <row r="115" spans="3:33" ht="17" x14ac:dyDescent="0.2">
      <c r="C115" s="99" t="s">
        <v>64</v>
      </c>
      <c r="D115" s="100">
        <v>65.28</v>
      </c>
      <c r="E115" s="97">
        <f t="shared" si="24"/>
        <v>3.899411109342675E-2</v>
      </c>
      <c r="G115" s="83">
        <v>45959</v>
      </c>
      <c r="H115" s="84">
        <v>618.79999999999995</v>
      </c>
      <c r="I115" s="17">
        <f t="shared" si="25"/>
        <v>6.8337129840545588E-3</v>
      </c>
      <c r="K115" s="3">
        <f t="shared" si="22"/>
        <v>-1.5476698936978055E-2</v>
      </c>
      <c r="L115" s="3">
        <f t="shared" si="23"/>
        <v>1.5971057432142978E-2</v>
      </c>
      <c r="N115" s="41">
        <v>97</v>
      </c>
      <c r="O115">
        <f t="shared" si="26"/>
        <v>0.91846900071125059</v>
      </c>
      <c r="P115">
        <f t="shared" si="27"/>
        <v>1.1382126220789481</v>
      </c>
      <c r="Q115" s="33">
        <f t="shared" si="28"/>
        <v>1.2186563719979429</v>
      </c>
      <c r="R115" s="2"/>
      <c r="T115" s="32">
        <f t="shared" si="29"/>
        <v>0.44115669328753615</v>
      </c>
      <c r="U115">
        <f t="shared" si="30"/>
        <v>0.57252960632356531</v>
      </c>
      <c r="V115" s="33">
        <f t="shared" si="31"/>
        <v>0.62062260532223246</v>
      </c>
      <c r="Y115" s="32">
        <f t="shared" si="32"/>
        <v>0.56276924022383479</v>
      </c>
      <c r="Z115">
        <f t="shared" si="33"/>
        <v>0.68983410754551122</v>
      </c>
      <c r="AA115" s="33">
        <f t="shared" si="34"/>
        <v>0.736350017070873</v>
      </c>
      <c r="AD115" s="117">
        <v>0.99</v>
      </c>
      <c r="AE115" s="112">
        <f>P118</f>
        <v>1.1617270059877391</v>
      </c>
      <c r="AF115" s="112">
        <f>U118</f>
        <v>0.58324903904135139</v>
      </c>
      <c r="AG115" s="112">
        <f>Z118</f>
        <v>0.70441065761893573</v>
      </c>
    </row>
    <row r="116" spans="3:33" ht="17" x14ac:dyDescent="0.2">
      <c r="C116" s="99" t="s">
        <v>63</v>
      </c>
      <c r="D116" s="100">
        <v>62.83</v>
      </c>
      <c r="E116" s="97">
        <f t="shared" si="24"/>
        <v>4.3158567774935425E-3</v>
      </c>
      <c r="G116" s="83">
        <v>45958</v>
      </c>
      <c r="H116" s="84">
        <v>614.6</v>
      </c>
      <c r="I116" s="17">
        <f t="shared" si="25"/>
        <v>5.0695012264922691E-3</v>
      </c>
      <c r="K116" s="3">
        <f t="shared" si="22"/>
        <v>3.7520290250963185E-4</v>
      </c>
      <c r="L116" s="3">
        <f t="shared" si="23"/>
        <v>-3.7492155919518491E-4</v>
      </c>
      <c r="N116" s="41">
        <v>98</v>
      </c>
      <c r="O116">
        <f t="shared" si="26"/>
        <v>0.92519686227651776</v>
      </c>
      <c r="P116">
        <f t="shared" si="27"/>
        <v>1.1460702783477217</v>
      </c>
      <c r="Q116" s="33">
        <f t="shared" si="28"/>
        <v>1.2269276235375277</v>
      </c>
      <c r="R116" s="2"/>
      <c r="T116" s="32">
        <f t="shared" si="29"/>
        <v>0.44406606885458366</v>
      </c>
      <c r="U116">
        <f t="shared" si="30"/>
        <v>0.57611442548441771</v>
      </c>
      <c r="V116" s="33">
        <f t="shared" si="31"/>
        <v>0.62445469088930061</v>
      </c>
      <c r="Y116" s="32">
        <f t="shared" si="32"/>
        <v>0.56698608820756857</v>
      </c>
      <c r="Z116">
        <f t="shared" si="33"/>
        <v>0.69470424964175781</v>
      </c>
      <c r="AA116" s="33">
        <f t="shared" si="34"/>
        <v>0.74145931709071911</v>
      </c>
      <c r="AD116" s="118">
        <v>0.995</v>
      </c>
      <c r="AE116" s="112">
        <f>Q118</f>
        <v>1.2434052589769584</v>
      </c>
      <c r="AF116" s="112">
        <f>V118</f>
        <v>0.63208008114442304</v>
      </c>
      <c r="AG116" s="112">
        <f>AA118</f>
        <v>0.75164040797321419</v>
      </c>
    </row>
    <row r="117" spans="3:33" ht="17" x14ac:dyDescent="0.2">
      <c r="C117" s="99" t="s">
        <v>62</v>
      </c>
      <c r="D117" s="100">
        <v>62.56</v>
      </c>
      <c r="E117" s="97">
        <f t="shared" si="24"/>
        <v>2.2055219735337386E-2</v>
      </c>
      <c r="G117" s="83">
        <v>45957</v>
      </c>
      <c r="H117" s="84">
        <v>611.5</v>
      </c>
      <c r="I117" s="17">
        <f t="shared" si="25"/>
        <v>-1.6326530612244899E-3</v>
      </c>
      <c r="K117" s="3">
        <f t="shared" si="22"/>
        <v>-1.1588352732397316E-2</v>
      </c>
      <c r="L117" s="3">
        <f t="shared" si="23"/>
        <v>1.1863305059602737E-2</v>
      </c>
      <c r="N117" s="41">
        <v>99</v>
      </c>
      <c r="O117">
        <f t="shared" si="26"/>
        <v>0.93191084636530341</v>
      </c>
      <c r="P117">
        <f t="shared" si="27"/>
        <v>1.1539083074366774</v>
      </c>
      <c r="Q117" s="33">
        <f t="shared" si="28"/>
        <v>1.2351771430457668</v>
      </c>
      <c r="R117" s="2"/>
      <c r="T117" s="32">
        <f t="shared" si="29"/>
        <v>0.44696714782353375</v>
      </c>
      <c r="U117">
        <f t="shared" si="30"/>
        <v>0.5796875106082533</v>
      </c>
      <c r="V117" s="33">
        <f t="shared" si="31"/>
        <v>0.62827378404163403</v>
      </c>
      <c r="Y117" s="32">
        <f t="shared" si="32"/>
        <v>0.5711949116593642</v>
      </c>
      <c r="Z117">
        <f t="shared" si="33"/>
        <v>0.69956304248934864</v>
      </c>
      <c r="AA117" s="33">
        <f t="shared" si="34"/>
        <v>0.74655605074953768</v>
      </c>
    </row>
    <row r="118" spans="3:33" ht="17" x14ac:dyDescent="0.2">
      <c r="C118" s="99" t="s">
        <v>61</v>
      </c>
      <c r="D118" s="100">
        <v>61.21</v>
      </c>
      <c r="E118" s="97">
        <f t="shared" si="24"/>
        <v>-3.5911167112931186E-2</v>
      </c>
      <c r="G118" s="83">
        <v>45954</v>
      </c>
      <c r="H118" s="84">
        <v>612.5</v>
      </c>
      <c r="I118" s="17">
        <f t="shared" si="25"/>
        <v>-1.336984536082467E-2</v>
      </c>
      <c r="K118" s="3">
        <f t="shared" si="22"/>
        <v>1.1690479644185939E-2</v>
      </c>
      <c r="L118" s="3">
        <f t="shared" si="23"/>
        <v>-1.1423389831598142E-2</v>
      </c>
      <c r="N118" s="41">
        <v>100</v>
      </c>
      <c r="O118" s="35">
        <f t="shared" si="26"/>
        <v>0.93861116271947354</v>
      </c>
      <c r="P118" s="35">
        <f t="shared" si="27"/>
        <v>1.1617270059877391</v>
      </c>
      <c r="Q118" s="36">
        <f t="shared" si="28"/>
        <v>1.2434052589769584</v>
      </c>
      <c r="R118" s="2"/>
      <c r="T118" s="34">
        <f t="shared" si="29"/>
        <v>0.44986005558778674</v>
      </c>
      <c r="U118" s="35">
        <f t="shared" si="30"/>
        <v>0.58324903904135139</v>
      </c>
      <c r="V118" s="36">
        <f t="shared" si="31"/>
        <v>0.63208008114442304</v>
      </c>
      <c r="Y118" s="34">
        <f t="shared" si="32"/>
        <v>0.57539583186065946</v>
      </c>
      <c r="Z118" s="35">
        <f t="shared" si="33"/>
        <v>0.70441065761893573</v>
      </c>
      <c r="AA118" s="36">
        <f t="shared" si="34"/>
        <v>0.75164040797321419</v>
      </c>
    </row>
    <row r="119" spans="3:33" ht="17" x14ac:dyDescent="0.2">
      <c r="C119" s="99" t="s">
        <v>60</v>
      </c>
      <c r="D119" s="100">
        <v>63.49</v>
      </c>
      <c r="E119" s="97">
        <f t="shared" si="24"/>
        <v>8.898776418242528E-3</v>
      </c>
      <c r="G119" s="83">
        <v>45953</v>
      </c>
      <c r="H119" s="84">
        <v>620.79999999999995</v>
      </c>
      <c r="I119" s="17">
        <f t="shared" si="25"/>
        <v>-3.8510911424905181E-3</v>
      </c>
      <c r="K119" s="3">
        <f t="shared" si="22"/>
        <v>-6.3187050369895312E-3</v>
      </c>
      <c r="L119" s="3">
        <f t="shared" si="23"/>
        <v>6.3995791429194877E-3</v>
      </c>
      <c r="P119" s="2"/>
      <c r="Q119" s="2"/>
      <c r="R119" s="2"/>
      <c r="T119" s="2"/>
      <c r="U119" s="2"/>
    </row>
    <row r="120" spans="3:33" ht="17" x14ac:dyDescent="0.2">
      <c r="C120" s="99" t="s">
        <v>59</v>
      </c>
      <c r="D120" s="100">
        <v>62.93</v>
      </c>
      <c r="E120" s="97">
        <f t="shared" si="24"/>
        <v>4.0681329584918158E-2</v>
      </c>
      <c r="G120" s="83">
        <v>45952</v>
      </c>
      <c r="H120" s="84">
        <v>623.20000000000005</v>
      </c>
      <c r="I120" s="17">
        <f t="shared" si="25"/>
        <v>1.0376134889753716E-2</v>
      </c>
      <c r="K120" s="3">
        <f t="shared" si="22"/>
        <v>-1.4560266353222577E-2</v>
      </c>
      <c r="L120" s="3">
        <f t="shared" si="23"/>
        <v>1.4996986591766225E-2</v>
      </c>
      <c r="P120" s="2"/>
      <c r="Q120" s="2"/>
      <c r="R120" s="2"/>
      <c r="T120" s="2"/>
      <c r="U120" s="2"/>
    </row>
    <row r="121" spans="3:33" ht="17" x14ac:dyDescent="0.2">
      <c r="C121" s="99" t="s">
        <v>58</v>
      </c>
      <c r="D121" s="100">
        <v>60.47</v>
      </c>
      <c r="E121" s="97">
        <f t="shared" si="24"/>
        <v>-1.5627543545498956E-2</v>
      </c>
      <c r="G121" s="83">
        <v>45951</v>
      </c>
      <c r="H121" s="84">
        <v>616.79999999999995</v>
      </c>
      <c r="I121" s="17">
        <f t="shared" si="25"/>
        <v>7.6784839078580811E-3</v>
      </c>
      <c r="K121" s="3">
        <f t="shared" si="22"/>
        <v>1.1838012786999526E-2</v>
      </c>
      <c r="L121" s="3">
        <f t="shared" si="23"/>
        <v>-1.1564218064364334E-2</v>
      </c>
    </row>
    <row r="122" spans="3:33" ht="29" x14ac:dyDescent="0.35">
      <c r="C122" s="99" t="s">
        <v>57</v>
      </c>
      <c r="D122" s="100">
        <v>61.43</v>
      </c>
      <c r="E122" s="97">
        <f t="shared" si="24"/>
        <v>-2.7544720595219282E-2</v>
      </c>
      <c r="G122" s="83">
        <v>45950</v>
      </c>
      <c r="H122" s="84">
        <v>612.1</v>
      </c>
      <c r="I122" s="17">
        <f t="shared" si="25"/>
        <v>1.0566286940729697E-2</v>
      </c>
      <c r="K122" s="3">
        <f t="shared" si="22"/>
        <v>1.9595249438758729E-2</v>
      </c>
      <c r="L122" s="3">
        <f t="shared" si="23"/>
        <v>-1.885626308162416E-2</v>
      </c>
      <c r="P122" s="80" t="s">
        <v>48</v>
      </c>
      <c r="S122" s="2">
        <f>Y118</f>
        <v>0.57539583186065946</v>
      </c>
      <c r="T122" s="81" t="s">
        <v>49</v>
      </c>
      <c r="U122">
        <f>0.5*O118+0.5*T118</f>
        <v>0.69423560915363014</v>
      </c>
      <c r="V122" s="2"/>
      <c r="X122" s="2"/>
      <c r="Y122" s="2"/>
    </row>
    <row r="123" spans="3:33" ht="17" x14ac:dyDescent="0.2">
      <c r="C123" s="99" t="s">
        <v>56</v>
      </c>
      <c r="D123" s="100">
        <v>63.17</v>
      </c>
      <c r="E123" s="97">
        <f t="shared" si="24"/>
        <v>-1.1578782663119933E-2</v>
      </c>
      <c r="G123" s="83">
        <v>45947</v>
      </c>
      <c r="H123" s="84">
        <v>605.70000000000005</v>
      </c>
      <c r="I123" s="17">
        <f t="shared" si="25"/>
        <v>5.8120225838591824E-3</v>
      </c>
      <c r="K123" s="3">
        <f t="shared" si="22"/>
        <v>8.7972642340860795E-3</v>
      </c>
      <c r="L123" s="3">
        <f t="shared" si="23"/>
        <v>-8.64515677706028E-3</v>
      </c>
      <c r="S123">
        <f>Z118</f>
        <v>0.70441065761893573</v>
      </c>
      <c r="T123" s="81" t="s">
        <v>49</v>
      </c>
      <c r="U123" s="2">
        <f>0.5*P118+0.5*U118</f>
        <v>0.87248802251454527</v>
      </c>
      <c r="V123" s="2"/>
      <c r="X123" s="2"/>
      <c r="Y123" s="2"/>
    </row>
    <row r="124" spans="3:33" ht="17" x14ac:dyDescent="0.2">
      <c r="C124" s="99" t="s">
        <v>55</v>
      </c>
      <c r="D124" s="100">
        <v>63.91</v>
      </c>
      <c r="E124" s="97">
        <f t="shared" si="24"/>
        <v>-2.8870992250417955E-2</v>
      </c>
      <c r="G124" s="83">
        <v>45946</v>
      </c>
      <c r="H124" s="84">
        <v>602.20000000000005</v>
      </c>
      <c r="I124" s="17">
        <f t="shared" si="25"/>
        <v>7.1918381000168393E-3</v>
      </c>
      <c r="K124" s="3">
        <f t="shared" si="22"/>
        <v>1.8567476649680132E-2</v>
      </c>
      <c r="L124" s="3">
        <f t="shared" si="23"/>
        <v>-1.7902662127636134E-2</v>
      </c>
      <c r="S124">
        <f>AA118</f>
        <v>0.75164040797321419</v>
      </c>
      <c r="T124" s="81" t="s">
        <v>49</v>
      </c>
      <c r="U124">
        <f>0.5*Q118+0.5*V118</f>
        <v>0.93774267006069079</v>
      </c>
      <c r="V124" s="2"/>
      <c r="X124" s="2"/>
      <c r="Y124" s="2"/>
    </row>
    <row r="125" spans="3:33" ht="17" x14ac:dyDescent="0.2">
      <c r="C125" s="99" t="s">
        <v>54</v>
      </c>
      <c r="D125" s="100">
        <v>65.81</v>
      </c>
      <c r="E125" s="97">
        <f t="shared" si="24"/>
        <v>-5.8912386706948721E-3</v>
      </c>
      <c r="G125" s="83">
        <v>45945</v>
      </c>
      <c r="H125" s="84">
        <v>597.9</v>
      </c>
      <c r="I125" s="17">
        <f t="shared" si="25"/>
        <v>0.12218468468468474</v>
      </c>
      <c r="K125" s="3">
        <f t="shared" si="22"/>
        <v>6.4417460310941588E-2</v>
      </c>
      <c r="L125" s="3">
        <f t="shared" si="23"/>
        <v>-5.7065439006310635E-2</v>
      </c>
      <c r="T125" s="2"/>
      <c r="U125" s="2"/>
      <c r="V125" s="2"/>
      <c r="X125" s="2"/>
      <c r="Y125" s="2"/>
    </row>
    <row r="126" spans="3:33" ht="17" x14ac:dyDescent="0.2">
      <c r="C126" s="99" t="s">
        <v>53</v>
      </c>
      <c r="D126" s="100">
        <v>66.2</v>
      </c>
      <c r="E126" s="97">
        <f t="shared" si="24"/>
        <v>-3.6950829211521562E-2</v>
      </c>
      <c r="G126" s="83">
        <v>45944</v>
      </c>
      <c r="H126" s="84">
        <v>532.79999999999995</v>
      </c>
      <c r="I126" s="17">
        <f t="shared" si="25"/>
        <v>-1.4063656550703225E-2</v>
      </c>
      <c r="K126" s="3">
        <f t="shared" si="22"/>
        <v>1.1882660488705832E-2</v>
      </c>
      <c r="L126" s="3">
        <f t="shared" si="23"/>
        <v>-1.1606820669957047E-2</v>
      </c>
      <c r="T126" s="2"/>
      <c r="U126" s="2"/>
      <c r="V126" s="2"/>
      <c r="X126" s="2"/>
      <c r="Y126" s="2"/>
    </row>
    <row r="127" spans="3:33" ht="17" x14ac:dyDescent="0.2">
      <c r="C127" s="99" t="s">
        <v>52</v>
      </c>
      <c r="D127" s="100">
        <v>68.739999999999995</v>
      </c>
      <c r="E127" s="97">
        <f t="shared" si="24"/>
        <v>-1.8840993434199364E-2</v>
      </c>
      <c r="G127" s="83">
        <v>45943</v>
      </c>
      <c r="H127" s="84">
        <v>540.4</v>
      </c>
      <c r="I127" s="17">
        <f t="shared" si="25"/>
        <v>-1.0256410256410298E-2</v>
      </c>
      <c r="K127" s="3">
        <f t="shared" si="22"/>
        <v>4.3747155763449374E-3</v>
      </c>
      <c r="L127" s="3">
        <f t="shared" si="23"/>
        <v>-4.3367712944789331E-3</v>
      </c>
      <c r="T127" s="2"/>
      <c r="U127" s="2"/>
      <c r="V127" s="2"/>
      <c r="X127" s="2"/>
      <c r="Y127" s="2"/>
    </row>
    <row r="128" spans="3:33" ht="17" x14ac:dyDescent="0.2">
      <c r="C128" s="99" t="s">
        <v>51</v>
      </c>
      <c r="D128" s="100">
        <v>70.06</v>
      </c>
      <c r="E128" s="119">
        <f t="shared" si="24"/>
        <v>1.3452914798206378E-2</v>
      </c>
      <c r="G128" s="88">
        <v>45940</v>
      </c>
      <c r="H128" s="89">
        <v>546</v>
      </c>
      <c r="I128" s="92">
        <f t="shared" si="25"/>
        <v>-2.3605150214592353E-2</v>
      </c>
      <c r="K128" s="3">
        <f t="shared" si="22"/>
        <v>-1.8283071897907337E-2</v>
      </c>
      <c r="L128" s="3">
        <f t="shared" si="23"/>
        <v>1.8976987138422205E-2</v>
      </c>
      <c r="M128" s="15" t="s">
        <v>122</v>
      </c>
      <c r="N128" s="15"/>
      <c r="O128" s="15"/>
      <c r="P128" s="15"/>
      <c r="Q128" s="15"/>
      <c r="R128" s="15"/>
      <c r="S128" s="15"/>
      <c r="T128" s="120"/>
      <c r="U128" s="120"/>
      <c r="V128" s="120"/>
      <c r="X128" s="2"/>
      <c r="Y128" s="2"/>
    </row>
    <row r="129" spans="3:25" ht="17" x14ac:dyDescent="0.2">
      <c r="C129" s="99" t="s">
        <v>50</v>
      </c>
      <c r="D129" s="100">
        <v>69.13</v>
      </c>
      <c r="E129" s="4"/>
      <c r="G129" s="93">
        <v>45939</v>
      </c>
      <c r="H129" s="94">
        <v>559.20000000000005</v>
      </c>
      <c r="I129" s="16"/>
      <c r="K129" s="3"/>
      <c r="L129" s="3"/>
      <c r="M129" s="15" t="s">
        <v>123</v>
      </c>
      <c r="N129" s="15"/>
      <c r="O129" s="15"/>
      <c r="P129" s="15"/>
      <c r="Q129" s="15"/>
      <c r="R129" s="15"/>
      <c r="S129" s="15"/>
      <c r="T129" s="120"/>
      <c r="U129" s="120"/>
      <c r="V129" s="120"/>
      <c r="X129" s="2"/>
      <c r="Y129" s="2"/>
    </row>
    <row r="130" spans="3:25" x14ac:dyDescent="0.2">
      <c r="E130" s="4"/>
      <c r="G130" s="90"/>
      <c r="H130" s="91"/>
      <c r="I130" s="18"/>
      <c r="M130" s="15" t="s">
        <v>124</v>
      </c>
      <c r="N130" s="15"/>
      <c r="O130" s="15"/>
      <c r="P130" s="15"/>
      <c r="Q130" s="15"/>
      <c r="R130" s="15"/>
      <c r="S130" s="15"/>
      <c r="T130" s="120"/>
      <c r="U130" s="120"/>
      <c r="V130" s="120"/>
      <c r="W130" s="2"/>
      <c r="X130" s="2"/>
    </row>
    <row r="131" spans="3:25" x14ac:dyDescent="0.2">
      <c r="G131" s="90"/>
      <c r="H131" s="91"/>
      <c r="M131" s="15" t="s">
        <v>126</v>
      </c>
      <c r="N131" s="121"/>
      <c r="O131" s="122"/>
      <c r="P131" s="15"/>
      <c r="Q131" s="15"/>
      <c r="R131" s="15"/>
      <c r="S131" s="15"/>
      <c r="T131" s="120"/>
      <c r="U131" s="120"/>
      <c r="V131" s="120"/>
      <c r="W131" s="2"/>
      <c r="X131" s="2"/>
    </row>
    <row r="132" spans="3:25" x14ac:dyDescent="0.2">
      <c r="K132" s="2"/>
      <c r="M132" s="15" t="s">
        <v>125</v>
      </c>
      <c r="N132" s="15"/>
      <c r="O132" s="15"/>
      <c r="P132" s="15"/>
      <c r="Q132" s="15"/>
      <c r="R132" s="15"/>
      <c r="S132" s="15"/>
      <c r="T132" s="15"/>
      <c r="U132" s="15"/>
      <c r="V132" s="15"/>
    </row>
    <row r="133" spans="3:25" x14ac:dyDescent="0.2">
      <c r="K133" s="2"/>
    </row>
  </sheetData>
  <sortState xmlns:xlrd2="http://schemas.microsoft.com/office/spreadsheetml/2017/richdata2" ref="B6:D128">
    <sortCondition descending="1" ref="B5:B128"/>
  </sortState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C6516-D2F3-8A44-8DF1-E45792576189}">
  <sheetPr codeName="Foglio2"/>
  <dimension ref="C2:AC134"/>
  <sheetViews>
    <sheetView workbookViewId="0">
      <selection activeCell="F11" sqref="F11"/>
    </sheetView>
  </sheetViews>
  <sheetFormatPr baseColWidth="10" defaultRowHeight="16" x14ac:dyDescent="0.2"/>
  <cols>
    <col min="5" max="5" width="10.5" customWidth="1"/>
    <col min="6" max="6" width="12.83203125" bestFit="1" customWidth="1"/>
    <col min="26" max="26" width="17.5" customWidth="1"/>
  </cols>
  <sheetData>
    <row r="2" spans="3:23" ht="22" x14ac:dyDescent="0.3">
      <c r="C2" s="37" t="s">
        <v>18</v>
      </c>
      <c r="D2" s="37"/>
      <c r="F2" s="15" t="s">
        <v>14</v>
      </c>
      <c r="G2">
        <v>0.94</v>
      </c>
    </row>
    <row r="4" spans="3:23" ht="27" x14ac:dyDescent="0.35">
      <c r="C4" s="51" t="s">
        <v>111</v>
      </c>
      <c r="D4" s="52" t="s">
        <v>112</v>
      </c>
      <c r="H4" s="38" t="s">
        <v>17</v>
      </c>
      <c r="I4" s="38"/>
      <c r="J4" s="9">
        <f>SQRT(1/4*C5+1/4*D5+1/2*EWMA!F11)</f>
        <v>1.7521352647564024E-2</v>
      </c>
      <c r="P4" s="26" t="s">
        <v>35</v>
      </c>
      <c r="Q4" s="27"/>
    </row>
    <row r="5" spans="3:23" x14ac:dyDescent="0.2">
      <c r="C5" s="10">
        <f>EWMA!$G$2*C6+(1-EWMA!$G$2)*(Foglio1!E6)^2</f>
        <v>9.2872310297594061E-4</v>
      </c>
      <c r="D5" s="12">
        <f>EWMA!$G$2*D6+(1-EWMA!$G$2)*(Foglio1!I6)^2</f>
        <v>2.5024989877578488E-4</v>
      </c>
    </row>
    <row r="6" spans="3:23" x14ac:dyDescent="0.2">
      <c r="C6" s="2">
        <f>EWMA!$G$2*C7+(1-EWMA!$G$2)*(Foglio1!E7)^2</f>
        <v>8.8163662227968437E-4</v>
      </c>
      <c r="D6" s="2">
        <f>EWMA!$G$2*D7+(1-EWMA!$G$2)*(Foglio1!I7)^2</f>
        <v>2.6114885844499028E-4</v>
      </c>
      <c r="L6" s="64" t="s">
        <v>111</v>
      </c>
      <c r="M6" s="2"/>
      <c r="N6" s="2"/>
      <c r="Q6" s="65" t="s">
        <v>112</v>
      </c>
      <c r="V6" s="66" t="s">
        <v>12</v>
      </c>
    </row>
    <row r="7" spans="3:23" x14ac:dyDescent="0.2">
      <c r="C7" s="2">
        <f>EWMA!$G$2*C8+(1-EWMA!$G$2)*(Foglio1!E8)^2</f>
        <v>9.1872024898258914E-4</v>
      </c>
      <c r="D7" s="2">
        <f>EWMA!$G$2*D8+(1-EWMA!$G$2)*(Foglio1!I8)^2</f>
        <v>2.7781721550219495E-4</v>
      </c>
      <c r="H7" t="s">
        <v>111</v>
      </c>
      <c r="I7" t="s">
        <v>112</v>
      </c>
      <c r="J7" s="25" t="s">
        <v>6</v>
      </c>
      <c r="K7" s="60">
        <v>0.95</v>
      </c>
      <c r="L7" s="61">
        <v>0.99</v>
      </c>
      <c r="M7" s="62">
        <v>0.995</v>
      </c>
      <c r="P7" s="60">
        <v>0.95</v>
      </c>
      <c r="Q7" s="61">
        <v>0.99</v>
      </c>
      <c r="R7" s="62">
        <v>0.995</v>
      </c>
      <c r="U7" s="60">
        <v>0.95</v>
      </c>
      <c r="V7" s="61">
        <v>0.99</v>
      </c>
      <c r="W7" s="62">
        <v>0.995</v>
      </c>
    </row>
    <row r="8" spans="3:23" x14ac:dyDescent="0.2">
      <c r="C8" s="2">
        <f>EWMA!$G$2*C9+(1-EWMA!$G$2)*(Foglio1!E9)^2</f>
        <v>9.7526904021143668E-4</v>
      </c>
      <c r="D8" s="2">
        <f>EWMA!$G$2*D9+(1-EWMA!$G$2)*(Foglio1!I9)^2</f>
        <v>2.7650203511708646E-4</v>
      </c>
      <c r="F8" s="15" t="s">
        <v>38</v>
      </c>
      <c r="H8" s="9">
        <f>SQRT(EWMA!C5)</f>
        <v>3.0474958621398332E-2</v>
      </c>
      <c r="I8" s="9">
        <f>SQRT(EWMA!D5)</f>
        <v>1.5819288820164607E-2</v>
      </c>
      <c r="J8" s="39">
        <v>1</v>
      </c>
      <c r="K8">
        <f>Foglio1!$U$6*EWMA!$H$8*SQRT($J8)-Foglio1!$O$7*EWMA!$J8</f>
        <v>5.4127836760338846E-2</v>
      </c>
      <c r="L8">
        <f>Foglio1!$U$7*EWMA!$H$8*SQRT($J8)-Foglio1!$O$7*EWMA!$J8</f>
        <v>7.4896345741108386E-2</v>
      </c>
      <c r="M8">
        <f>Foglio1!$U$8*EWMA!$H$8*SQRT($J8)-Foglio1!$O$7*EWMA!$J8</f>
        <v>8.2499281982173794E-2</v>
      </c>
      <c r="N8" s="2"/>
      <c r="P8">
        <f>Foglio1!$U$6*EWMA!$I$8*SQRT($J8)-Foglio1!$P$7*EWMA!$J8</f>
        <v>2.7299540380621545E-2</v>
      </c>
      <c r="Q8">
        <f>Foglio1!$U$7*EWMA!$I$8*SQRT($J8)-Foglio1!$P$7*EWMA!$J8</f>
        <v>3.8080294704608893E-2</v>
      </c>
      <c r="R8">
        <f>Foglio1!$U$8*EWMA!$I$8*SQRT($J8)-Foglio1!$P$7*EWMA!$J8</f>
        <v>4.2026913493264421E-2</v>
      </c>
      <c r="U8">
        <f>Foglio1!$U$6*EWMA!$J$4*SQRT($J8)-Foglio1!$P$13*EWMA!$J8</f>
        <v>3.1460118616299805E-2</v>
      </c>
      <c r="V8">
        <f>Foglio1!$U$7*EWMA!$J$4*SQRT($J8)-Foglio1!$P$13*EWMA!$J8</f>
        <v>4.3400819646838777E-2</v>
      </c>
      <c r="W8">
        <f>Foglio1!$U$8*EWMA!$J$4*SQRT($J8)-Foglio1!$P$13*EWMA!$J8</f>
        <v>4.7772071752267872E-2</v>
      </c>
    </row>
    <row r="9" spans="3:23" x14ac:dyDescent="0.2">
      <c r="C9" s="2">
        <f>EWMA!$G$2*C10+(1-EWMA!$G$2)*(Foglio1!E10)^2</f>
        <v>1.0129015594048973E-3</v>
      </c>
      <c r="D9" s="2">
        <f>EWMA!$G$2*D10+(1-EWMA!$G$2)*(Foglio1!I10)^2</f>
        <v>2.940612821817719E-4</v>
      </c>
      <c r="J9" s="39">
        <v>2</v>
      </c>
      <c r="K9">
        <f>Foglio1!$U$6*EWMA!$H$8*SQRT($J9)-Foglio1!$O$7*EWMA!$J9</f>
        <v>7.8892046844224739E-2</v>
      </c>
      <c r="L9">
        <f>Foglio1!$U$7*EWMA!$H$8*SQRT($J9)-Foglio1!$O$7*EWMA!$J9</f>
        <v>0.10826315391509644</v>
      </c>
      <c r="M9">
        <f>Foglio1!$U$8*EWMA!$H$8*SQRT($J9)-Foglio1!$O$7*EWMA!$J9</f>
        <v>0.11901532946106906</v>
      </c>
      <c r="N9" s="2"/>
      <c r="P9">
        <f>Foglio1!$U$6*EWMA!$I$8*SQRT($J9)-Foglio1!$P$7*EWMA!$J9</f>
        <v>3.9356674792030796E-2</v>
      </c>
      <c r="Q9">
        <f>Foglio1!$U$7*EWMA!$I$8*SQRT($J9)-Foglio1!$P$7*EWMA!$J9</f>
        <v>5.4602963769626096E-2</v>
      </c>
      <c r="R9">
        <f>Foglio1!$U$8*EWMA!$I$8*SQRT($J9)-Foglio1!$P$7*EWMA!$J9</f>
        <v>6.0184325586059226E-2</v>
      </c>
      <c r="U9">
        <f>Foglio1!$U$6*EWMA!$J$4*SQRT($J9)-Foglio1!$P$13*EWMA!$J9</f>
        <v>4.6037836688557675E-2</v>
      </c>
      <c r="V9">
        <f>Foglio1!$U$7*EWMA!$J$4*SQRT($J9)-Foglio1!$P$13*EWMA!$J9</f>
        <v>6.2924538030188285E-2</v>
      </c>
      <c r="W9">
        <f>Foglio1!$U$8*EWMA!$J$4*SQRT($J9)-Foglio1!$P$13*EWMA!$J9</f>
        <v>6.9106422042238061E-2</v>
      </c>
    </row>
    <row r="10" spans="3:23" x14ac:dyDescent="0.2">
      <c r="C10" s="2">
        <f>EWMA!$G$2*C11+(1-EWMA!$G$2)*(Foglio1!E11)^2</f>
        <v>1.0739772135815691E-3</v>
      </c>
      <c r="D10" s="2">
        <f>EWMA!$G$2*D11+(1-EWMA!$G$2)*(Foglio1!I11)^2</f>
        <v>2.9365222785226135E-4</v>
      </c>
      <c r="F10" s="19" t="s">
        <v>15</v>
      </c>
      <c r="G10" s="19"/>
      <c r="H10" t="s">
        <v>36</v>
      </c>
      <c r="J10" s="39">
        <v>3</v>
      </c>
      <c r="K10">
        <f>Foglio1!$U$6*EWMA!$H$8*SQRT($J10)-Foglio1!$O$7*EWMA!$J10</f>
        <v>9.8825216097751759E-2</v>
      </c>
      <c r="L10">
        <f>Foglio1!$U$7*EWMA!$H$8*SQRT($J10)-Foglio1!$O$7*EWMA!$J10</f>
        <v>0.13479732884989512</v>
      </c>
      <c r="M10">
        <f>Foglio1!$U$8*EWMA!$H$8*SQRT($J10)-Foglio1!$O$7*EWMA!$J10</f>
        <v>0.14796600070612714</v>
      </c>
      <c r="N10" s="2"/>
      <c r="P10">
        <f>Foglio1!$U$6*EWMA!$I$8*SQRT($J10)-Foglio1!$P$7*EWMA!$J10</f>
        <v>4.8906057473670904E-2</v>
      </c>
      <c r="Q10">
        <f>Foglio1!$U$7*EWMA!$I$8*SQRT($J10)-Foglio1!$P$7*EWMA!$J10</f>
        <v>6.7578871706734864E-2</v>
      </c>
      <c r="R10">
        <f>Foglio1!$U$8*EWMA!$I$8*SQRT($J10)-Foglio1!$P$7*EWMA!$J10</f>
        <v>7.4414615966792177E-2</v>
      </c>
      <c r="U10">
        <f>Foglio1!$U$6*EWMA!$J$4*SQRT($J10)-Foglio1!$P$13*EWMA!$J10</f>
        <v>5.7837983473678092E-2</v>
      </c>
      <c r="V10">
        <f>Foglio1!$U$7*EWMA!$J$4*SQRT($J10)-Foglio1!$P$13*EWMA!$J10</f>
        <v>7.8519884336561638E-2</v>
      </c>
      <c r="W10">
        <f>Foglio1!$U$8*EWMA!$J$4*SQRT($J10)-Foglio1!$P$13*EWMA!$J10</f>
        <v>8.6091115075857247E-2</v>
      </c>
    </row>
    <row r="11" spans="3:23" x14ac:dyDescent="0.2">
      <c r="C11" s="2">
        <f>EWMA!$G$2*C12+(1-EWMA!$G$2)*(Foglio1!E12)^2</f>
        <v>1.05712282449707E-3</v>
      </c>
      <c r="D11" s="2">
        <f>EWMA!$G$2*D12+(1-EWMA!$G$2)*(Foglio1!I12)^2</f>
        <v>3.1041990925866899E-4</v>
      </c>
      <c r="F11" s="95">
        <f>EWMA!$G$2*F12+(1-EWMA!$G$2)*Foglio1!E6*Foglio1!I6</f>
        <v>2.4509096324734913E-5</v>
      </c>
      <c r="H11" t="s">
        <v>37</v>
      </c>
      <c r="J11" s="39">
        <v>4</v>
      </c>
      <c r="K11">
        <f>Foglio1!$U$6*EWMA!$H$8*SQRT($J11)-Foglio1!$O$7*EWMA!$J11</f>
        <v>0.11625765460214926</v>
      </c>
      <c r="L11">
        <f>Foglio1!$U$7*EWMA!$H$8*SQRT($J11)-Foglio1!$O$7*EWMA!$J11</f>
        <v>0.15779467256368834</v>
      </c>
      <c r="M11">
        <f>Foglio1!$U$8*EWMA!$H$8*SQRT($J11)-Foglio1!$O$7*EWMA!$J11</f>
        <v>0.17300054504581916</v>
      </c>
      <c r="N11" s="2"/>
      <c r="P11">
        <f>Foglio1!$U$6*EWMA!$I$8*SQRT($J11)-Foglio1!$P$7*EWMA!$J11</f>
        <v>5.7157332339204933E-2</v>
      </c>
      <c r="Q11">
        <f>Foglio1!$U$7*EWMA!$I$8*SQRT($J11)-Foglio1!$P$7*EWMA!$J11</f>
        <v>7.8718840987179642E-2</v>
      </c>
      <c r="R11">
        <f>Foglio1!$U$8*EWMA!$I$8*SQRT($J11)-Foglio1!$P$7*EWMA!$J11</f>
        <v>8.6612078564490699E-2</v>
      </c>
      <c r="U11">
        <f>Foglio1!$U$6*EWMA!$J$4*SQRT($J11)-Foglio1!$P$13*EWMA!$J11</f>
        <v>6.8200353562316324E-2</v>
      </c>
      <c r="V11">
        <f>Foglio1!$U$7*EWMA!$J$4*SQRT($J11)-Foglio1!$P$13*EWMA!$J11</f>
        <v>9.2081755623394254E-2</v>
      </c>
      <c r="W11">
        <f>Foglio1!$U$8*EWMA!$J$4*SQRT($J11)-Foglio1!$P$13*EWMA!$J11</f>
        <v>0.10082425983425244</v>
      </c>
    </row>
    <row r="12" spans="3:23" x14ac:dyDescent="0.2">
      <c r="C12" s="2">
        <f>EWMA!$G$2*C13+(1-EWMA!$G$2)*(Foglio1!E13)^2</f>
        <v>1.0525067168829767E-3</v>
      </c>
      <c r="D12" s="2">
        <f>EWMA!$G$2*D13+(1-EWMA!$G$2)*(Foglio1!I13)^2</f>
        <v>3.2533625121167767E-4</v>
      </c>
      <c r="F12">
        <f>EWMA!$G$2*F13+(1-EWMA!$G$2)*Foglio1!E7*Foglio1!I7</f>
        <v>4.9306051357072673E-5</v>
      </c>
      <c r="J12" s="39">
        <v>5</v>
      </c>
      <c r="K12">
        <f>Foglio1!$U$6*EWMA!$H$8*SQRT($J12)-Foglio1!$O$7*EWMA!$J12</f>
        <v>0.13209198834838973</v>
      </c>
      <c r="L12">
        <f>Foglio1!$U$7*EWMA!$H$8*SQRT($J12)-Foglio1!$O$7*EWMA!$J12</f>
        <v>0.17853178622070531</v>
      </c>
      <c r="M12">
        <f>Foglio1!$U$8*EWMA!$H$8*SQRT($J12)-Foglio1!$O$7*EWMA!$J12</f>
        <v>0.19553246848432426</v>
      </c>
      <c r="N12" s="2"/>
      <c r="P12">
        <f>Foglio1!$U$6*EWMA!$I$8*SQRT($J12)-Foglio1!$P$7*EWMA!$J12</f>
        <v>6.4579044774540476E-2</v>
      </c>
      <c r="Q12">
        <f>Foglio1!$U$7*EWMA!$I$8*SQRT($J12)-Foglio1!$P$7*EWMA!$J12</f>
        <v>8.8685544291700988E-2</v>
      </c>
      <c r="R12">
        <f>Foglio1!$U$8*EWMA!$I$8*SQRT($J12)-Foglio1!$P$7*EWMA!$J12</f>
        <v>9.7510452184412622E-2</v>
      </c>
      <c r="U12">
        <f>Foglio1!$U$6*EWMA!$J$4*SQRT($J12)-Foglio1!$P$13*EWMA!$J12</f>
        <v>7.7643905109368139E-2</v>
      </c>
      <c r="V12">
        <f>Foglio1!$U$7*EWMA!$J$4*SQRT($J12)-Foglio1!$P$13*EWMA!$J12</f>
        <v>0.10434412431265505</v>
      </c>
      <c r="W12">
        <f>Foglio1!$U$8*EWMA!$J$4*SQRT($J12)-Foglio1!$P$13*EWMA!$J12</f>
        <v>0.11411854116718359</v>
      </c>
    </row>
    <row r="13" spans="3:23" x14ac:dyDescent="0.2">
      <c r="C13" s="2">
        <f>EWMA!$G$2*C14+(1-EWMA!$G$2)*(Foglio1!E14)^2</f>
        <v>1.0869192031638386E-3</v>
      </c>
      <c r="D13" s="2">
        <f>EWMA!$G$2*D14+(1-EWMA!$G$2)*(Foglio1!I14)^2</f>
        <v>3.4533267507773092E-4</v>
      </c>
      <c r="F13">
        <f>EWMA!$G$2*F14+(1-EWMA!$G$2)*Foglio1!E8*Foglio1!I8</f>
        <v>5.233577855534253E-5</v>
      </c>
      <c r="J13" s="39">
        <v>6</v>
      </c>
      <c r="K13">
        <f>Foglio1!$U$6*EWMA!$H$8*SQRT($J13)-Foglio1!$O$7*EWMA!$J13</f>
        <v>0.14679113889740214</v>
      </c>
      <c r="L13">
        <f>Foglio1!$U$7*EWMA!$H$8*SQRT($J13)-Foglio1!$O$7*EWMA!$J13</f>
        <v>0.19766338861869742</v>
      </c>
      <c r="M13">
        <f>Foglio1!$U$8*EWMA!$H$8*SQRT($J13)-Foglio1!$O$7*EWMA!$J13</f>
        <v>0.21628670295622163</v>
      </c>
      <c r="N13" s="2"/>
      <c r="P13">
        <f>Foglio1!$U$6*EWMA!$I$8*SQRT($J13)-Foglio1!$P$7*EWMA!$J13</f>
        <v>7.1411493379074972E-2</v>
      </c>
      <c r="Q13">
        <f>Foglio1!$U$7*EWMA!$I$8*SQRT($J13)-Foglio1!$P$7*EWMA!$J13</f>
        <v>9.7818840515147387E-2</v>
      </c>
      <c r="R13">
        <f>Foglio1!$U$8*EWMA!$I$8*SQRT($J13)-Foglio1!$P$7*EWMA!$J13</f>
        <v>0.10748604275663447</v>
      </c>
      <c r="U13">
        <f>Foglio1!$U$6*EWMA!$J$4*SQRT($J13)-Foglio1!$P$13*EWMA!$J13</f>
        <v>8.6434791451347082E-2</v>
      </c>
      <c r="V13">
        <f>Foglio1!$U$7*EWMA!$J$4*SQRT($J13)-Foglio1!$P$13*EWMA!$J13</f>
        <v>0.11568341614729281</v>
      </c>
      <c r="W13">
        <f>Foglio1!$U$8*EWMA!$J$4*SQRT($J13)-Foglio1!$P$13*EWMA!$J13</f>
        <v>0.12639075334266076</v>
      </c>
    </row>
    <row r="14" spans="3:23" x14ac:dyDescent="0.2">
      <c r="C14" s="2">
        <f>EWMA!$G$2*C15+(1-EWMA!$G$2)*(Foglio1!E15)^2</f>
        <v>1.1327031207357084E-3</v>
      </c>
      <c r="D14" s="2">
        <f>EWMA!$G$2*D15+(1-EWMA!$G$2)*(Foglio1!I15)^2</f>
        <v>3.5734184323591074E-4</v>
      </c>
      <c r="F14">
        <f>EWMA!$G$2*F15+(1-EWMA!$G$2)*Foglio1!E9*Foglio1!I9</f>
        <v>4.9362369680389083E-5</v>
      </c>
      <c r="J14" s="39">
        <v>7</v>
      </c>
      <c r="K14">
        <f>Foglio1!$U$6*EWMA!$H$8*SQRT($J14)-Foglio1!$O$7*EWMA!$J14</f>
        <v>0.16063010289019841</v>
      </c>
      <c r="L14">
        <f>Foglio1!$U$7*EWMA!$H$8*SQRT($J14)-Foglio1!$O$7*EWMA!$J14</f>
        <v>0.21557841275492617</v>
      </c>
      <c r="M14">
        <f>Foglio1!$U$8*EWMA!$H$8*SQRT($J14)-Foglio1!$O$7*EWMA!$J14</f>
        <v>0.23569389128266544</v>
      </c>
      <c r="N14" s="2"/>
      <c r="P14">
        <f>Foglio1!$U$6*EWMA!$I$8*SQRT($J14)-Foglio1!$P$7*EWMA!$J14</f>
        <v>7.7797426543143852E-2</v>
      </c>
      <c r="Q14">
        <f>Foglio1!$U$7*EWMA!$I$8*SQRT($J14)-Foglio1!$P$7*EWMA!$J14</f>
        <v>0.10632062143009864</v>
      </c>
      <c r="R14">
        <f>Foglio1!$U$8*EWMA!$I$8*SQRT($J14)-Foglio1!$P$7*EWMA!$J14</f>
        <v>0.11676239326445614</v>
      </c>
      <c r="U14">
        <f>Foglio1!$U$6*EWMA!$J$4*SQRT($J14)-Foglio1!$P$13*EWMA!$J14</f>
        <v>9.4731119878370462E-2</v>
      </c>
      <c r="V14">
        <f>Foglio1!$U$7*EWMA!$J$4*SQRT($J14)-Foglio1!$P$13*EWMA!$J14</f>
        <v>0.12632324528494926</v>
      </c>
      <c r="W14">
        <f>Foglio1!$U$8*EWMA!$J$4*SQRT($J14)-Foglio1!$P$13*EWMA!$J14</f>
        <v>0.13788849127388214</v>
      </c>
    </row>
    <row r="15" spans="3:23" x14ac:dyDescent="0.2">
      <c r="C15" s="2">
        <f>EWMA!$G$2*C16+(1-EWMA!$G$2)*(Foglio1!E16)^2</f>
        <v>1.2018393796516934E-3</v>
      </c>
      <c r="D15" s="2">
        <f>EWMA!$G$2*D16+(1-EWMA!$G$2)*(Foglio1!I16)^2</f>
        <v>3.5737793697119538E-4</v>
      </c>
      <c r="F15">
        <f>EWMA!$G$2*F16+(1-EWMA!$G$2)*Foglio1!E10*Foglio1!I10</f>
        <v>5.4000178680008701E-5</v>
      </c>
      <c r="J15" s="39">
        <v>8</v>
      </c>
      <c r="K15">
        <f>Foglio1!$U$6*EWMA!$H$8*SQRT($J15)-Foglio1!$O$7*EWMA!$J15</f>
        <v>0.17378805585139262</v>
      </c>
      <c r="L15">
        <f>Foglio1!$U$7*EWMA!$H$8*SQRT($J15)-Foglio1!$O$7*EWMA!$J15</f>
        <v>0.23253026999313603</v>
      </c>
      <c r="M15">
        <f>Foglio1!$U$8*EWMA!$H$8*SQRT($J15)-Foglio1!$O$7*EWMA!$J15</f>
        <v>0.25403462108508124</v>
      </c>
      <c r="N15" s="2"/>
      <c r="P15">
        <f>Foglio1!$U$6*EWMA!$I$8*SQRT($J15)-Foglio1!$P$7*EWMA!$J15</f>
        <v>8.3829852739985278E-2</v>
      </c>
      <c r="Q15">
        <f>Foglio1!$U$7*EWMA!$I$8*SQRT($J15)-Foglio1!$P$7*EWMA!$J15</f>
        <v>0.11432243069517588</v>
      </c>
      <c r="R15">
        <f>Foglio1!$U$8*EWMA!$I$8*SQRT($J15)-Foglio1!$P$7*EWMA!$J15</f>
        <v>0.12548515432804214</v>
      </c>
      <c r="U15">
        <f>Foglio1!$U$6*EWMA!$J$4*SQRT($J15)-Foglio1!$P$13*EWMA!$J15</f>
        <v>0.10263590603654876</v>
      </c>
      <c r="V15">
        <f>Foglio1!$U$7*EWMA!$J$4*SQRT($J15)-Foglio1!$P$13*EWMA!$J15</f>
        <v>0.13640930871980997</v>
      </c>
      <c r="W15">
        <f>Foglio1!$U$8*EWMA!$J$4*SQRT($J15)-Foglio1!$P$13*EWMA!$J15</f>
        <v>0.14877307674390952</v>
      </c>
    </row>
    <row r="16" spans="3:23" x14ac:dyDescent="0.2">
      <c r="C16" s="2">
        <f>EWMA!$G$2*C17+(1-EWMA!$G$2)*(Foglio1!E17)^2</f>
        <v>1.278451893800017E-3</v>
      </c>
      <c r="D16" s="2">
        <f>EWMA!$G$2*D17+(1-EWMA!$G$2)*(Foglio1!I17)^2</f>
        <v>3.785952830614699E-4</v>
      </c>
      <c r="F16">
        <f>EWMA!$G$2*F17+(1-EWMA!$G$2)*Foglio1!E11*Foglio1!I11</f>
        <v>4.9163567959780305E-5</v>
      </c>
      <c r="J16" s="39">
        <v>9</v>
      </c>
      <c r="K16">
        <f>Foglio1!$U$6*EWMA!$H$8*SQRT($J16)-Foglio1!$O$7*EWMA!$J16</f>
        <v>0.18638945352543124</v>
      </c>
      <c r="L16">
        <f>Foglio1!$U$7*EWMA!$H$8*SQRT($J16)-Foglio1!$O$7*EWMA!$J16</f>
        <v>0.24869498046773986</v>
      </c>
      <c r="M16">
        <f>Foglio1!$U$8*EWMA!$H$8*SQRT($J16)-Foglio1!$O$7*EWMA!$J16</f>
        <v>0.2715037891909361</v>
      </c>
      <c r="N16" s="2"/>
      <c r="P16">
        <f>Foglio1!$U$6*EWMA!$I$8*SQRT($J16)-Foglio1!$P$7*EWMA!$J16</f>
        <v>8.9573375875750177E-2</v>
      </c>
      <c r="Q16">
        <f>Foglio1!$U$7*EWMA!$I$8*SQRT($J16)-Foglio1!$P$7*EWMA!$J16</f>
        <v>0.12191563884771223</v>
      </c>
      <c r="R16">
        <f>Foglio1!$U$8*EWMA!$I$8*SQRT($J16)-Foglio1!$P$7*EWMA!$J16</f>
        <v>0.1337554952136788</v>
      </c>
      <c r="U16">
        <f>Foglio1!$U$6*EWMA!$J$4*SQRT($J16)-Foglio1!$P$13*EWMA!$J16</f>
        <v>0.11022070483804955</v>
      </c>
      <c r="V16">
        <f>Foglio1!$U$7*EWMA!$J$4*SQRT($J16)-Foglio1!$P$13*EWMA!$J16</f>
        <v>0.14604280792966645</v>
      </c>
      <c r="W16">
        <f>Foglio1!$U$8*EWMA!$J$4*SQRT($J16)-Foglio1!$P$13*EWMA!$J16</f>
        <v>0.15915656424595373</v>
      </c>
    </row>
    <row r="17" spans="3:23" x14ac:dyDescent="0.2">
      <c r="C17" s="2">
        <f>EWMA!$G$2*C18+(1-EWMA!$G$2)*(Foglio1!E18)^2</f>
        <v>1.3524312356445012E-3</v>
      </c>
      <c r="D17" s="2">
        <f>EWMA!$G$2*D18+(1-EWMA!$G$2)*(Foglio1!I18)^2</f>
        <v>3.8273155061899845E-4</v>
      </c>
      <c r="F17">
        <f>EWMA!$G$2*F18+(1-EWMA!$G$2)*Foglio1!E12*Foglio1!I12</f>
        <v>3.9310549869978057E-5</v>
      </c>
      <c r="J17" s="39">
        <v>10</v>
      </c>
      <c r="K17">
        <f>Foglio1!$U$6*EWMA!$H$8*SQRT($J17)-Foglio1!$O$7*EWMA!$J17</f>
        <v>0.19852491138230441</v>
      </c>
      <c r="L17">
        <f>Foglio1!$U$7*EWMA!$H$8*SQRT($J17)-Foglio1!$O$7*EWMA!$J17</f>
        <v>0.26420070336719825</v>
      </c>
      <c r="M17">
        <f>Foglio1!$U$8*EWMA!$H$8*SQRT($J17)-Foglio1!$O$7*EWMA!$J17</f>
        <v>0.28824329879400401</v>
      </c>
      <c r="N17" s="2"/>
      <c r="P17">
        <f>Foglio1!$U$6*EWMA!$I$8*SQRT($J17)-Foglio1!$P$7*EWMA!$J17</f>
        <v>9.5075033661273706E-2</v>
      </c>
      <c r="Q17">
        <f>Foglio1!$U$7*EWMA!$I$8*SQRT($J17)-Foglio1!$P$7*EWMA!$J17</f>
        <v>0.12916677221978257</v>
      </c>
      <c r="R17">
        <f>Foglio1!$U$8*EWMA!$I$8*SQRT($J17)-Foglio1!$P$7*EWMA!$J17</f>
        <v>0.14164707664834872</v>
      </c>
      <c r="U17">
        <f>Foglio1!$U$6*EWMA!$J$4*SQRT($J17)-Foglio1!$P$13*EWMA!$J17</f>
        <v>0.11753761497887906</v>
      </c>
      <c r="V17">
        <f>Foglio1!$U$7*EWMA!$J$4*SQRT($J17)-Foglio1!$P$13*EWMA!$J17</f>
        <v>0.15529742709450201</v>
      </c>
      <c r="W17">
        <f>Foglio1!$U$8*EWMA!$J$4*SQRT($J17)-Foglio1!$P$13*EWMA!$J17</f>
        <v>0.16912053997446441</v>
      </c>
    </row>
    <row r="18" spans="3:23" x14ac:dyDescent="0.2">
      <c r="C18" s="2">
        <f>EWMA!$G$2*C19+(1-EWMA!$G$2)*(Foglio1!E19)^2</f>
        <v>1.294428493268309E-3</v>
      </c>
      <c r="D18" s="2">
        <f>EWMA!$G$2*D19+(1-EWMA!$G$2)*(Foglio1!I19)^2</f>
        <v>4.0324305734072767E-4</v>
      </c>
      <c r="F18">
        <f>EWMA!$G$2*F19+(1-EWMA!$G$2)*Foglio1!E13*Foglio1!I13</f>
        <v>2.3029183787532948E-5</v>
      </c>
      <c r="J18" s="39">
        <v>11</v>
      </c>
      <c r="K18">
        <f>Foglio1!$U$6*EWMA!$H$8*SQRT($J18)-Foglio1!$O$7*EWMA!$J18</f>
        <v>0.21026283678236202</v>
      </c>
      <c r="L18">
        <f>Foglio1!$U$7*EWMA!$H$8*SQRT($J18)-Foglio1!$O$7*EWMA!$J18</f>
        <v>0.27914418852670103</v>
      </c>
      <c r="M18">
        <f>Foglio1!$U$8*EWMA!$H$8*SQRT($J18)-Foglio1!$O$7*EWMA!$J18</f>
        <v>0.30436027534331006</v>
      </c>
      <c r="N18" s="2"/>
      <c r="P18">
        <f>Foglio1!$U$6*EWMA!$I$8*SQRT($J18)-Foglio1!$P$7*EWMA!$J18</f>
        <v>0.10037033576875082</v>
      </c>
      <c r="Q18">
        <f>Foglio1!$U$7*EWMA!$I$8*SQRT($J18)-Foglio1!$P$7*EWMA!$J18</f>
        <v>0.13612605281841844</v>
      </c>
      <c r="R18">
        <f>Foglio1!$U$8*EWMA!$I$8*SQRT($J18)-Foglio1!$P$7*EWMA!$J18</f>
        <v>0.14921550653095575</v>
      </c>
      <c r="U18">
        <f>Foglio1!$U$6*EWMA!$J$4*SQRT($J18)-Foglio1!$P$13*EWMA!$J18</f>
        <v>0.12462596676623386</v>
      </c>
      <c r="V18">
        <f>Foglio1!$U$7*EWMA!$J$4*SQRT($J18)-Foglio1!$P$13*EWMA!$J18</f>
        <v>0.16422879181834169</v>
      </c>
      <c r="W18">
        <f>Foglio1!$U$8*EWMA!$J$4*SQRT($J18)-Foglio1!$P$13*EWMA!$J18</f>
        <v>0.17872659491610104</v>
      </c>
    </row>
    <row r="19" spans="3:23" x14ac:dyDescent="0.2">
      <c r="C19" s="2">
        <f>EWMA!$G$2*C20+(1-EWMA!$G$2)*(Foglio1!E20)^2</f>
        <v>1.3730997934297366E-3</v>
      </c>
      <c r="D19" s="2">
        <f>EWMA!$G$2*D20+(1-EWMA!$G$2)*(Foglio1!I20)^2</f>
        <v>4.163066271953746E-4</v>
      </c>
      <c r="F19">
        <f>EWMA!$G$2*F20+(1-EWMA!$G$2)*Foglio1!E14*Foglio1!I14</f>
        <v>1.9476902092136865E-5</v>
      </c>
      <c r="J19" s="39">
        <v>12</v>
      </c>
      <c r="K19">
        <f>Foglio1!$U$6*EWMA!$H$8*SQRT($J19)-Foglio1!$O$7*EWMA!$J19</f>
        <v>0.22165637543991823</v>
      </c>
      <c r="L19">
        <f>Foglio1!$U$7*EWMA!$H$8*SQRT($J19)-Foglio1!$O$7*EWMA!$J19</f>
        <v>0.29360060094420493</v>
      </c>
      <c r="M19">
        <f>Foglio1!$U$8*EWMA!$H$8*SQRT($J19)-Foglio1!$O$7*EWMA!$J19</f>
        <v>0.31993794465666897</v>
      </c>
      <c r="N19" s="2"/>
      <c r="P19">
        <f>Foglio1!$U$6*EWMA!$I$8*SQRT($J19)-Foglio1!$P$7*EWMA!$J19</f>
        <v>0.10548686968122735</v>
      </c>
      <c r="Q19">
        <f>Foglio1!$U$7*EWMA!$I$8*SQRT($J19)-Foglio1!$P$7*EWMA!$J19</f>
        <v>0.14283249814735527</v>
      </c>
      <c r="R19">
        <f>Foglio1!$U$8*EWMA!$I$8*SQRT($J19)-Foglio1!$P$7*EWMA!$J19</f>
        <v>0.1565039866674699</v>
      </c>
      <c r="U19">
        <f>Foglio1!$U$6*EWMA!$J$4*SQRT($J19)-Foglio1!$P$13*EWMA!$J19</f>
        <v>0.13151631593650631</v>
      </c>
      <c r="V19">
        <f>Foglio1!$U$7*EWMA!$J$4*SQRT($J19)-Foglio1!$P$13*EWMA!$J19</f>
        <v>0.1728801176622734</v>
      </c>
      <c r="W19">
        <f>Foglio1!$U$8*EWMA!$J$4*SQRT($J19)-Foglio1!$P$13*EWMA!$J19</f>
        <v>0.18802257914086462</v>
      </c>
    </row>
    <row r="20" spans="3:23" x14ac:dyDescent="0.2">
      <c r="C20" s="2">
        <f>EWMA!$G$2*C21+(1-EWMA!$G$2)*(Foglio1!E21)^2</f>
        <v>1.3642049260618088E-3</v>
      </c>
      <c r="D20" s="2">
        <f>EWMA!$G$2*D21+(1-EWMA!$G$2)*(Foglio1!I21)^2</f>
        <v>4.3488899346936344E-4</v>
      </c>
      <c r="F20">
        <f>EWMA!$G$2*F21+(1-EWMA!$G$2)*Foglio1!E15*Foglio1!I15</f>
        <v>5.3342147117889767E-6</v>
      </c>
      <c r="J20" s="39">
        <v>13</v>
      </c>
      <c r="K20">
        <f>Foglio1!$U$6*EWMA!$H$8*SQRT($J20)-Foglio1!$O$7*EWMA!$J20</f>
        <v>0.23274779135164225</v>
      </c>
      <c r="L20">
        <f>Foglio1!$U$7*EWMA!$H$8*SQRT($J20)-Foglio1!$O$7*EWMA!$J20</f>
        <v>0.30762971539674117</v>
      </c>
      <c r="M20">
        <f>Foglio1!$U$8*EWMA!$H$8*SQRT($J20)-Foglio1!$O$7*EWMA!$J20</f>
        <v>0.33504249185798596</v>
      </c>
      <c r="N20" s="2"/>
      <c r="P20">
        <f>Foglio1!$U$6*EWMA!$I$8*SQRT($J20)-Foglio1!$P$7*EWMA!$J20</f>
        <v>0.11044657427574364</v>
      </c>
      <c r="Q20">
        <f>Foglio1!$U$7*EWMA!$I$8*SQRT($J20)-Foglio1!$P$7*EWMA!$J20</f>
        <v>0.14931713677906017</v>
      </c>
      <c r="R20">
        <f>Foglio1!$U$8*EWMA!$I$8*SQRT($J20)-Foglio1!$P$7*EWMA!$J20</f>
        <v>0.16354687318626723</v>
      </c>
      <c r="U20">
        <f>Foglio1!$U$6*EWMA!$J$4*SQRT($J20)-Foglio1!$P$13*EWMA!$J20</f>
        <v>0.13823296186280259</v>
      </c>
      <c r="V20">
        <f>Foglio1!$U$7*EWMA!$J$4*SQRT($J20)-Foglio1!$P$13*EWMA!$J20</f>
        <v>0.18128577169339655</v>
      </c>
      <c r="W20">
        <f>Foglio1!$U$8*EWMA!$J$4*SQRT($J20)-Foglio1!$P$13*EWMA!$J20</f>
        <v>0.19704654529750107</v>
      </c>
    </row>
    <row r="21" spans="3:23" x14ac:dyDescent="0.2">
      <c r="C21" s="2">
        <f>EWMA!$G$2*C22+(1-EWMA!$G$2)*(Foglio1!E22)^2</f>
        <v>1.4442269760662084E-3</v>
      </c>
      <c r="D21" s="2">
        <f>EWMA!$G$2*D22+(1-EWMA!$G$2)*(Foglio1!I22)^2</f>
        <v>3.4446018588997967E-4</v>
      </c>
      <c r="F21">
        <f>EWMA!$G$2*F22+(1-EWMA!$G$2)*Foglio1!E16*Foglio1!I16</f>
        <v>-2.8136652785664659E-6</v>
      </c>
      <c r="J21" s="39">
        <v>14</v>
      </c>
      <c r="K21">
        <f>Foglio1!$U$6*EWMA!$H$8*SQRT($J21)-Foglio1!$O$7*EWMA!$J21</f>
        <v>0.2435713520035602</v>
      </c>
      <c r="L21">
        <f>Foglio1!$U$7*EWMA!$H$8*SQRT($J21)-Foglio1!$O$7*EWMA!$J21</f>
        <v>0.32127999704373744</v>
      </c>
      <c r="M21">
        <f>Foglio1!$U$8*EWMA!$H$8*SQRT($J21)-Foglio1!$O$7*EWMA!$J21</f>
        <v>0.34972757959129119</v>
      </c>
      <c r="N21" s="2"/>
      <c r="P21">
        <f>Foglio1!$U$6*EWMA!$I$8*SQRT($J21)-Foglio1!$P$7*EWMA!$J21</f>
        <v>0.11526723750946551</v>
      </c>
      <c r="Q21">
        <f>Foglio1!$U$7*EWMA!$I$8*SQRT($J21)-Foglio1!$P$7*EWMA!$J21</f>
        <v>0.15560512656080788</v>
      </c>
      <c r="R21">
        <f>Foglio1!$U$8*EWMA!$I$8*SQRT($J21)-Foglio1!$P$7*EWMA!$J21</f>
        <v>0.17037202190416167</v>
      </c>
      <c r="U21">
        <f>Foglio1!$U$6*EWMA!$J$4*SQRT($J21)-Foglio1!$P$13*EWMA!$J21</f>
        <v>0.1447956063834244</v>
      </c>
      <c r="V21">
        <f>Foglio1!$U$7*EWMA!$J$4*SQRT($J21)-Foglio1!$P$13*EWMA!$J21</f>
        <v>0.18947361859759973</v>
      </c>
      <c r="W21">
        <f>Foglio1!$U$8*EWMA!$J$4*SQRT($J21)-Foglio1!$P$13*EWMA!$J21</f>
        <v>0.20582934632732966</v>
      </c>
    </row>
    <row r="22" spans="3:23" x14ac:dyDescent="0.2">
      <c r="C22" s="2">
        <f>EWMA!$G$2*C23+(1-EWMA!$G$2)*(Foglio1!E23)^2</f>
        <v>1.5358392139537334E-3</v>
      </c>
      <c r="D22" s="2">
        <f>EWMA!$G$2*D23+(1-EWMA!$G$2)*(Foglio1!I23)^2</f>
        <v>3.5928368993071489E-4</v>
      </c>
      <c r="F22">
        <f>EWMA!$G$2*F23+(1-EWMA!$G$2)*Foglio1!E17*Foglio1!I17</f>
        <v>-3.3937827576948817E-6</v>
      </c>
      <c r="J22" s="39">
        <v>15</v>
      </c>
      <c r="K22">
        <f>Foglio1!$U$6*EWMA!$H$8*SQRT($J22)-Foglio1!$O$7*EWMA!$J22</f>
        <v>0.25415529871745968</v>
      </c>
      <c r="L22">
        <f>Foglio1!$U$7*EWMA!$H$8*SQRT($J22)-Foglio1!$O$7*EWMA!$J22</f>
        <v>0.33459138812553929</v>
      </c>
      <c r="M22">
        <f>Foglio1!$U$8*EWMA!$H$8*SQRT($J22)-Foglio1!$O$7*EWMA!$J22</f>
        <v>0.36403743356946244</v>
      </c>
      <c r="N22" s="2"/>
      <c r="P22">
        <f>Foglio1!$U$6*EWMA!$I$8*SQRT($J22)-Foglio1!$P$7*EWMA!$J22</f>
        <v>0.11996351920955045</v>
      </c>
      <c r="Q22">
        <f>Foglio1!$U$7*EWMA!$I$8*SQRT($J22)-Foglio1!$P$7*EWMA!$J22</f>
        <v>0.16171720116590704</v>
      </c>
      <c r="R22">
        <f>Foglio1!$U$8*EWMA!$I$8*SQRT($J22)-Foglio1!$P$7*EWMA!$J22</f>
        <v>0.1770023900081992</v>
      </c>
      <c r="U22">
        <f>Foglio1!$U$6*EWMA!$J$4*SQRT($J22)-Foglio1!$P$13*EWMA!$J22</f>
        <v>0.15122048663799906</v>
      </c>
      <c r="V22">
        <f>Foglio1!$U$7*EWMA!$J$4*SQRT($J22)-Foglio1!$P$13*EWMA!$J22</f>
        <v>0.19746662287131822</v>
      </c>
      <c r="W22">
        <f>Foglio1!$U$8*EWMA!$J$4*SQRT($J22)-Foglio1!$P$13*EWMA!$J22</f>
        <v>0.21439640947771921</v>
      </c>
    </row>
    <row r="23" spans="3:23" x14ac:dyDescent="0.2">
      <c r="C23" s="2">
        <f>EWMA!$G$2*C24+(1-EWMA!$G$2)*(Foglio1!E24)^2</f>
        <v>1.6286255001240419E-3</v>
      </c>
      <c r="D23" s="2">
        <f>EWMA!$G$2*D24+(1-EWMA!$G$2)*(Foglio1!I24)^2</f>
        <v>3.7779284912095069E-4</v>
      </c>
      <c r="F23">
        <f>EWMA!$G$2*F24+(1-EWMA!$G$2)*Foglio1!E18*Foglio1!I18</f>
        <v>-1.5967731734476425E-5</v>
      </c>
      <c r="J23" s="39">
        <v>16</v>
      </c>
      <c r="K23">
        <f>Foglio1!$U$6*EWMA!$H$8*SQRT($J23)-Foglio1!$O$7*EWMA!$J23</f>
        <v>0.26452323353018481</v>
      </c>
      <c r="L23">
        <f>Foglio1!$U$7*EWMA!$H$8*SQRT($J23)-Foglio1!$O$7*EWMA!$J23</f>
        <v>0.34759726945326297</v>
      </c>
      <c r="M23">
        <f>Foglio1!$U$8*EWMA!$H$8*SQRT($J23)-Foglio1!$O$7*EWMA!$J23</f>
        <v>0.3780090144175246</v>
      </c>
      <c r="N23" s="2"/>
      <c r="P23">
        <f>Foglio1!$U$6*EWMA!$I$8*SQRT($J23)-Foglio1!$P$7*EWMA!$J23</f>
        <v>0.12454767099025726</v>
      </c>
      <c r="Q23">
        <f>Foglio1!$U$7*EWMA!$I$8*SQRT($J23)-Foglio1!$P$7*EWMA!$J23</f>
        <v>0.16767068828620665</v>
      </c>
      <c r="R23">
        <f>Foglio1!$U$8*EWMA!$I$8*SQRT($J23)-Foglio1!$P$7*EWMA!$J23</f>
        <v>0.18345716344082877</v>
      </c>
      <c r="U23">
        <f>Foglio1!$U$6*EWMA!$J$4*SQRT($J23)-Foglio1!$P$13*EWMA!$J23</f>
        <v>0.15752117244349947</v>
      </c>
      <c r="V23">
        <f>Foglio1!$U$7*EWMA!$J$4*SQRT($J23)-Foglio1!$P$13*EWMA!$J23</f>
        <v>0.20528397656565534</v>
      </c>
      <c r="W23">
        <f>Foglio1!$U$8*EWMA!$J$4*SQRT($J23)-Foglio1!$P$13*EWMA!$J23</f>
        <v>0.22276898498737174</v>
      </c>
    </row>
    <row r="24" spans="3:23" x14ac:dyDescent="0.2">
      <c r="C24" s="2">
        <f>EWMA!$G$2*C25+(1-EWMA!$G$2)*(Foglio1!E25)^2</f>
        <v>1.7185567137147177E-3</v>
      </c>
      <c r="D24" s="2">
        <f>EWMA!$G$2*D25+(1-EWMA!$G$2)*(Foglio1!I25)^2</f>
        <v>3.8999195997823011E-4</v>
      </c>
      <c r="F24">
        <f>EWMA!$G$2*F25+(1-EWMA!$G$2)*Foglio1!E19*Foglio1!I19</f>
        <v>-4.0767228651067052E-5</v>
      </c>
      <c r="J24" s="39">
        <v>17</v>
      </c>
      <c r="K24">
        <f>Foglio1!$U$6*EWMA!$H$8*SQRT($J24)-Foglio1!$O$7*EWMA!$J24</f>
        <v>0.27469512083502512</v>
      </c>
      <c r="L24">
        <f>Foglio1!$U$7*EWMA!$H$8*SQRT($J24)-Foglio1!$O$7*EWMA!$J24</f>
        <v>0.36032587704932689</v>
      </c>
      <c r="M24">
        <f>Foglio1!$U$8*EWMA!$H$8*SQRT($J24)-Foglio1!$O$7*EWMA!$J24</f>
        <v>0.39167358623607607</v>
      </c>
      <c r="N24" s="2"/>
      <c r="P24">
        <f>Foglio1!$U$6*EWMA!$I$8*SQRT($J24)-Foglio1!$P$7*EWMA!$J24</f>
        <v>0.12903005619637301</v>
      </c>
      <c r="Q24">
        <f>Foglio1!$U$7*EWMA!$I$8*SQRT($J24)-Foglio1!$P$7*EWMA!$J24</f>
        <v>0.17348024499800715</v>
      </c>
      <c r="R24">
        <f>Foglio1!$U$8*EWMA!$I$8*SQRT($J24)-Foglio1!$P$7*EWMA!$J24</f>
        <v>0.18975257112768112</v>
      </c>
      <c r="U24">
        <f>Foglio1!$U$6*EWMA!$J$4*SQRT($J24)-Foglio1!$P$13*EWMA!$J24</f>
        <v>0.16370914218057134</v>
      </c>
      <c r="V24">
        <f>Foglio1!$U$7*EWMA!$J$4*SQRT($J24)-Foglio1!$P$13*EWMA!$J24</f>
        <v>0.21294191377340516</v>
      </c>
      <c r="W24">
        <f>Foglio1!$U$8*EWMA!$J$4*SQRT($J24)-Foglio1!$P$13*EWMA!$J24</f>
        <v>0.2309650479202929</v>
      </c>
    </row>
    <row r="25" spans="3:23" x14ac:dyDescent="0.2">
      <c r="C25" s="2">
        <f>EWMA!$G$2*C26+(1-EWMA!$G$2)*(Foglio1!E26)^2</f>
        <v>1.8162180857963779E-3</v>
      </c>
      <c r="D25" s="2">
        <f>EWMA!$G$2*D26+(1-EWMA!$G$2)*(Foglio1!I26)^2</f>
        <v>4.0976005037909261E-4</v>
      </c>
      <c r="F25">
        <f>EWMA!$G$2*F26+(1-EWMA!$G$2)*Foglio1!E20*Foglio1!I20</f>
        <v>-3.6291936314331957E-5</v>
      </c>
      <c r="J25" s="39">
        <v>18</v>
      </c>
      <c r="K25">
        <f>Foglio1!$U$6*EWMA!$H$8*SQRT($J25)-Foglio1!$O$7*EWMA!$J25</f>
        <v>0.28468802702150359</v>
      </c>
      <c r="L25">
        <f>Foglio1!$U$7*EWMA!$H$8*SQRT($J25)-Foglio1!$O$7*EWMA!$J25</f>
        <v>0.3728013482341187</v>
      </c>
      <c r="M25">
        <f>Foglio1!$U$8*EWMA!$H$8*SQRT($J25)-Foglio1!$O$7*EWMA!$J25</f>
        <v>0.40505787487203659</v>
      </c>
      <c r="N25" s="2"/>
      <c r="P25">
        <f>Foglio1!$U$6*EWMA!$I$8*SQRT($J25)-Foglio1!$P$7*EWMA!$J25</f>
        <v>0.13341953384386343</v>
      </c>
      <c r="Q25">
        <f>Foglio1!$U$7*EWMA!$I$8*SQRT($J25)-Foglio1!$P$7*EWMA!$J25</f>
        <v>0.17915840077664935</v>
      </c>
      <c r="R25">
        <f>Foglio1!$U$8*EWMA!$I$8*SQRT($J25)-Foglio1!$P$7*EWMA!$J25</f>
        <v>0.19590248622594872</v>
      </c>
      <c r="U25">
        <f>Foglio1!$U$6*EWMA!$J$4*SQRT($J25)-Foglio1!$P$13*EWMA!$J25</f>
        <v>0.16979420804397327</v>
      </c>
      <c r="V25">
        <f>Foglio1!$U$7*EWMA!$J$4*SQRT($J25)-Foglio1!$P$13*EWMA!$J25</f>
        <v>0.22045431206886507</v>
      </c>
      <c r="W25">
        <f>Foglio1!$U$8*EWMA!$J$4*SQRT($J25)-Foglio1!$P$13*EWMA!$J25</f>
        <v>0.2389999641050144</v>
      </c>
    </row>
    <row r="26" spans="3:23" x14ac:dyDescent="0.2">
      <c r="C26" s="2">
        <f>EWMA!$G$2*C27+(1-EWMA!$G$2)*(Foglio1!E27)^2</f>
        <v>1.8067803273085633E-3</v>
      </c>
      <c r="D26" s="2">
        <f>EWMA!$G$2*D27+(1-EWMA!$G$2)*(Foglio1!I27)^2</f>
        <v>4.3268146297355427E-4</v>
      </c>
      <c r="F26">
        <f>EWMA!$G$2*F27+(1-EWMA!$G$2)*Foglio1!E21*Foglio1!I21</f>
        <v>-6.6382337590133585E-5</v>
      </c>
      <c r="J26" s="39">
        <v>19</v>
      </c>
      <c r="K26">
        <f>Foglio1!$U$6*EWMA!$H$8*SQRT($J26)-Foglio1!$O$7*EWMA!$J26</f>
        <v>0.29451667730363351</v>
      </c>
      <c r="L26">
        <f>Foglio1!$U$7*EWMA!$H$8*SQRT($J26)-Foglio1!$O$7*EWMA!$J26</f>
        <v>0.38504450915882488</v>
      </c>
      <c r="M26">
        <f>Foglio1!$U$8*EWMA!$H$8*SQRT($J26)-Foglio1!$O$7*EWMA!$J26</f>
        <v>0.41818493990781203</v>
      </c>
      <c r="N26" s="2"/>
      <c r="P26">
        <f>Foglio1!$U$6*EWMA!$I$8*SQRT($J26)-Foglio1!$P$7*EWMA!$J26</f>
        <v>0.13772374766463019</v>
      </c>
      <c r="Q26">
        <f>Foglio1!$U$7*EWMA!$I$8*SQRT($J26)-Foglio1!$P$7*EWMA!$J26</f>
        <v>0.18471596629803022</v>
      </c>
      <c r="R26">
        <f>Foglio1!$U$8*EWMA!$I$8*SQRT($J26)-Foglio1!$P$7*EWMA!$J26</f>
        <v>0.20191887876645856</v>
      </c>
      <c r="U26">
        <f>Foglio1!$U$6*EWMA!$J$4*SQRT($J26)-Foglio1!$P$13*EWMA!$J26</f>
        <v>0.17578483618687524</v>
      </c>
      <c r="V26">
        <f>Foglio1!$U$7*EWMA!$J$4*SQRT($J26)-Foglio1!$P$13*EWMA!$J26</f>
        <v>0.2278331452940266</v>
      </c>
      <c r="W26">
        <f>Foglio1!$U$8*EWMA!$J$4*SQRT($J26)-Foglio1!$P$13*EWMA!$J26</f>
        <v>0.2468869914783314</v>
      </c>
    </row>
    <row r="27" spans="3:23" x14ac:dyDescent="0.2">
      <c r="C27" s="2">
        <f>EWMA!$G$2*C28+(1-EWMA!$G$2)*(Foglio1!E28)^2</f>
        <v>1.8811276231178401E-3</v>
      </c>
      <c r="D27" s="2">
        <f>EWMA!$G$2*D28+(1-EWMA!$G$2)*(Foglio1!I28)^2</f>
        <v>4.5966473755450801E-4</v>
      </c>
      <c r="F27">
        <f>EWMA!$G$2*F28+(1-EWMA!$G$2)*Foglio1!E22*Foglio1!I22</f>
        <v>-4.174395521961529E-5</v>
      </c>
      <c r="J27" s="39">
        <v>20</v>
      </c>
      <c r="K27">
        <f>Foglio1!$U$6*EWMA!$H$8*SQRT($J27)-Foglio1!$O$7*EWMA!$J27</f>
        <v>0.30419388210413734</v>
      </c>
      <c r="L27">
        <f>Foglio1!$U$7*EWMA!$H$8*SQRT($J27)-Foglio1!$O$7*EWMA!$J27</f>
        <v>0.39707347784876845</v>
      </c>
      <c r="M27">
        <f>Foglio1!$U$8*EWMA!$H$8*SQRT($J27)-Foglio1!$O$7*EWMA!$J27</f>
        <v>0.43107484237600641</v>
      </c>
      <c r="N27" s="2"/>
      <c r="P27">
        <f>Foglio1!$U$6*EWMA!$I$8*SQRT($J27)-Foglio1!$P$7*EWMA!$J27</f>
        <v>0.14194934743889021</v>
      </c>
      <c r="Q27">
        <f>Foglio1!$U$7*EWMA!$I$8*SQRT($J27)-Foglio1!$P$7*EWMA!$J27</f>
        <v>0.19016234647321123</v>
      </c>
      <c r="R27">
        <f>Foglio1!$U$8*EWMA!$I$8*SQRT($J27)-Foglio1!$P$7*EWMA!$J27</f>
        <v>0.20781216225863447</v>
      </c>
      <c r="U27">
        <f>Foglio1!$U$6*EWMA!$J$4*SQRT($J27)-Foglio1!$P$13*EWMA!$J27</f>
        <v>0.1816883918673198</v>
      </c>
      <c r="V27">
        <f>Foglio1!$U$7*EWMA!$J$4*SQRT($J27)-Foglio1!$P$13*EWMA!$J27</f>
        <v>0.23508883027389366</v>
      </c>
      <c r="W27">
        <f>Foglio1!$U$8*EWMA!$J$4*SQRT($J27)-Foglio1!$P$13*EWMA!$J27</f>
        <v>0.25463766398295073</v>
      </c>
    </row>
    <row r="28" spans="3:23" x14ac:dyDescent="0.2">
      <c r="C28" s="2">
        <f>EWMA!$G$2*C29+(1-EWMA!$G$2)*(Foglio1!E29)^2</f>
        <v>1.6812345124025462E-3</v>
      </c>
      <c r="D28" s="2">
        <f>EWMA!$G$2*D29+(1-EWMA!$G$2)*(Foglio1!I29)^2</f>
        <v>4.8216156523157709E-4</v>
      </c>
      <c r="F28">
        <f>EWMA!$G$2*F29+(1-EWMA!$G$2)*Foglio1!E23*Foglio1!I23</f>
        <v>-4.6433489295560111E-5</v>
      </c>
      <c r="J28" s="39">
        <v>21</v>
      </c>
      <c r="K28">
        <f>Foglio1!$U$6*EWMA!$H$8*SQRT($J28)-Foglio1!$O$7*EWMA!$J28</f>
        <v>0.31373086850619353</v>
      </c>
      <c r="L28">
        <f>Foglio1!$U$7*EWMA!$H$8*SQRT($J28)-Foglio1!$O$7*EWMA!$J28</f>
        <v>0.40890413298194006</v>
      </c>
      <c r="M28">
        <f>Foglio1!$U$8*EWMA!$H$8*SQRT($J28)-Foglio1!$O$7*EWMA!$J28</f>
        <v>0.4437451638105453</v>
      </c>
      <c r="N28" s="2"/>
      <c r="P28">
        <f>Foglio1!$U$6*EWMA!$I$8*SQRT($J28)-Foglio1!$P$7*EWMA!$J28</f>
        <v>0.14610216104892598</v>
      </c>
      <c r="Q28">
        <f>Foglio1!$U$7*EWMA!$I$8*SQRT($J28)-Foglio1!$P$7*EWMA!$J28</f>
        <v>0.19550578378732048</v>
      </c>
      <c r="R28">
        <f>Foglio1!$U$8*EWMA!$I$8*SQRT($J28)-Foglio1!$P$7*EWMA!$J28</f>
        <v>0.21359146312546937</v>
      </c>
      <c r="U28">
        <f>Foglio1!$U$6*EWMA!$J$4*SQRT($J28)-Foglio1!$P$13*EWMA!$J28</f>
        <v>0.18751133001395906</v>
      </c>
      <c r="V28">
        <f>Foglio1!$U$7*EWMA!$J$4*SQRT($J28)-Foglio1!$P$13*EWMA!$J28</f>
        <v>0.24223049633724109</v>
      </c>
      <c r="W28">
        <f>Foglio1!$U$8*EWMA!$J$4*SQRT($J28)-Foglio1!$P$13*EWMA!$J28</f>
        <v>0.26226208999210499</v>
      </c>
    </row>
    <row r="29" spans="3:23" x14ac:dyDescent="0.2">
      <c r="C29" s="2">
        <f>EWMA!$G$2*C30+(1-EWMA!$G$2)*(Foglio1!E30)^2</f>
        <v>1.7783667751177521E-3</v>
      </c>
      <c r="D29" s="2">
        <f>EWMA!$G$2*D30+(1-EWMA!$G$2)*(Foglio1!I30)^2</f>
        <v>4.3403654448648655E-4</v>
      </c>
      <c r="F29">
        <f>EWMA!$G$2*F30+(1-EWMA!$G$2)*Foglio1!E24*Foglio1!I24</f>
        <v>-4.4579913264160993E-5</v>
      </c>
      <c r="J29" s="39">
        <v>22</v>
      </c>
      <c r="K29">
        <f>Foglio1!$U$6*EWMA!$H$8*SQRT($J29)-Foglio1!$O$7*EWMA!$J29</f>
        <v>0.32313754139485895</v>
      </c>
      <c r="L29">
        <f>Foglio1!$U$7*EWMA!$H$8*SQRT($J29)-Foglio1!$O$7*EWMA!$J29</f>
        <v>0.42055048322629485</v>
      </c>
      <c r="M29">
        <f>Foglio1!$U$8*EWMA!$H$8*SQRT($J29)-Foglio1!$O$7*EWMA!$J29</f>
        <v>0.45621141519232078</v>
      </c>
      <c r="N29" s="2"/>
      <c r="P29">
        <f>Foglio1!$U$6*EWMA!$I$8*SQRT($J29)-Foglio1!$P$7*EWMA!$J29</f>
        <v>0.15018733003535101</v>
      </c>
      <c r="Q29">
        <f>Foglio1!$U$7*EWMA!$I$8*SQRT($J29)-Foglio1!$P$7*EWMA!$J29</f>
        <v>0.20075355001936587</v>
      </c>
      <c r="R29">
        <f>Foglio1!$U$8*EWMA!$I$8*SQRT($J29)-Foglio1!$P$7*EWMA!$J29</f>
        <v>0.21926483298369101</v>
      </c>
      <c r="U29">
        <f>Foglio1!$U$6*EWMA!$J$4*SQRT($J29)-Foglio1!$P$13*EWMA!$J29</f>
        <v>0.1932593453673887</v>
      </c>
      <c r="V29">
        <f>Foglio1!$U$7*EWMA!$J$4*SQRT($J29)-Foglio1!$P$13*EWMA!$J29</f>
        <v>0.24926619766436858</v>
      </c>
      <c r="W29">
        <f>Foglio1!$U$8*EWMA!$J$4*SQRT($J29)-Foglio1!$P$13*EWMA!$J29</f>
        <v>0.26976918742983458</v>
      </c>
    </row>
    <row r="30" spans="3:23" x14ac:dyDescent="0.2">
      <c r="C30" s="2">
        <f>EWMA!$G$2*C31+(1-EWMA!$G$2)*(Foglio1!E31)^2</f>
        <v>1.706355678451933E-3</v>
      </c>
      <c r="D30" s="2">
        <f>EWMA!$G$2*D31+(1-EWMA!$G$2)*(Foglio1!I31)^2</f>
        <v>3.416556761434778E-4</v>
      </c>
      <c r="F30">
        <f>EWMA!$G$2*F31+(1-EWMA!$G$2)*Foglio1!E25*Foglio1!I25</f>
        <v>-6.0351995120234518E-5</v>
      </c>
      <c r="J30" s="39">
        <v>23</v>
      </c>
      <c r="K30">
        <f>Foglio1!$U$6*EWMA!$H$8*SQRT($J30)-Foglio1!$O$7*EWMA!$J30</f>
        <v>0.33242269170114441</v>
      </c>
      <c r="L30">
        <f>Foglio1!$U$7*EWMA!$H$8*SQRT($J30)-Foglio1!$O$7*EWMA!$J30</f>
        <v>0.43202496176332233</v>
      </c>
      <c r="M30">
        <f>Foglio1!$U$8*EWMA!$H$8*SQRT($J30)-Foglio1!$O$7*EWMA!$J30</f>
        <v>0.46848736305796052</v>
      </c>
      <c r="N30" s="2"/>
      <c r="P30">
        <f>Foglio1!$U$6*EWMA!$I$8*SQRT($J30)-Foglio1!$P$7*EWMA!$J30</f>
        <v>0.15420941769481758</v>
      </c>
      <c r="Q30">
        <f>Foglio1!$U$7*EWMA!$I$8*SQRT($J30)-Foglio1!$P$7*EWMA!$J30</f>
        <v>0.20591209912688602</v>
      </c>
      <c r="R30">
        <f>Foglio1!$U$8*EWMA!$I$8*SQRT($J30)-Foglio1!$P$7*EWMA!$J30</f>
        <v>0.22483941792401846</v>
      </c>
      <c r="U30">
        <f>Foglio1!$U$6*EWMA!$J$4*SQRT($J30)-Foglio1!$P$13*EWMA!$J30</f>
        <v>0.19893749220854323</v>
      </c>
      <c r="V30">
        <f>Foglio1!$U$7*EWMA!$J$4*SQRT($J30)-Foglio1!$P$13*EWMA!$J30</f>
        <v>0.25620308262125469</v>
      </c>
      <c r="W30">
        <f>Foglio1!$U$8*EWMA!$J$4*SQRT($J30)-Foglio1!$P$13*EWMA!$J30</f>
        <v>0.27716687126481865</v>
      </c>
    </row>
    <row r="31" spans="3:23" x14ac:dyDescent="0.2">
      <c r="C31" s="2">
        <f>EWMA!$G$2*C32+(1-EWMA!$G$2)*(Foglio1!E32)^2</f>
        <v>1.7653489586425318E-3</v>
      </c>
      <c r="D31" s="2">
        <f>EWMA!$G$2*D32+(1-EWMA!$G$2)*(Foglio1!I32)^2</f>
        <v>3.5166306679177512E-4</v>
      </c>
      <c r="F31">
        <f>EWMA!$G$2*F32+(1-EWMA!$G$2)*Foglio1!E26*Foglio1!I26</f>
        <v>-5.6351030070607208E-5</v>
      </c>
      <c r="J31" s="39">
        <v>24</v>
      </c>
      <c r="K31">
        <f>Foglio1!$U$6*EWMA!$H$8*SQRT($J31)-Foglio1!$O$7*EWMA!$J31</f>
        <v>0.34159416428363365</v>
      </c>
      <c r="L31">
        <f>Foglio1!$U$7*EWMA!$H$8*SQRT($J31)-Foglio1!$O$7*EWMA!$J31</f>
        <v>0.44333866372622427</v>
      </c>
      <c r="M31">
        <f>Foglio1!$U$8*EWMA!$H$8*SQRT($J31)-Foglio1!$O$7*EWMA!$J31</f>
        <v>0.48058529240127268</v>
      </c>
      <c r="N31" s="2"/>
      <c r="P31">
        <f>Foglio1!$U$6*EWMA!$I$8*SQRT($J31)-Foglio1!$P$7*EWMA!$J31</f>
        <v>0.15817249622592103</v>
      </c>
      <c r="Q31">
        <f>Foglio1!$U$7*EWMA!$I$8*SQRT($J31)-Foglio1!$P$7*EWMA!$J31</f>
        <v>0.21098719049806586</v>
      </c>
      <c r="R31">
        <f>Foglio1!$U$8*EWMA!$I$8*SQRT($J31)-Foglio1!$P$7*EWMA!$J31</f>
        <v>0.23032159498104002</v>
      </c>
      <c r="U31">
        <f>Foglio1!$U$6*EWMA!$J$4*SQRT($J31)-Foglio1!$P$13*EWMA!$J31</f>
        <v>0.20455028088099442</v>
      </c>
      <c r="V31">
        <f>Foglio1!$U$7*EWMA!$J$4*SQRT($J31)-Foglio1!$P$13*EWMA!$J31</f>
        <v>0.26304753027288585</v>
      </c>
      <c r="W31">
        <f>Foglio1!$U$8*EWMA!$J$4*SQRT($J31)-Foglio1!$P$13*EWMA!$J31</f>
        <v>0.28446220466362176</v>
      </c>
    </row>
    <row r="32" spans="3:23" x14ac:dyDescent="0.2">
      <c r="C32" s="2">
        <f>EWMA!$G$2*C33+(1-EWMA!$G$2)*(Foglio1!E33)^2</f>
        <v>1.8390069448976265E-3</v>
      </c>
      <c r="D32" s="2">
        <f>EWMA!$G$2*D33+(1-EWMA!$G$2)*(Foglio1!I33)^2</f>
        <v>3.7370054578123881E-4</v>
      </c>
      <c r="F32">
        <f>EWMA!$G$2*F33+(1-EWMA!$G$2)*Foglio1!E27*Foglio1!I27</f>
        <v>-8.0081727516810326E-5</v>
      </c>
      <c r="J32" s="39">
        <v>25</v>
      </c>
      <c r="K32">
        <f>Foglio1!$U$6*EWMA!$H$8*SQRT($J32)-Foglio1!$O$7*EWMA!$J32</f>
        <v>0.35065899461640992</v>
      </c>
      <c r="L32">
        <f>Foglio1!$U$7*EWMA!$H$8*SQRT($J32)-Foglio1!$O$7*EWMA!$J32</f>
        <v>0.45450153952025762</v>
      </c>
      <c r="M32">
        <f>Foglio1!$U$8*EWMA!$H$8*SQRT($J32)-Foglio1!$O$7*EWMA!$J32</f>
        <v>0.49251622072558465</v>
      </c>
      <c r="N32" s="2"/>
      <c r="P32">
        <f>Foglio1!$U$6*EWMA!$I$8*SQRT($J32)-Foglio1!$P$7*EWMA!$J32</f>
        <v>0.16208021768272621</v>
      </c>
      <c r="Q32">
        <f>Foglio1!$U$7*EWMA!$I$8*SQRT($J32)-Foglio1!$P$7*EWMA!$J32</f>
        <v>0.21598398930266294</v>
      </c>
      <c r="R32">
        <f>Foglio1!$U$8*EWMA!$I$8*SQRT($J32)-Foglio1!$P$7*EWMA!$J32</f>
        <v>0.2357170832459406</v>
      </c>
      <c r="U32">
        <f>Foglio1!$U$6*EWMA!$J$4*SQRT($J32)-Foglio1!$P$13*EWMA!$J32</f>
        <v>0.21010175637866613</v>
      </c>
      <c r="V32">
        <f>Foglio1!$U$7*EWMA!$J$4*SQRT($J32)-Foglio1!$P$13*EWMA!$J32</f>
        <v>0.26980526153136097</v>
      </c>
      <c r="W32">
        <f>Foglio1!$U$8*EWMA!$J$4*SQRT($J32)-Foglio1!$P$13*EWMA!$J32</f>
        <v>0.29166152205850643</v>
      </c>
    </row>
    <row r="33" spans="3:23" x14ac:dyDescent="0.2">
      <c r="C33" s="2">
        <f>EWMA!$G$2*C34+(1-EWMA!$G$2)*(Foglio1!E34)^2</f>
        <v>1.6076906613381697E-3</v>
      </c>
      <c r="D33" s="2">
        <f>EWMA!$G$2*D34+(1-EWMA!$G$2)*(Foglio1!I34)^2</f>
        <v>3.8189256361038552E-4</v>
      </c>
      <c r="F33">
        <f>EWMA!$G$2*F34+(1-EWMA!$G$2)*Foglio1!E28*Foglio1!I28</f>
        <v>-9.0293236639148975E-5</v>
      </c>
      <c r="J33" s="39">
        <v>26</v>
      </c>
      <c r="K33">
        <f>Foglio1!$U$6*EWMA!$H$8*SQRT($J33)-Foglio1!$O$7*EWMA!$J33</f>
        <v>0.35962352108775109</v>
      </c>
      <c r="L33">
        <f>Foglio1!$U$7*EWMA!$H$8*SQRT($J33)-Foglio1!$O$7*EWMA!$J33</f>
        <v>0.46552255364892203</v>
      </c>
      <c r="M33">
        <f>Foglio1!$U$8*EWMA!$H$8*SQRT($J33)-Foglio1!$O$7*EWMA!$J33</f>
        <v>0.5042900739027163</v>
      </c>
      <c r="N33" s="2"/>
      <c r="P33">
        <f>Foglio1!$U$6*EWMA!$I$8*SQRT($J33)-Foglio1!$P$7*EWMA!$J33</f>
        <v>0.16593587226805395</v>
      </c>
      <c r="Q33">
        <f>Foglio1!$U$7*EWMA!$I$8*SQRT($J33)-Foglio1!$P$7*EWMA!$J33</f>
        <v>0.22090714893731522</v>
      </c>
      <c r="R33">
        <f>Foglio1!$U$8*EWMA!$I$8*SQRT($J33)-Foglio1!$P$7*EWMA!$J33</f>
        <v>0.2410310351533817</v>
      </c>
      <c r="U33">
        <f>Foglio1!$U$6*EWMA!$J$4*SQRT($J33)-Foglio1!$P$13*EWMA!$J33</f>
        <v>0.21559556291114085</v>
      </c>
      <c r="V33">
        <f>Foglio1!$U$7*EWMA!$J$4*SQRT($J33)-Foglio1!$P$13*EWMA!$J33</f>
        <v>0.27648143047183649</v>
      </c>
      <c r="W33">
        <f>Foglio1!$U$8*EWMA!$J$4*SQRT($J33)-Foglio1!$P$13*EWMA!$J33</f>
        <v>0.298770530256253</v>
      </c>
    </row>
    <row r="34" spans="3:23" x14ac:dyDescent="0.2">
      <c r="C34" s="2">
        <f>EWMA!$G$2*C35+(1-EWMA!$G$2)*(Foglio1!E35)^2</f>
        <v>1.7102901020800182E-3</v>
      </c>
      <c r="D34" s="2">
        <f>EWMA!$G$2*D35+(1-EWMA!$G$2)*(Foglio1!I35)^2</f>
        <v>4.0330847693615524E-4</v>
      </c>
      <c r="F34">
        <f>EWMA!$G$2*F35+(1-EWMA!$G$2)*Foglio1!E29*Foglio1!I29</f>
        <v>-1.4285057644407311E-4</v>
      </c>
      <c r="J34" s="39">
        <v>27</v>
      </c>
      <c r="K34">
        <f>Foglio1!$U$6*EWMA!$H$8*SQRT($J34)-Foglio1!$O$7*EWMA!$J34</f>
        <v>0.36849347802649945</v>
      </c>
      <c r="L34">
        <f>Foglio1!$U$7*EWMA!$H$8*SQRT($J34)-Foglio1!$O$7*EWMA!$J34</f>
        <v>0.47640981628292955</v>
      </c>
      <c r="M34">
        <f>Foglio1!$U$8*EWMA!$H$8*SQRT($J34)-Foglio1!$O$7*EWMA!$J34</f>
        <v>0.51591583185162559</v>
      </c>
      <c r="N34" s="2"/>
      <c r="P34">
        <f>Foglio1!$U$6*EWMA!$I$8*SQRT($J34)-Foglio1!$P$7*EWMA!$J34</f>
        <v>0.16974243662266933</v>
      </c>
      <c r="Q34">
        <f>Foglio1!$U$7*EWMA!$I$8*SQRT($J34)-Foglio1!$P$7*EWMA!$J34</f>
        <v>0.2257608793218612</v>
      </c>
      <c r="R34">
        <f>Foglio1!$U$8*EWMA!$I$8*SQRT($J34)-Foglio1!$P$7*EWMA!$J34</f>
        <v>0.24626811210203314</v>
      </c>
      <c r="U34">
        <f>Foglio1!$U$6*EWMA!$J$4*SQRT($J34)-Foglio1!$P$13*EWMA!$J34</f>
        <v>0.22103499738848464</v>
      </c>
      <c r="V34">
        <f>Foglio1!$U$7*EWMA!$J$4*SQRT($J34)-Foglio1!$P$13*EWMA!$J34</f>
        <v>0.28308069997713525</v>
      </c>
      <c r="W34">
        <f>Foglio1!$U$8*EWMA!$J$4*SQRT($J34)-Foglio1!$P$13*EWMA!$J34</f>
        <v>0.30579439219502214</v>
      </c>
    </row>
    <row r="35" spans="3:23" x14ac:dyDescent="0.2">
      <c r="C35" s="2">
        <f>EWMA!$G$2*C36+(1-EWMA!$G$2)*(Foglio1!E36)^2</f>
        <v>1.6682435947315676E-3</v>
      </c>
      <c r="D35" s="2">
        <f>EWMA!$G$2*D36+(1-EWMA!$G$2)*(Foglio1!I36)^2</f>
        <v>4.2679247386568367E-4</v>
      </c>
      <c r="F35">
        <f>EWMA!$G$2*F36+(1-EWMA!$G$2)*Foglio1!E30*Foglio1!I30</f>
        <v>-1.8031055406331223E-4</v>
      </c>
      <c r="J35" s="39">
        <v>28</v>
      </c>
      <c r="K35">
        <f>Foglio1!$U$6*EWMA!$H$8*SQRT($J35)-Foglio1!$O$7*EWMA!$J35</f>
        <v>0.37727407335069785</v>
      </c>
      <c r="L35">
        <f>Foglio1!$U$7*EWMA!$H$8*SQRT($J35)-Foglio1!$O$7*EWMA!$J35</f>
        <v>0.48717069308015332</v>
      </c>
      <c r="M35">
        <f>Foglio1!$U$8*EWMA!$H$8*SQRT($J35)-Foglio1!$O$7*EWMA!$J35</f>
        <v>0.52740165013563189</v>
      </c>
      <c r="N35" s="2"/>
      <c r="P35">
        <f>Foglio1!$U$6*EWMA!$I$8*SQRT($J35)-Foglio1!$P$7*EWMA!$J35</f>
        <v>0.17350261413202062</v>
      </c>
      <c r="Q35">
        <f>Foglio1!$U$7*EWMA!$I$8*SQRT($J35)-Foglio1!$P$7*EWMA!$J35</f>
        <v>0.23054900390593019</v>
      </c>
      <c r="R35">
        <f>Foglio1!$U$8*EWMA!$I$8*SQRT($J35)-Foglio1!$P$7*EWMA!$J35</f>
        <v>0.25143254757464523</v>
      </c>
      <c r="U35">
        <f>Foglio1!$U$6*EWMA!$J$4*SQRT($J35)-Foglio1!$P$13*EWMA!$J35</f>
        <v>0.22642305406475788</v>
      </c>
      <c r="V35">
        <f>Foglio1!$U$7*EWMA!$J$4*SQRT($J35)-Foglio1!$P$13*EWMA!$J35</f>
        <v>0.28960730487791547</v>
      </c>
      <c r="W35">
        <f>Foglio1!$U$8*EWMA!$J$4*SQRT($J35)-Foglio1!$P$13*EWMA!$J35</f>
        <v>0.31273779685578124</v>
      </c>
    </row>
    <row r="36" spans="3:23" x14ac:dyDescent="0.2">
      <c r="C36" s="2">
        <f>EWMA!$G$2*C37+(1-EWMA!$G$2)*(Foglio1!E37)^2</f>
        <v>1.769332200079345E-3</v>
      </c>
      <c r="D36" s="2">
        <f>EWMA!$G$2*D37+(1-EWMA!$G$2)*(Foglio1!I37)^2</f>
        <v>3.3241795477380364E-4</v>
      </c>
      <c r="F36">
        <f>EWMA!$G$2*F37+(1-EWMA!$G$2)*Foglio1!E31*Foglio1!I31</f>
        <v>-4.2559245122751419E-5</v>
      </c>
      <c r="J36" s="39">
        <v>29</v>
      </c>
      <c r="K36">
        <f>Foglio1!$U$6*EWMA!$H$8*SQRT($J36)-Foglio1!$O$7*EWMA!$J36</f>
        <v>0.38597005383578742</v>
      </c>
      <c r="L36">
        <f>Foglio1!$U$7*EWMA!$H$8*SQRT($J36)-Foglio1!$O$7*EWMA!$J36</f>
        <v>0.49781189749568444</v>
      </c>
      <c r="M36">
        <f>Foglio1!$U$8*EWMA!$H$8*SQRT($J36)-Foglio1!$O$7*EWMA!$J36</f>
        <v>0.5387549621719574</v>
      </c>
      <c r="N36" s="2"/>
      <c r="P36">
        <f>Foglio1!$U$6*EWMA!$I$8*SQRT($J36)-Foglio1!$P$7*EWMA!$J36</f>
        <v>0.17721886880639898</v>
      </c>
      <c r="Q36">
        <f>Foglio1!$U$7*EWMA!$I$8*SQRT($J36)-Foglio1!$P$7*EWMA!$J36</f>
        <v>0.23527500758629877</v>
      </c>
      <c r="R36">
        <f>Foglio1!$U$8*EWMA!$I$8*SQRT($J36)-Foglio1!$P$7*EWMA!$J36</f>
        <v>0.25652820019414235</v>
      </c>
      <c r="U36">
        <f>Foglio1!$U$6*EWMA!$J$4*SQRT($J36)-Foglio1!$P$13*EWMA!$J36</f>
        <v>0.23176246206348372</v>
      </c>
      <c r="V36">
        <f>Foglio1!$U$7*EWMA!$J$4*SQRT($J36)-Foglio1!$P$13*EWMA!$J36</f>
        <v>0.29606510502565686</v>
      </c>
      <c r="W36">
        <f>Foglio1!$U$8*EWMA!$J$4*SQRT($J36)-Foglio1!$P$13*EWMA!$J36</f>
        <v>0.31960501802692626</v>
      </c>
    </row>
    <row r="37" spans="3:23" x14ac:dyDescent="0.2">
      <c r="C37" s="2">
        <f>EWMA!$G$2*C38+(1-EWMA!$G$2)*(Foglio1!E38)^2</f>
        <v>1.8695453837276354E-3</v>
      </c>
      <c r="D37" s="2">
        <f>EWMA!$G$2*D38+(1-EWMA!$G$2)*(Foglio1!I38)^2</f>
        <v>3.5234631121251281E-4</v>
      </c>
      <c r="F37">
        <f>EWMA!$G$2*F38+(1-EWMA!$G$2)*Foglio1!E32*Foglio1!I32</f>
        <v>-6.954743786373609E-5</v>
      </c>
      <c r="J37" s="39">
        <v>30</v>
      </c>
      <c r="K37">
        <f>Foglio1!$U$6*EWMA!$H$8*SQRT($J37)-Foglio1!$O$7*EWMA!$J37</f>
        <v>0.39458576033276516</v>
      </c>
      <c r="L37">
        <f>Foglio1!$U$7*EWMA!$H$8*SQRT($J37)-Foglio1!$O$7*EWMA!$J37</f>
        <v>0.5083395688779262</v>
      </c>
      <c r="M37">
        <f>Foglio1!$U$8*EWMA!$H$8*SQRT($J37)-Foglio1!$O$7*EWMA!$J37</f>
        <v>0.54998256570297677</v>
      </c>
      <c r="N37" s="2"/>
      <c r="P37">
        <f>Foglio1!$U$6*EWMA!$I$8*SQRT($J37)-Foglio1!$P$7*EWMA!$J37</f>
        <v>0.18089345394420914</v>
      </c>
      <c r="Q37">
        <f>Foglio1!$U$7*EWMA!$I$8*SQRT($J37)-Foglio1!$P$7*EWMA!$J37</f>
        <v>0.23994207724590144</v>
      </c>
      <c r="R37">
        <f>Foglio1!$U$8*EWMA!$I$8*SQRT($J37)-Foglio1!$P$7*EWMA!$J37</f>
        <v>0.26155859861010489</v>
      </c>
      <c r="U37">
        <f>Foglio1!$U$6*EWMA!$J$4*SQRT($J37)-Foglio1!$P$13*EWMA!$J37</f>
        <v>0.23705571712492068</v>
      </c>
      <c r="V37">
        <f>Foglio1!$U$7*EWMA!$J$4*SQRT($J37)-Foglio1!$P$13*EWMA!$J37</f>
        <v>0.30245763019343441</v>
      </c>
      <c r="W37">
        <f>Foglio1!$U$8*EWMA!$J$4*SQRT($J37)-Foglio1!$P$13*EWMA!$J37</f>
        <v>0.32639996402028909</v>
      </c>
    </row>
    <row r="38" spans="3:23" x14ac:dyDescent="0.2">
      <c r="C38" s="2">
        <f>EWMA!$G$2*C39+(1-EWMA!$G$2)*(Foglio1!E39)^2</f>
        <v>1.9575866656521401E-3</v>
      </c>
      <c r="D38" s="2">
        <f>EWMA!$G$2*D39+(1-EWMA!$G$2)*(Foglio1!I39)^2</f>
        <v>3.6602535143716677E-4</v>
      </c>
      <c r="F38">
        <f>EWMA!$G$2*F39+(1-EWMA!$G$2)*Foglio1!E33*Foglio1!I33</f>
        <v>-7.7982215074933516E-5</v>
      </c>
      <c r="J38" s="39">
        <v>31</v>
      </c>
      <c r="K38">
        <f>Foglio1!$U$6*EWMA!$H$8*SQRT($J38)-Foglio1!$O$7*EWMA!$J38</f>
        <v>0.40312517476537607</v>
      </c>
      <c r="L38">
        <f>Foglio1!$U$7*EWMA!$H$8*SQRT($J38)-Foglio1!$O$7*EWMA!$J38</f>
        <v>0.51875933893761994</v>
      </c>
      <c r="M38">
        <f>Foglio1!$U$8*EWMA!$H$8*SQRT($J38)-Foglio1!$O$7*EWMA!$J38</f>
        <v>0.56109069639349274</v>
      </c>
      <c r="N38" s="2"/>
      <c r="P38">
        <f>Foglio1!$U$6*EWMA!$I$8*SQRT($J38)-Foglio1!$P$7*EWMA!$J38</f>
        <v>0.18452843652780757</v>
      </c>
      <c r="Q38">
        <f>Foglio1!$U$7*EWMA!$I$8*SQRT($J38)-Foglio1!$P$7*EWMA!$J38</f>
        <v>0.24455313625732999</v>
      </c>
      <c r="R38">
        <f>Foglio1!$U$8*EWMA!$I$8*SQRT($J38)-Foglio1!$P$7*EWMA!$J38</f>
        <v>0.26652697970248163</v>
      </c>
      <c r="U38">
        <f>Foglio1!$U$6*EWMA!$J$4*SQRT($J38)-Foglio1!$P$13*EWMA!$J38</f>
        <v>0.24230510862675161</v>
      </c>
      <c r="V38">
        <f>Foglio1!$U$7*EWMA!$J$4*SQRT($J38)-Foglio1!$P$13*EWMA!$J38</f>
        <v>0.3087881182917942</v>
      </c>
      <c r="W38">
        <f>Foglio1!$U$8*EWMA!$J$4*SQRT($J38)-Foglio1!$P$13*EWMA!$J38</f>
        <v>0.33312621998534797</v>
      </c>
    </row>
    <row r="39" spans="3:23" x14ac:dyDescent="0.2">
      <c r="C39" s="2">
        <f>EWMA!$G$2*C40+(1-EWMA!$G$2)*(Foglio1!E40)^2</f>
        <v>2.0684000099898186E-3</v>
      </c>
      <c r="D39" s="2">
        <f>EWMA!$G$2*D40+(1-EWMA!$G$2)*(Foglio1!I40)^2</f>
        <v>3.6839363271304283E-4</v>
      </c>
      <c r="F39">
        <f>EWMA!$G$2*F40+(1-EWMA!$G$2)*Foglio1!E34*Foglio1!I34</f>
        <v>-9.0608263368125015E-6</v>
      </c>
      <c r="J39" s="39">
        <v>32</v>
      </c>
      <c r="K39">
        <f>Foglio1!$U$6*EWMA!$H$8*SQRT($J39)-Foglio1!$O$7*EWMA!$J39</f>
        <v>0.41159196035455781</v>
      </c>
      <c r="L39">
        <f>Foglio1!$U$7*EWMA!$H$8*SQRT($J39)-Foglio1!$O$7*EWMA!$J39</f>
        <v>0.52907638863804463</v>
      </c>
      <c r="M39">
        <f>Foglio1!$U$8*EWMA!$H$8*SQRT($J39)-Foglio1!$O$7*EWMA!$J39</f>
        <v>0.57208509082193504</v>
      </c>
      <c r="N39" s="2"/>
      <c r="P39">
        <f>Foglio1!$U$6*EWMA!$I$8*SQRT($J39)-Foglio1!$P$7*EWMA!$J39</f>
        <v>0.18812571810366535</v>
      </c>
      <c r="Q39">
        <f>Foglio1!$U$7*EWMA!$I$8*SQRT($J39)-Foglio1!$P$7*EWMA!$J39</f>
        <v>0.24911087401404652</v>
      </c>
      <c r="R39">
        <f>Foglio1!$U$8*EWMA!$I$8*SQRT($J39)-Foglio1!$P$7*EWMA!$J39</f>
        <v>0.27143632127977907</v>
      </c>
      <c r="U39">
        <f>Foglio1!$U$6*EWMA!$J$4*SQRT($J39)-Foglio1!$P$13*EWMA!$J39</f>
        <v>0.24751274271083121</v>
      </c>
      <c r="V39">
        <f>Foglio1!$U$7*EWMA!$J$4*SQRT($J39)-Foglio1!$P$13*EWMA!$J39</f>
        <v>0.31505954807735359</v>
      </c>
      <c r="W39">
        <f>Foglio1!$U$8*EWMA!$J$4*SQRT($J39)-Foglio1!$P$13*EWMA!$J39</f>
        <v>0.3397870841255527</v>
      </c>
    </row>
    <row r="40" spans="3:23" x14ac:dyDescent="0.2">
      <c r="C40" s="2">
        <f>EWMA!$G$2*C41+(1-EWMA!$G$2)*(Foglio1!E41)^2</f>
        <v>2.0290103031444756E-3</v>
      </c>
      <c r="D40" s="2">
        <f>EWMA!$G$2*D41+(1-EWMA!$G$2)*(Foglio1!I41)^2</f>
        <v>3.8784998046704035E-4</v>
      </c>
      <c r="F40">
        <f>EWMA!$G$2*F41+(1-EWMA!$G$2)*Foglio1!E35*Foglio1!I35</f>
        <v>-9.4013202433200217E-6</v>
      </c>
      <c r="J40" s="39">
        <v>33</v>
      </c>
      <c r="K40">
        <f>Foglio1!$U$6*EWMA!$H$8*SQRT($J40)-Foglio1!$O$7*EWMA!$J40</f>
        <v>0.41998949622616866</v>
      </c>
      <c r="L40">
        <f>Foglio1!$U$7*EWMA!$H$8*SQRT($J40)-Foglio1!$O$7*EWMA!$J40</f>
        <v>0.53929549714138691</v>
      </c>
      <c r="M40">
        <f>Foglio1!$U$8*EWMA!$H$8*SQRT($J40)-Foglio1!$O$7*EWMA!$J40</f>
        <v>0.58297104067582151</v>
      </c>
      <c r="N40" s="2"/>
      <c r="P40">
        <f>Foglio1!$U$6*EWMA!$I$8*SQRT($J40)-Foglio1!$P$7*EWMA!$J40</f>
        <v>0.19168705274694225</v>
      </c>
      <c r="Q40">
        <f>Foglio1!$U$7*EWMA!$I$8*SQRT($J40)-Foglio1!$P$7*EWMA!$J40</f>
        <v>0.25361777133802332</v>
      </c>
      <c r="R40">
        <f>Foglio1!$U$8*EWMA!$I$8*SQRT($J40)-Foglio1!$P$7*EWMA!$J40</f>
        <v>0.27628937021145905</v>
      </c>
      <c r="U40">
        <f>Foglio1!$U$6*EWMA!$J$4*SQRT($J40)-Foglio1!$P$13*EWMA!$J40</f>
        <v>0.25268056218064416</v>
      </c>
      <c r="V40">
        <f>Foglio1!$U$7*EWMA!$J$4*SQRT($J40)-Foglio1!$P$13*EWMA!$J40</f>
        <v>0.32127466729415644</v>
      </c>
      <c r="W40">
        <f>Foglio1!$U$8*EWMA!$J$4*SQRT($J40)-Foglio1!$P$13*EWMA!$J40</f>
        <v>0.34638559885760511</v>
      </c>
    </row>
    <row r="41" spans="3:23" x14ac:dyDescent="0.2">
      <c r="C41" s="2">
        <f>EWMA!$G$2*C42+(1-EWMA!$G$2)*(Foglio1!E42)^2</f>
        <v>2.0915800074121482E-3</v>
      </c>
      <c r="D41" s="2">
        <f>EWMA!$G$2*D42+(1-EWMA!$G$2)*(Foglio1!I42)^2</f>
        <v>3.8799096425710331E-4</v>
      </c>
      <c r="F41">
        <f>EWMA!$G$2*F42+(1-EWMA!$G$2)*Foglio1!E36*Foglio1!I36</f>
        <v>8.4812104734075207E-6</v>
      </c>
      <c r="J41" s="39">
        <v>34</v>
      </c>
      <c r="K41">
        <f>Foglio1!$U$6*EWMA!$H$8*SQRT($J41)-Foglio1!$O$7*EWMA!$J41</f>
        <v>0.42832090733183015</v>
      </c>
      <c r="L41">
        <f>Foglio1!$U$7*EWMA!$H$8*SQRT($J41)-Foglio1!$O$7*EWMA!$J41</f>
        <v>0.54942108412635993</v>
      </c>
      <c r="M41">
        <f>Foglio1!$U$8*EWMA!$H$8*SQRT($J41)-Foglio1!$O$7*EWMA!$J41</f>
        <v>0.59375343960758831</v>
      </c>
      <c r="N41" s="2"/>
      <c r="P41">
        <f>Foglio1!$U$6*EWMA!$I$8*SQRT($J41)-Foglio1!$P$7*EWMA!$J41</f>
        <v>0.19521406259313859</v>
      </c>
      <c r="Q41">
        <f>Foglio1!$U$7*EWMA!$I$8*SQRT($J41)-Foglio1!$P$7*EWMA!$J41</f>
        <v>0.25807612244645428</v>
      </c>
      <c r="R41">
        <f>Foglio1!$U$8*EWMA!$I$8*SQRT($J41)-Foglio1!$P$7*EWMA!$J41</f>
        <v>0.28108866675039734</v>
      </c>
      <c r="U41">
        <f>Foglio1!$U$6*EWMA!$J$4*SQRT($J41)-Foglio1!$P$13*EWMA!$J41</f>
        <v>0.25781036370407268</v>
      </c>
      <c r="V41">
        <f>Foglio1!$U$7*EWMA!$J$4*SQRT($J41)-Foglio1!$P$13*EWMA!$J41</f>
        <v>0.32743601700387515</v>
      </c>
      <c r="W41">
        <f>Foglio1!$U$8*EWMA!$J$4*SQRT($J41)-Foglio1!$P$13*EWMA!$J41</f>
        <v>0.35292457775087344</v>
      </c>
    </row>
    <row r="42" spans="3:23" x14ac:dyDescent="0.2">
      <c r="C42" s="2">
        <f>EWMA!$G$2*C43+(1-EWMA!$G$2)*(Foglio1!E43)^2</f>
        <v>2.2056502992828689E-3</v>
      </c>
      <c r="D42" s="2">
        <f>EWMA!$G$2*D43+(1-EWMA!$G$2)*(Foglio1!I43)^2</f>
        <v>4.1267300718708969E-4</v>
      </c>
      <c r="F42">
        <f>EWMA!$G$2*F43+(1-EWMA!$G$2)*Foglio1!E37*Foglio1!I37</f>
        <v>-1.6592371975695468E-5</v>
      </c>
      <c r="J42" s="39">
        <v>35</v>
      </c>
      <c r="K42">
        <f>Foglio1!$U$6*EWMA!$H$8*SQRT($J42)-Foglio1!$O$7*EWMA!$J42</f>
        <v>0.43658909043608957</v>
      </c>
      <c r="L42">
        <f>Foglio1!$U$7*EWMA!$H$8*SQRT($J42)-Foglio1!$O$7*EWMA!$J42</f>
        <v>0.55945724654234308</v>
      </c>
      <c r="M42">
        <f>Foglio1!$U$8*EWMA!$H$8*SQRT($J42)-Foglio1!$O$7*EWMA!$J42</f>
        <v>0.60443682393030551</v>
      </c>
      <c r="N42" s="2"/>
      <c r="P42">
        <f>Foglio1!$U$6*EWMA!$I$8*SQRT($J42)-Foglio1!$P$7*EWMA!$J42</f>
        <v>0.19870825132780764</v>
      </c>
      <c r="Q42">
        <f>Foglio1!$U$7*EWMA!$I$8*SQRT($J42)-Foglio1!$P$7*EWMA!$J42</f>
        <v>0.26248805403051301</v>
      </c>
      <c r="R42">
        <f>Foglio1!$U$8*EWMA!$I$8*SQRT($J42)-Foglio1!$P$7*EWMA!$J42</f>
        <v>0.28583656565767906</v>
      </c>
      <c r="U42">
        <f>Foglio1!$U$6*EWMA!$J$4*SQRT($J42)-Foglio1!$P$13*EWMA!$J42</f>
        <v>0.26290381275452396</v>
      </c>
      <c r="V42">
        <f>Foglio1!$U$7*EWMA!$J$4*SQRT($J42)-Foglio1!$P$13*EWMA!$J42</f>
        <v>0.33354595271733234</v>
      </c>
      <c r="W42">
        <f>Foglio1!$U$8*EWMA!$J$4*SQRT($J42)-Foglio1!$P$13*EWMA!$J42</f>
        <v>0.35940662892509301</v>
      </c>
    </row>
    <row r="43" spans="3:23" x14ac:dyDescent="0.2">
      <c r="C43" s="2">
        <f>EWMA!$G$2*C44+(1-EWMA!$G$2)*(Foglio1!E44)^2</f>
        <v>2.294874723561499E-3</v>
      </c>
      <c r="D43" s="2">
        <f>EWMA!$G$2*D44+(1-EWMA!$G$2)*(Foglio1!I44)^2</f>
        <v>4.0396412863689165E-4</v>
      </c>
      <c r="F43">
        <f>EWMA!$G$2*F44+(1-EWMA!$G$2)*Foglio1!E38*Foglio1!I38</f>
        <v>-1.3600514808107817E-5</v>
      </c>
      <c r="J43" s="39">
        <v>36</v>
      </c>
      <c r="K43">
        <f>Foglio1!$U$6*EWMA!$H$8*SQRT($J43)-Foglio1!$O$7*EWMA!$J43</f>
        <v>0.44479673678410664</v>
      </c>
      <c r="L43">
        <f>Foglio1!$U$7*EWMA!$H$8*SQRT($J43)-Foglio1!$O$7*EWMA!$J43</f>
        <v>0.56940779066872382</v>
      </c>
      <c r="M43">
        <f>Foglio1!$U$8*EWMA!$H$8*SQRT($J43)-Foglio1!$O$7*EWMA!$J43</f>
        <v>0.6150254081151163</v>
      </c>
      <c r="N43" s="2"/>
      <c r="P43">
        <f>Foglio1!$U$6*EWMA!$I$8*SQRT($J43)-Foglio1!$P$7*EWMA!$J43</f>
        <v>0.20217101595315698</v>
      </c>
      <c r="Q43">
        <f>Foglio1!$U$7*EWMA!$I$8*SQRT($J43)-Foglio1!$P$7*EWMA!$J43</f>
        <v>0.26685554189708105</v>
      </c>
      <c r="R43">
        <f>Foglio1!$U$8*EWMA!$I$8*SQRT($J43)-Foglio1!$P$7*EWMA!$J43</f>
        <v>0.29053525462901425</v>
      </c>
      <c r="U43">
        <f>Foglio1!$U$6*EWMA!$J$4*SQRT($J43)-Foglio1!$P$13*EWMA!$J43</f>
        <v>0.26796245664354945</v>
      </c>
      <c r="V43">
        <f>Foglio1!$U$7*EWMA!$J$4*SQRT($J43)-Foglio1!$P$13*EWMA!$J43</f>
        <v>0.33960666282678326</v>
      </c>
      <c r="W43">
        <f>Foglio1!$U$8*EWMA!$J$4*SQRT($J43)-Foglio1!$P$13*EWMA!$J43</f>
        <v>0.36583417545935787</v>
      </c>
    </row>
    <row r="44" spans="3:23" x14ac:dyDescent="0.2">
      <c r="C44" s="2">
        <f>EWMA!$G$2*C45+(1-EWMA!$G$2)*(Foglio1!E45)^2</f>
        <v>2.4338603063168082E-3</v>
      </c>
      <c r="D44" s="2">
        <f>EWMA!$G$2*D45+(1-EWMA!$G$2)*(Foglio1!I45)^2</f>
        <v>4.2857113528141008E-4</v>
      </c>
      <c r="F44">
        <f>EWMA!$G$2*F45+(1-EWMA!$G$2)*Foglio1!E39*Foglio1!I39</f>
        <v>2.1359820473951072E-6</v>
      </c>
      <c r="J44" s="39">
        <v>37</v>
      </c>
      <c r="K44">
        <f>Foglio1!$U$6*EWMA!$H$8*SQRT($J44)-Foglio1!$O$7*EWMA!$J44</f>
        <v>0.45294635195384647</v>
      </c>
      <c r="L44">
        <f>Foglio1!$U$7*EWMA!$H$8*SQRT($J44)-Foglio1!$O$7*EWMA!$J44</f>
        <v>0.57927626019223344</v>
      </c>
      <c r="M44">
        <f>Foglio1!$U$8*EWMA!$H$8*SQRT($J44)-Foglio1!$O$7*EWMA!$J44</f>
        <v>0.62552311587963261</v>
      </c>
      <c r="N44" s="2"/>
      <c r="P44">
        <f>Foglio1!$U$6*EWMA!$I$8*SQRT($J44)-Foglio1!$P$7*EWMA!$J44</f>
        <v>0.20560365709315079</v>
      </c>
      <c r="Q44">
        <f>Foglio1!$U$7*EWMA!$I$8*SQRT($J44)-Foglio1!$P$7*EWMA!$J44</f>
        <v>0.27118042554345156</v>
      </c>
      <c r="R44">
        <f>Foglio1!$U$8*EWMA!$I$8*SQRT($J44)-Foglio1!$P$7*EWMA!$J44</f>
        <v>0.29518677043245634</v>
      </c>
      <c r="U44">
        <f>Foglio1!$U$6*EWMA!$J$4*SQRT($J44)-Foglio1!$P$13*EWMA!$J44</f>
        <v>0.27298773593471676</v>
      </c>
      <c r="V44">
        <f>Foglio1!$U$7*EWMA!$J$4*SQRT($J44)-Foglio1!$P$13*EWMA!$J44</f>
        <v>0.34562018474877254</v>
      </c>
      <c r="W44">
        <f>Foglio1!$U$8*EWMA!$J$4*SQRT($J44)-Foglio1!$P$13*EWMA!$J44</f>
        <v>0.37220947326616383</v>
      </c>
    </row>
    <row r="45" spans="3:23" x14ac:dyDescent="0.2">
      <c r="C45" s="2">
        <f>EWMA!$G$2*C46+(1-EWMA!$G$2)*(Foglio1!E46)^2</f>
        <v>1.9614799673826088E-3</v>
      </c>
      <c r="D45" s="2">
        <f>EWMA!$G$2*D46+(1-EWMA!$G$2)*(Foglio1!I46)^2</f>
        <v>4.5578465416383214E-4</v>
      </c>
      <c r="F45">
        <f>EWMA!$G$2*F46+(1-EWMA!$G$2)*Foglio1!E40*Foglio1!I40</f>
        <v>1.9501621177284681E-5</v>
      </c>
      <c r="J45" s="39">
        <v>38</v>
      </c>
      <c r="K45">
        <f>Foglio1!$U$6*EWMA!$H$8*SQRT($J45)-Foglio1!$O$7*EWMA!$J45</f>
        <v>0.46104027330875341</v>
      </c>
      <c r="L45">
        <f>Foglio1!$U$7*EWMA!$H$8*SQRT($J45)-Foglio1!$O$7*EWMA!$J45</f>
        <v>0.58906596089059615</v>
      </c>
      <c r="M45">
        <f>Foglio1!$U$8*EWMA!$H$8*SQRT($J45)-Foglio1!$O$7*EWMA!$J45</f>
        <v>0.63593360751869998</v>
      </c>
      <c r="N45" s="2"/>
      <c r="P45">
        <f>Foglio1!$U$6*EWMA!$I$8*SQRT($J45)-Foglio1!$P$7*EWMA!$J45</f>
        <v>0.20900738805304281</v>
      </c>
      <c r="Q45">
        <f>Foglio1!$U$7*EWMA!$I$8*SQRT($J45)-Foglio1!$P$7*EWMA!$J45</f>
        <v>0.27546442097039875</v>
      </c>
      <c r="R45">
        <f>Foglio1!$U$8*EWMA!$I$8*SQRT($J45)-Foglio1!$P$7*EWMA!$J45</f>
        <v>0.29979301309556738</v>
      </c>
      <c r="U45">
        <f>Foglio1!$U$6*EWMA!$J$4*SQRT($J45)-Foglio1!$P$13*EWMA!$J45</f>
        <v>0.27798099447789554</v>
      </c>
      <c r="V45">
        <f>Foglio1!$U$7*EWMA!$J$4*SQRT($J45)-Foglio1!$P$13*EWMA!$J45</f>
        <v>0.35158841911581601</v>
      </c>
      <c r="W45">
        <f>Foglio1!$U$8*EWMA!$J$4*SQRT($J45)-Foglio1!$P$13*EWMA!$J45</f>
        <v>0.37853462680503075</v>
      </c>
    </row>
    <row r="46" spans="3:23" x14ac:dyDescent="0.2">
      <c r="C46" s="2">
        <f>EWMA!$G$2*C47+(1-EWMA!$G$2)*(Foglio1!E47)^2</f>
        <v>9.8148813474061925E-4</v>
      </c>
      <c r="D46" s="2">
        <f>EWMA!$G$2*D47+(1-EWMA!$G$2)*(Foglio1!I47)^2</f>
        <v>4.8399584507511441E-4</v>
      </c>
      <c r="F46">
        <f>EWMA!$G$2*F47+(1-EWMA!$G$2)*Foglio1!E41*Foglio1!I41</f>
        <v>-5.628335129744574E-6</v>
      </c>
      <c r="J46" s="39">
        <v>39</v>
      </c>
      <c r="K46">
        <f>Foglio1!$U$6*EWMA!$H$8*SQRT($J46)-Foglio1!$O$7*EWMA!$J46</f>
        <v>0.46908068539614106</v>
      </c>
      <c r="L46">
        <f>Foglio1!$U$7*EWMA!$H$8*SQRT($J46)-Foglio1!$O$7*EWMA!$J46</f>
        <v>0.59877998241076602</v>
      </c>
      <c r="M46">
        <f>Foglio1!$U$8*EWMA!$H$8*SQRT($J46)-Foglio1!$O$7*EWMA!$J46</f>
        <v>0.64626030401817014</v>
      </c>
      <c r="N46" s="2"/>
      <c r="P46">
        <f>Foglio1!$U$6*EWMA!$I$8*SQRT($J46)-Foglio1!$P$7*EWMA!$J46</f>
        <v>0.21238334281254817</v>
      </c>
      <c r="Q46">
        <f>Foglio1!$U$7*EWMA!$I$8*SQRT($J46)-Foglio1!$P$7*EWMA!$J46</f>
        <v>0.27970913198707403</v>
      </c>
      <c r="R46">
        <f>Foglio1!$U$8*EWMA!$I$8*SQRT($J46)-Foglio1!$P$7*EWMA!$J46</f>
        <v>0.30435575842266938</v>
      </c>
      <c r="U46">
        <f>Foglio1!$U$6*EWMA!$J$4*SQRT($J46)-Foglio1!$P$13*EWMA!$J46</f>
        <v>0.28294348826244853</v>
      </c>
      <c r="V46">
        <f>Foglio1!$U$7*EWMA!$J$4*SQRT($J46)-Foglio1!$P$13*EWMA!$J46</f>
        <v>0.35751314229763809</v>
      </c>
      <c r="W46">
        <f>Foglio1!$U$8*EWMA!$J$4*SQRT($J46)-Foglio1!$P$13*EWMA!$J46</f>
        <v>0.38481160294653755</v>
      </c>
    </row>
    <row r="47" spans="3:23" x14ac:dyDescent="0.2">
      <c r="C47" s="2">
        <f>EWMA!$G$2*C48+(1-EWMA!$G$2)*(Foglio1!E48)^2</f>
        <v>9.4224437844684923E-4</v>
      </c>
      <c r="D47" s="2">
        <f>EWMA!$G$2*D48+(1-EWMA!$G$2)*(Foglio1!I48)^2</f>
        <v>5.1390977372295767E-4</v>
      </c>
      <c r="F47">
        <f>EWMA!$G$2*F48+(1-EWMA!$G$2)*Foglio1!E42*Foglio1!I42</f>
        <v>-4.6580618511835476E-5</v>
      </c>
      <c r="J47" s="39">
        <v>40</v>
      </c>
      <c r="K47">
        <f>Foglio1!$U$6*EWMA!$H$8*SQRT($J47)-Foglio1!$O$7*EWMA!$J47</f>
        <v>0.47706963357932453</v>
      </c>
      <c r="L47">
        <f>Foglio1!$U$7*EWMA!$H$8*SQRT($J47)-Foglio1!$O$7*EWMA!$J47</f>
        <v>0.60842121754911227</v>
      </c>
      <c r="M47">
        <f>Foglio1!$U$8*EWMA!$H$8*SQRT($J47)-Foglio1!$O$7*EWMA!$J47</f>
        <v>0.65650640840272367</v>
      </c>
      <c r="N47" s="2"/>
      <c r="P47">
        <f>Foglio1!$U$6*EWMA!$I$8*SQRT($J47)-Foglio1!$P$7*EWMA!$J47</f>
        <v>0.21573258310216586</v>
      </c>
      <c r="Q47">
        <f>Foglio1!$U$7*EWMA!$I$8*SQRT($J47)-Foglio1!$P$7*EWMA!$J47</f>
        <v>0.28391606021918359</v>
      </c>
      <c r="R47">
        <f>Foglio1!$U$8*EWMA!$I$8*SQRT($J47)-Foglio1!$P$7*EWMA!$J47</f>
        <v>0.30887666907631595</v>
      </c>
      <c r="U47">
        <f>Foglio1!$U$6*EWMA!$J$4*SQRT($J47)-Foglio1!$P$13*EWMA!$J47</f>
        <v>0.2878763932549252</v>
      </c>
      <c r="V47">
        <f>Foglio1!$U$7*EWMA!$J$4*SQRT($J47)-Foglio1!$P$13*EWMA!$J47</f>
        <v>0.36339601748617106</v>
      </c>
      <c r="W47">
        <f>Foglio1!$U$8*EWMA!$J$4*SQRT($J47)-Foglio1!$P$13*EWMA!$J47</f>
        <v>0.39104224324609593</v>
      </c>
    </row>
    <row r="48" spans="3:23" x14ac:dyDescent="0.2">
      <c r="C48" s="2">
        <f>EWMA!$G$2*C49+(1-EWMA!$G$2)*(Foglio1!E49)^2</f>
        <v>9.7475886512404753E-4</v>
      </c>
      <c r="D48" s="2">
        <f>EWMA!$G$2*D49+(1-EWMA!$G$2)*(Foglio1!I49)^2</f>
        <v>5.352143545814663E-4</v>
      </c>
      <c r="F48">
        <f>EWMA!$G$2*F49+(1-EWMA!$G$2)*Foglio1!E43*Foglio1!I43</f>
        <v>-5.0826505792605503E-5</v>
      </c>
      <c r="J48" s="39">
        <v>41</v>
      </c>
      <c r="K48">
        <f>Foglio1!$U$6*EWMA!$H$8*SQRT($J48)-Foglio1!$O$7*EWMA!$J48</f>
        <v>0.4850090361449767</v>
      </c>
      <c r="L48">
        <f>Foglio1!$U$7*EWMA!$H$8*SQRT($J48)-Foglio1!$O$7*EWMA!$J48</f>
        <v>0.61799237937508389</v>
      </c>
      <c r="M48">
        <f>Foglio1!$U$8*EWMA!$H$8*SQRT($J48)-Foglio1!$O$7*EWMA!$J48</f>
        <v>0.66667492469590639</v>
      </c>
      <c r="N48" s="2"/>
      <c r="P48">
        <f>Foglio1!$U$6*EWMA!$I$8*SQRT($J48)-Foglio1!$P$7*EWMA!$J48</f>
        <v>0.21905610468800327</v>
      </c>
      <c r="Q48">
        <f>Foglio1!$U$7*EWMA!$I$8*SQRT($J48)-Foglio1!$P$7*EWMA!$J48</f>
        <v>0.28808661399773566</v>
      </c>
      <c r="R48">
        <f>Foglio1!$U$8*EWMA!$I$8*SQRT($J48)-Foglio1!$P$7*EWMA!$J48</f>
        <v>0.31335730441928378</v>
      </c>
      <c r="U48">
        <f>Foglio1!$U$6*EWMA!$J$4*SQRT($J48)-Foglio1!$P$13*EWMA!$J48</f>
        <v>0.29278081236009718</v>
      </c>
      <c r="V48">
        <f>Foglio1!$U$7*EWMA!$J$4*SQRT($J48)-Foglio1!$P$13*EWMA!$J48</f>
        <v>0.36923860454068064</v>
      </c>
      <c r="W48">
        <f>Foglio1!$U$8*EWMA!$J$4*SQRT($J48)-Foglio1!$P$13*EWMA!$J48</f>
        <v>0.39722827484488304</v>
      </c>
    </row>
    <row r="49" spans="3:23" x14ac:dyDescent="0.2">
      <c r="C49" s="2">
        <f>EWMA!$G$2*C50+(1-EWMA!$G$2)*(Foglio1!E50)^2</f>
        <v>7.3434571470967769E-4</v>
      </c>
      <c r="D49" s="2">
        <f>EWMA!$G$2*D50+(1-EWMA!$G$2)*(Foglio1!I50)^2</f>
        <v>5.5032497465142818E-4</v>
      </c>
      <c r="F49">
        <f>EWMA!$G$2*F50+(1-EWMA!$G$2)*Foglio1!E44*Foglio1!I44</f>
        <v>-9.6582218114681621E-5</v>
      </c>
      <c r="J49" s="39">
        <v>42</v>
      </c>
      <c r="K49">
        <f>Foglio1!$U$6*EWMA!$H$8*SQRT($J49)-Foglio1!$O$7*EWMA!$J49</f>
        <v>0.49290069508911671</v>
      </c>
      <c r="L49">
        <f>Foglio1!$U$7*EWMA!$H$8*SQRT($J49)-Foglio1!$O$7*EWMA!$J49</f>
        <v>0.62749601648603903</v>
      </c>
      <c r="M49">
        <f>Foglio1!$U$8*EWMA!$H$8*SQRT($J49)-Foglio1!$O$7*EWMA!$J49</f>
        <v>0.67676867481091174</v>
      </c>
      <c r="N49" s="2"/>
      <c r="P49">
        <f>Foglio1!$U$6*EWMA!$I$8*SQRT($J49)-Foglio1!$P$7*EWMA!$J49</f>
        <v>0.22235484297068991</v>
      </c>
      <c r="Q49">
        <f>Foglio1!$U$7*EWMA!$I$8*SQRT($J49)-Foglio1!$P$7*EWMA!$J49</f>
        <v>0.29222211627769124</v>
      </c>
      <c r="R49">
        <f>Foglio1!$U$8*EWMA!$I$8*SQRT($J49)-Foglio1!$P$7*EWMA!$J49</f>
        <v>0.31779912928243226</v>
      </c>
      <c r="U49">
        <f>Foglio1!$U$6*EWMA!$J$4*SQRT($J49)-Foglio1!$P$13*EWMA!$J49</f>
        <v>0.29765778162228229</v>
      </c>
      <c r="V49">
        <f>Foglio1!$U$7*EWMA!$J$4*SQRT($J49)-Foglio1!$P$13*EWMA!$J49</f>
        <v>0.37504236875841684</v>
      </c>
      <c r="W49">
        <f>Foglio1!$U$8*EWMA!$J$4*SQRT($J49)-Foglio1!$P$13*EWMA!$J49</f>
        <v>0.40337132018107225</v>
      </c>
    </row>
    <row r="50" spans="3:23" x14ac:dyDescent="0.2">
      <c r="C50" s="2">
        <f>EWMA!$G$2*C51+(1-EWMA!$G$2)*(Foglio1!E51)^2</f>
        <v>7.8087797066288939E-4</v>
      </c>
      <c r="D50" s="2">
        <f>EWMA!$G$2*D51+(1-EWMA!$G$2)*(Foglio1!I51)^2</f>
        <v>5.6966855933757263E-4</v>
      </c>
      <c r="F50">
        <f>EWMA!$G$2*F51+(1-EWMA!$G$2)*Foglio1!E45*Foglio1!I45</f>
        <v>-1.0571849897129609E-4</v>
      </c>
      <c r="J50" s="39">
        <v>43</v>
      </c>
      <c r="K50">
        <f>Foglio1!$U$6*EWMA!$H$8*SQRT($J50)-Foglio1!$O$7*EWMA!$J50</f>
        <v>0.50074630575382595</v>
      </c>
      <c r="L50">
        <f>Foglio1!$U$7*EWMA!$H$8*SQRT($J50)-Foglio1!$O$7*EWMA!$J50</f>
        <v>0.63693452663663619</v>
      </c>
      <c r="M50">
        <f>Foglio1!$U$8*EWMA!$H$8*SQRT($J50)-Foglio1!$O$7*EWMA!$J50</f>
        <v>0.68679031364161047</v>
      </c>
      <c r="N50" s="2"/>
      <c r="P50">
        <f>Foglio1!$U$6*EWMA!$I$8*SQRT($J50)-Foglio1!$P$7*EWMA!$J50</f>
        <v>0.22562967798771383</v>
      </c>
      <c r="Q50">
        <f>Foglio1!$U$7*EWMA!$I$8*SQRT($J50)-Foglio1!$P$7*EWMA!$J50</f>
        <v>0.29632381171286382</v>
      </c>
      <c r="R50">
        <f>Foglio1!$U$8*EWMA!$I$8*SQRT($J50)-Foglio1!$P$7*EWMA!$J50</f>
        <v>0.32220352179832767</v>
      </c>
      <c r="U50">
        <f>Foglio1!$U$6*EWMA!$J$4*SQRT($J50)-Foglio1!$P$13*EWMA!$J50</f>
        <v>0.30250827576590389</v>
      </c>
      <c r="V50">
        <f>Foglio1!$U$7*EWMA!$J$4*SQRT($J50)-Foglio1!$P$13*EWMA!$J50</f>
        <v>0.3808086887107327</v>
      </c>
      <c r="W50">
        <f>Foglio1!$U$8*EWMA!$J$4*SQRT($J50)-Foglio1!$P$13*EWMA!$J50</f>
        <v>0.40947290566630967</v>
      </c>
    </row>
    <row r="51" spans="3:23" x14ac:dyDescent="0.2">
      <c r="C51" s="2">
        <f>EWMA!$G$2*C52+(1-EWMA!$G$2)*(Foglio1!E52)^2</f>
        <v>6.1885847950161963E-4</v>
      </c>
      <c r="D51" s="2">
        <f>EWMA!$G$2*D52+(1-EWMA!$G$2)*(Foglio1!I52)^2</f>
        <v>6.016368981377326E-4</v>
      </c>
      <c r="F51">
        <f>EWMA!$G$2*F52+(1-EWMA!$G$2)*Foglio1!E46*Foglio1!I46</f>
        <v>-1.0302234864944896E-4</v>
      </c>
      <c r="J51" s="39">
        <v>44</v>
      </c>
      <c r="K51">
        <f>Foglio1!$U$6*EWMA!$H$8*SQRT($J51)-Foglio1!$O$7*EWMA!$J51</f>
        <v>0.50854746546091123</v>
      </c>
      <c r="L51">
        <f>Foglio1!$U$7*EWMA!$H$8*SQRT($J51)-Foglio1!$O$7*EWMA!$J51</f>
        <v>0.64631016894958937</v>
      </c>
      <c r="M51">
        <f>Foglio1!$U$8*EWMA!$H$8*SQRT($J51)-Foglio1!$O$7*EWMA!$J51</f>
        <v>0.69674234258280743</v>
      </c>
      <c r="N51" s="2"/>
      <c r="P51">
        <f>Foglio1!$U$6*EWMA!$I$8*SQRT($J51)-Foglio1!$P$7*EWMA!$J51</f>
        <v>0.22888143889508195</v>
      </c>
      <c r="Q51">
        <f>Foglio1!$U$7*EWMA!$I$8*SQRT($J51)-Foglio1!$P$7*EWMA!$J51</f>
        <v>0.30039287299441719</v>
      </c>
      <c r="R51">
        <f>Foglio1!$U$8*EWMA!$I$8*SQRT($J51)-Foglio1!$P$7*EWMA!$J51</f>
        <v>0.32657178041949181</v>
      </c>
      <c r="U51">
        <f>Foglio1!$U$6*EWMA!$J$4*SQRT($J51)-Foglio1!$P$13*EWMA!$J51</f>
        <v>0.30733321315935147</v>
      </c>
      <c r="V51">
        <f>Foglio1!$U$7*EWMA!$J$4*SQRT($J51)-Foglio1!$P$13*EWMA!$J51</f>
        <v>0.38653886326356712</v>
      </c>
      <c r="W51">
        <f>Foglio1!$U$8*EWMA!$J$4*SQRT($J51)-Foglio1!$P$13*EWMA!$J51</f>
        <v>0.4155344694590859</v>
      </c>
    </row>
    <row r="52" spans="3:23" x14ac:dyDescent="0.2">
      <c r="C52" s="2">
        <f>EWMA!$G$2*C53+(1-EWMA!$G$2)*(Foglio1!E53)^2</f>
        <v>6.5800151781028366E-4</v>
      </c>
      <c r="D52" s="2">
        <f>EWMA!$G$2*D53+(1-EWMA!$G$2)*(Foglio1!I53)^2</f>
        <v>6.4000459053321457E-4</v>
      </c>
      <c r="F52">
        <f>EWMA!$G$2*F53+(1-EWMA!$G$2)*Foglio1!E47*Foglio1!I47</f>
        <v>-1.4080991283886671E-4</v>
      </c>
      <c r="J52" s="39">
        <v>45</v>
      </c>
      <c r="K52">
        <f>Foglio1!$U$6*EWMA!$H$8*SQRT($J52)-Foglio1!$O$7*EWMA!$J52</f>
        <v>0.51630568126724274</v>
      </c>
      <c r="L52">
        <f>Foglio1!$U$7*EWMA!$H$8*SQRT($J52)-Foglio1!$O$7*EWMA!$J52</f>
        <v>0.65562507488418942</v>
      </c>
      <c r="M52">
        <f>Foglio1!$U$8*EWMA!$H$8*SQRT($J52)-Foglio1!$O$7*EWMA!$J52</f>
        <v>0.70662712167504638</v>
      </c>
      <c r="N52" s="2"/>
      <c r="P52">
        <f>Foglio1!$U$6*EWMA!$I$8*SQRT($J52)-Foglio1!$P$7*EWMA!$J52</f>
        <v>0.23211090799304912</v>
      </c>
      <c r="Q52">
        <f>Foglio1!$U$7*EWMA!$I$8*SQRT($J52)-Foglio1!$P$7*EWMA!$J52</f>
        <v>0.30443040654453069</v>
      </c>
      <c r="R52">
        <f>Foglio1!$U$8*EWMA!$I$8*SQRT($J52)-Foglio1!$P$7*EWMA!$J52</f>
        <v>0.3309051302226656</v>
      </c>
      <c r="U52">
        <f>Foglio1!$U$6*EWMA!$J$4*SQRT($J52)-Foglio1!$P$13*EWMA!$J52</f>
        <v>0.31213346027385502</v>
      </c>
      <c r="V52">
        <f>Foglio1!$U$7*EWMA!$J$4*SQRT($J52)-Foglio1!$P$13*EWMA!$J52</f>
        <v>0.39223411788371587</v>
      </c>
      <c r="W52">
        <f>Foglio1!$U$8*EWMA!$J$4*SQRT($J52)-Foglio1!$P$13*EWMA!$J52</f>
        <v>0.42155736844730141</v>
      </c>
    </row>
    <row r="53" spans="3:23" x14ac:dyDescent="0.2">
      <c r="C53" s="2">
        <f>EWMA!$G$2*C54+(1-EWMA!$G$2)*(Foglio1!E54)^2</f>
        <v>6.7513383320848763E-4</v>
      </c>
      <c r="D53" s="2">
        <f>EWMA!$G$2*D54+(1-EWMA!$G$2)*(Foglio1!I54)^2</f>
        <v>2.8342981496157492E-4</v>
      </c>
      <c r="F53">
        <f>EWMA!$G$2*F54+(1-EWMA!$G$2)*Foglio1!E48*Foglio1!I48</f>
        <v>-1.3980801877695943E-4</v>
      </c>
      <c r="J53" s="39">
        <v>46</v>
      </c>
      <c r="K53">
        <f>Foglio1!$U$6*EWMA!$H$8*SQRT($J53)-Foglio1!$O$7*EWMA!$J53</f>
        <v>0.52402237694856946</v>
      </c>
      <c r="L53">
        <f>Foglio1!$U$7*EWMA!$H$8*SQRT($J53)-Foglio1!$O$7*EWMA!$J53</f>
        <v>0.66488125811364907</v>
      </c>
      <c r="M53">
        <f>Foglio1!$U$8*EWMA!$H$8*SQRT($J53)-Foglio1!$O$7*EWMA!$J53</f>
        <v>0.71644688054121675</v>
      </c>
      <c r="N53" s="2"/>
      <c r="P53">
        <f>Foglio1!$U$6*EWMA!$I$8*SQRT($J53)-Foglio1!$P$7*EWMA!$J53</f>
        <v>0.2353188243513569</v>
      </c>
      <c r="Q53">
        <f>Foglio1!$U$7*EWMA!$I$8*SQRT($J53)-Foglio1!$P$7*EWMA!$J53</f>
        <v>0.30843745764364366</v>
      </c>
      <c r="R53">
        <f>Foglio1!$U$8*EWMA!$I$8*SQRT($J53)-Foglio1!$P$7*EWMA!$J53</f>
        <v>0.33520472858590761</v>
      </c>
      <c r="U53">
        <f>Foglio1!$U$6*EWMA!$J$4*SQRT($J53)-Foglio1!$P$13*EWMA!$J53</f>
        <v>0.3169098356987784</v>
      </c>
      <c r="V53">
        <f>Foglio1!$U$7*EWMA!$J$4*SQRT($J53)-Foglio1!$P$13*EWMA!$J53</f>
        <v>0.39789561031773768</v>
      </c>
      <c r="W53">
        <f>Foglio1!$U$8*EWMA!$J$4*SQRT($J53)-Foglio1!$P$13*EWMA!$J53</f>
        <v>0.42754288453618883</v>
      </c>
    </row>
    <row r="54" spans="3:23" x14ac:dyDescent="0.2">
      <c r="C54" s="2">
        <f>EWMA!$G$2*C55+(1-EWMA!$G$2)*(Foglio1!E55)^2</f>
        <v>6.9085046825002449E-4</v>
      </c>
      <c r="D54" s="2">
        <f>EWMA!$G$2*D55+(1-EWMA!$G$2)*(Foglio1!I55)^2</f>
        <v>3.0120907913195515E-4</v>
      </c>
      <c r="F54">
        <f>EWMA!$G$2*F55+(1-EWMA!$G$2)*Foglio1!E49*Foglio1!I49</f>
        <v>-1.3090834572542873E-4</v>
      </c>
      <c r="J54" s="39">
        <v>47</v>
      </c>
      <c r="K54">
        <f>Foglio1!$U$6*EWMA!$H$8*SQRT($J54)-Foglio1!$O$7*EWMA!$J54</f>
        <v>0.53169889930359937</v>
      </c>
      <c r="L54">
        <f>Foglio1!$U$7*EWMA!$H$8*SQRT($J54)-Foglio1!$O$7*EWMA!$J54</f>
        <v>0.67408062344108244</v>
      </c>
      <c r="M54">
        <f>Foglio1!$U$8*EWMA!$H$8*SQRT($J54)-Foglio1!$O$7*EWMA!$J54</f>
        <v>0.72620372825869828</v>
      </c>
      <c r="N54" s="2"/>
      <c r="P54">
        <f>Foglio1!$U$6*EWMA!$I$8*SQRT($J54)-Foglio1!$P$7*EWMA!$J54</f>
        <v>0.23850588708162687</v>
      </c>
      <c r="Q54">
        <f>Foglio1!$U$7*EWMA!$I$8*SQRT($J54)-Foglio1!$P$7*EWMA!$J54</f>
        <v>0.3124150150586642</v>
      </c>
      <c r="R54">
        <f>Foglio1!$U$8*EWMA!$I$8*SQRT($J54)-Foglio1!$P$7*EWMA!$J54</f>
        <v>0.33947167031313968</v>
      </c>
      <c r="U54">
        <f>Foglio1!$U$6*EWMA!$J$4*SQRT($J54)-Foglio1!$P$13*EWMA!$J54</f>
        <v>0.3216631137661034</v>
      </c>
      <c r="V54">
        <f>Foglio1!$U$7*EWMA!$J$4*SQRT($J54)-Foglio1!$P$13*EWMA!$J54</f>
        <v>0.4035244357181314</v>
      </c>
      <c r="W54">
        <f>Foglio1!$U$8*EWMA!$J$4*SQRT($J54)-Foglio1!$P$13*EWMA!$J54</f>
        <v>0.43349223032422912</v>
      </c>
    </row>
    <row r="55" spans="3:23" x14ac:dyDescent="0.2">
      <c r="C55" s="2">
        <f>EWMA!$G$2*C56+(1-EWMA!$G$2)*(Foglio1!E56)^2</f>
        <v>7.3492493159467757E-4</v>
      </c>
      <c r="D55" s="2">
        <f>EWMA!$G$2*D56+(1-EWMA!$G$2)*(Foglio1!I56)^2</f>
        <v>3.183255008273703E-4</v>
      </c>
      <c r="F55">
        <f>EWMA!$G$2*F56+(1-EWMA!$G$2)*Foglio1!E50*Foglio1!I50</f>
        <v>-2.1519667131649235E-4</v>
      </c>
      <c r="J55" s="39">
        <v>48</v>
      </c>
      <c r="K55">
        <f>Foglio1!$U$6*EWMA!$H$8*SQRT($J55)-Foglio1!$O$7*EWMA!$J55</f>
        <v>0.53933652385749531</v>
      </c>
      <c r="L55">
        <f>Foglio1!$U$7*EWMA!$H$8*SQRT($J55)-Foglio1!$O$7*EWMA!$J55</f>
        <v>0.68322497486606881</v>
      </c>
      <c r="M55">
        <f>Foglio1!$U$8*EWMA!$H$8*SQRT($J55)-Foglio1!$O$7*EWMA!$J55</f>
        <v>0.73589966229099679</v>
      </c>
      <c r="N55" s="2"/>
      <c r="P55">
        <f>Foglio1!$U$6*EWMA!$I$8*SQRT($J55)-Foglio1!$P$7*EWMA!$J55</f>
        <v>0.24167275829799686</v>
      </c>
      <c r="Q55">
        <f>Foglio1!$U$7*EWMA!$I$8*SQRT($J55)-Foglio1!$P$7*EWMA!$J55</f>
        <v>0.3163640152302527</v>
      </c>
      <c r="R55">
        <f>Foglio1!$U$8*EWMA!$I$8*SQRT($J55)-Foglio1!$P$7*EWMA!$J55</f>
        <v>0.34370699227048196</v>
      </c>
      <c r="U55">
        <f>Foglio1!$U$6*EWMA!$J$4*SQRT($J55)-Foglio1!$P$13*EWMA!$J55</f>
        <v>0.32639402782961313</v>
      </c>
      <c r="V55">
        <f>Foglio1!$U$7*EWMA!$J$4*SQRT($J55)-Foglio1!$P$13*EWMA!$J55</f>
        <v>0.40912163128114731</v>
      </c>
      <c r="W55">
        <f>Foglio1!$U$8*EWMA!$J$4*SQRT($J55)-Foglio1!$P$13*EWMA!$J55</f>
        <v>0.43940655423832975</v>
      </c>
    </row>
    <row r="56" spans="3:23" x14ac:dyDescent="0.2">
      <c r="C56" s="2">
        <f>EWMA!$G$2*C57+(1-EWMA!$G$2)*(Foglio1!E57)^2</f>
        <v>7.7710442532869146E-4</v>
      </c>
      <c r="D56" s="2">
        <f>EWMA!$G$2*D57+(1-EWMA!$G$2)*(Foglio1!I57)^2</f>
        <v>3.3531828105678617E-4</v>
      </c>
      <c r="F56">
        <f>EWMA!$G$2*F57+(1-EWMA!$G$2)*Foglio1!E51*Foglio1!I51</f>
        <v>-2.3125215726119673E-4</v>
      </c>
      <c r="J56" s="39">
        <v>49</v>
      </c>
      <c r="K56">
        <f>Foglio1!$U$6*EWMA!$H$8*SQRT($J56)-Foglio1!$O$7*EWMA!$J56</f>
        <v>0.5469364600332749</v>
      </c>
      <c r="L56">
        <f>Foglio1!$U$7*EWMA!$H$8*SQRT($J56)-Foglio1!$O$7*EWMA!$J56</f>
        <v>0.69231602289866168</v>
      </c>
      <c r="M56">
        <f>Foglio1!$U$8*EWMA!$H$8*SQRT($J56)-Foglio1!$O$7*EWMA!$J56</f>
        <v>0.74553657658611949</v>
      </c>
      <c r="N56" s="2"/>
      <c r="P56">
        <f>Foglio1!$U$6*EWMA!$I$8*SQRT($J56)-Foglio1!$P$7*EWMA!$J56</f>
        <v>0.24482006580154958</v>
      </c>
      <c r="Q56">
        <f>Foglio1!$U$7*EWMA!$I$8*SQRT($J56)-Foglio1!$P$7*EWMA!$J56</f>
        <v>0.32028534606946107</v>
      </c>
      <c r="R56">
        <f>Foglio1!$U$8*EWMA!$I$8*SQRT($J56)-Foglio1!$P$7*EWMA!$J56</f>
        <v>0.34791167759004976</v>
      </c>
      <c r="U56">
        <f>Foglio1!$U$6*EWMA!$J$4*SQRT($J56)-Foglio1!$P$13*EWMA!$J56</f>
        <v>0.33110327323814953</v>
      </c>
      <c r="V56">
        <f>Foglio1!$U$7*EWMA!$J$4*SQRT($J56)-Foglio1!$P$13*EWMA!$J56</f>
        <v>0.41468818045192229</v>
      </c>
      <c r="W56">
        <f>Foglio1!$U$8*EWMA!$J$4*SQRT($J56)-Foglio1!$P$13*EWMA!$J56</f>
        <v>0.44528694518992595</v>
      </c>
    </row>
    <row r="57" spans="3:23" x14ac:dyDescent="0.2">
      <c r="C57" s="2">
        <f>EWMA!$G$2*C58+(1-EWMA!$G$2)*(Foglio1!E58)^2</f>
        <v>8.2367213200440243E-4</v>
      </c>
      <c r="D57" s="2">
        <f>EWMA!$G$2*D58+(1-EWMA!$G$2)*(Foglio1!I58)^2</f>
        <v>3.3617244935943901E-4</v>
      </c>
      <c r="F57">
        <f>EWMA!$G$2*F58+(1-EWMA!$G$2)*Foglio1!E52*Foglio1!I52</f>
        <v>-2.1550366087946338E-4</v>
      </c>
      <c r="J57" s="39">
        <v>50</v>
      </c>
      <c r="K57">
        <f>Foglio1!$U$6*EWMA!$H$8*SQRT($J57)-Foglio1!$O$7*EWMA!$J57</f>
        <v>0.55449985585055506</v>
      </c>
      <c r="L57">
        <f>Foglio1!$U$7*EWMA!$H$8*SQRT($J57)-Foglio1!$O$7*EWMA!$J57</f>
        <v>0.70135539120491364</v>
      </c>
      <c r="M57">
        <f>Foglio1!$U$8*EWMA!$H$8*SQRT($J57)-Foglio1!$O$7*EWMA!$J57</f>
        <v>0.75511626893477668</v>
      </c>
      <c r="N57" s="2"/>
      <c r="P57">
        <f>Foglio1!$U$6*EWMA!$I$8*SQRT($J57)-Foglio1!$P$7*EWMA!$J57</f>
        <v>0.2479484055193909</v>
      </c>
      <c r="Q57">
        <f>Foglio1!$U$7*EWMA!$I$8*SQRT($J57)-Foglio1!$P$7*EWMA!$J57</f>
        <v>0.32417985040736741</v>
      </c>
      <c r="R57">
        <f>Foglio1!$U$8*EWMA!$I$8*SQRT($J57)-Foglio1!$P$7*EWMA!$J57</f>
        <v>0.35208665948953305</v>
      </c>
      <c r="U57">
        <f>Foglio1!$U$6*EWMA!$J$4*SQRT($J57)-Foglio1!$P$13*EWMA!$J57</f>
        <v>0.33579151003712254</v>
      </c>
      <c r="V57">
        <f>Foglio1!$U$7*EWMA!$J$4*SQRT($J57)-Foglio1!$P$13*EWMA!$J57</f>
        <v>0.42022501674527557</v>
      </c>
      <c r="W57">
        <f>Foglio1!$U$8*EWMA!$J$4*SQRT($J57)-Foglio1!$P$13*EWMA!$J57</f>
        <v>0.45113443680552445</v>
      </c>
    </row>
    <row r="58" spans="3:23" x14ac:dyDescent="0.2">
      <c r="C58" s="2">
        <f>EWMA!$G$2*C59+(1-EWMA!$G$2)*(Foglio1!E59)^2</f>
        <v>6.1349707099509659E-4</v>
      </c>
      <c r="D58" s="2">
        <f>EWMA!$G$2*D59+(1-EWMA!$G$2)*(Foglio1!I59)^2</f>
        <v>3.1224019435401284E-4</v>
      </c>
      <c r="F58">
        <f>EWMA!$G$2*F59+(1-EWMA!$G$2)*Foglio1!E53*Foglio1!I53</f>
        <v>-2.2937069881183618E-4</v>
      </c>
      <c r="J58" s="39">
        <v>51</v>
      </c>
      <c r="K58">
        <f>Foglio1!$U$6*EWMA!$H$8*SQRT($J58)-Foglio1!$O$7*EWMA!$J58</f>
        <v>0.5620278022033941</v>
      </c>
      <c r="L58">
        <f>Foglio1!$U$7*EWMA!$H$8*SQRT($J58)-Foglio1!$O$7*EWMA!$J58</f>
        <v>0.71034462265710907</v>
      </c>
      <c r="M58">
        <f>Foglio1!$U$8*EWMA!$H$8*SQRT($J58)-Foglio1!$O$7*EWMA!$J58</f>
        <v>0.76464044766945238</v>
      </c>
      <c r="N58" s="2"/>
      <c r="P58">
        <f>Foglio1!$U$6*EWMA!$I$8*SQRT($J58)-Foglio1!$P$7*EWMA!$J58</f>
        <v>0.25105834372524061</v>
      </c>
      <c r="Q58">
        <f>Foglio1!$U$7*EWMA!$I$8*SQRT($J58)-Foglio1!$P$7*EWMA!$J58</f>
        <v>0.32804832913570015</v>
      </c>
      <c r="R58">
        <f>Foglio1!$U$8*EWMA!$I$8*SQRT($J58)-Foglio1!$P$7*EWMA!$J58</f>
        <v>0.35623282474962614</v>
      </c>
      <c r="U58">
        <f>Foglio1!$U$6*EWMA!$J$4*SQRT($J58)-Foglio1!$P$13*EWMA!$J58</f>
        <v>0.34045936542802357</v>
      </c>
      <c r="V58">
        <f>Foglio1!$U$7*EWMA!$J$4*SQRT($J58)-Foglio1!$P$13*EWMA!$J58</f>
        <v>0.42573302722424544</v>
      </c>
      <c r="W58">
        <f>Foglio1!$U$8*EWMA!$J$4*SQRT($J58)-Foglio1!$P$13*EWMA!$J58</f>
        <v>0.45695001127828455</v>
      </c>
    </row>
    <row r="59" spans="3:23" x14ac:dyDescent="0.2">
      <c r="C59" s="2">
        <f>EWMA!$G$2*C60+(1-EWMA!$G$2)*(Foglio1!E60)^2</f>
        <v>6.5139562320203342E-4</v>
      </c>
      <c r="D59" s="2">
        <f>EWMA!$G$2*D60+(1-EWMA!$G$2)*(Foglio1!I60)^2</f>
        <v>3.0138080513108834E-4</v>
      </c>
      <c r="F59">
        <f>EWMA!$G$2*F60+(1-EWMA!$G$2)*Foglio1!E54*Foglio1!I54</f>
        <v>-1.4459756870751982E-4</v>
      </c>
      <c r="J59" s="39">
        <v>52</v>
      </c>
      <c r="K59">
        <f>Foglio1!$U$6*EWMA!$H$8*SQRT($J59)-Foglio1!$O$7*EWMA!$J59</f>
        <v>0.56952133676241501</v>
      </c>
      <c r="L59">
        <f>Foglio1!$U$7*EWMA!$H$8*SQRT($J59)-Foglio1!$O$7*EWMA!$J59</f>
        <v>0.71928518485261272</v>
      </c>
      <c r="M59">
        <f>Foglio1!$U$8*EWMA!$H$8*SQRT($J59)-Foglio1!$O$7*EWMA!$J59</f>
        <v>0.77411073777510242</v>
      </c>
      <c r="N59" s="2"/>
      <c r="P59">
        <f>Foglio1!$U$6*EWMA!$I$8*SQRT($J59)-Foglio1!$P$7*EWMA!$J59</f>
        <v>0.25415041906499125</v>
      </c>
      <c r="Q59">
        <f>Foglio1!$U$7*EWMA!$I$8*SQRT($J59)-Foglio1!$P$7*EWMA!$J59</f>
        <v>0.33189154407162436</v>
      </c>
      <c r="R59">
        <f>Foglio1!$U$8*EWMA!$I$8*SQRT($J59)-Foglio1!$P$7*EWMA!$J59</f>
        <v>0.36035101688603843</v>
      </c>
      <c r="U59">
        <f>Foglio1!$U$6*EWMA!$J$4*SQRT($J59)-Foglio1!$P$13*EWMA!$J59</f>
        <v>0.3451074360119224</v>
      </c>
      <c r="V59">
        <f>Foglio1!$U$7*EWMA!$J$4*SQRT($J59)-Foglio1!$P$13*EWMA!$J59</f>
        <v>0.4312130556731103</v>
      </c>
      <c r="W59">
        <f>Foglio1!$U$8*EWMA!$J$4*SQRT($J59)-Foglio1!$P$13*EWMA!$J59</f>
        <v>0.46273460288131935</v>
      </c>
    </row>
    <row r="60" spans="3:23" x14ac:dyDescent="0.2">
      <c r="C60" s="2">
        <f>EWMA!$G$2*C61+(1-EWMA!$G$2)*(Foglio1!E61)^2</f>
        <v>6.4991129966390532E-4</v>
      </c>
      <c r="D60" s="2">
        <f>EWMA!$G$2*D61+(1-EWMA!$G$2)*(Foglio1!I61)^2</f>
        <v>2.0074761396896316E-4</v>
      </c>
      <c r="F60">
        <f>EWMA!$G$2*F61+(1-EWMA!$G$2)*Foglio1!E55*Foglio1!I55</f>
        <v>-1.5090459144709274E-4</v>
      </c>
      <c r="J60" s="39">
        <v>53</v>
      </c>
      <c r="K60">
        <f>Foglio1!$U$6*EWMA!$H$8*SQRT($J60)-Foglio1!$O$7*EWMA!$J60</f>
        <v>0.57698144754077263</v>
      </c>
      <c r="L60">
        <f>Foglio1!$U$7*EWMA!$H$8*SQRT($J60)-Foglio1!$O$7*EWMA!$J60</f>
        <v>0.72817847515728418</v>
      </c>
      <c r="M60">
        <f>Foglio1!$U$8*EWMA!$H$8*SQRT($J60)-Foglio1!$O$7*EWMA!$J60</f>
        <v>0.78352868647343366</v>
      </c>
      <c r="N60" s="2"/>
      <c r="P60">
        <f>Foglio1!$U$6*EWMA!$I$8*SQRT($J60)-Foglio1!$P$7*EWMA!$J60</f>
        <v>0.25722514440777089</v>
      </c>
      <c r="Q60">
        <f>Foglio1!$U$7*EWMA!$I$8*SQRT($J60)-Foglio1!$P$7*EWMA!$J60</f>
        <v>0.33571022057573496</v>
      </c>
      <c r="R60">
        <f>Foglio1!$U$8*EWMA!$I$8*SQRT($J60)-Foglio1!$P$7*EWMA!$J60</f>
        <v>0.36444203904824635</v>
      </c>
      <c r="U60">
        <f>Foglio1!$U$6*EWMA!$J$4*SQRT($J60)-Foglio1!$P$13*EWMA!$J60</f>
        <v>0.34973628983969407</v>
      </c>
      <c r="V60">
        <f>Foglio1!$U$7*EWMA!$J$4*SQRT($J60)-Foglio1!$P$13*EWMA!$J60</f>
        <v>0.43666590549706286</v>
      </c>
      <c r="W60">
        <f>Foglio1!$U$8*EWMA!$J$4*SQRT($J60)-Foglio1!$P$13*EWMA!$J60</f>
        <v>0.46848910117833548</v>
      </c>
    </row>
    <row r="61" spans="3:23" x14ac:dyDescent="0.2">
      <c r="C61" s="2">
        <f>EWMA!$G$2*C62+(1-EWMA!$G$2)*(Foglio1!E62)^2</f>
        <v>6.1361582736176544E-4</v>
      </c>
      <c r="D61" s="2">
        <f>EWMA!$G$2*D62+(1-EWMA!$G$2)*(Foglio1!I62)^2</f>
        <v>1.6917396623366502E-4</v>
      </c>
      <c r="F61">
        <f>EWMA!$G$2*F62+(1-EWMA!$G$2)*Foglio1!E56*Foglio1!I56</f>
        <v>-1.6031953362428779E-4</v>
      </c>
      <c r="J61" s="39">
        <v>54</v>
      </c>
      <c r="K61">
        <f>Foglio1!$U$6*EWMA!$H$8*SQRT($J61)-Foglio1!$O$7*EWMA!$J61</f>
        <v>0.58440907615869475</v>
      </c>
      <c r="L61">
        <f>Foglio1!$U$7*EWMA!$H$8*SQRT($J61)-Foglio1!$O$7*EWMA!$J61</f>
        <v>0.73702582532258065</v>
      </c>
      <c r="M61">
        <f>Foglio1!$U$8*EWMA!$H$8*SQRT($J61)-Foglio1!$O$7*EWMA!$J61</f>
        <v>0.79289576833515329</v>
      </c>
      <c r="N61" s="2"/>
      <c r="P61">
        <f>Foglio1!$U$6*EWMA!$I$8*SQRT($J61)-Foglio1!$P$7*EWMA!$J61</f>
        <v>0.26028300854053815</v>
      </c>
      <c r="Q61">
        <f>Foglio1!$U$7*EWMA!$I$8*SQRT($J61)-Foglio1!$P$7*EWMA!$J61</f>
        <v>0.33950504994875541</v>
      </c>
      <c r="R61">
        <f>Foglio1!$U$8*EWMA!$I$8*SQRT($J61)-Foglio1!$P$7*EWMA!$J61</f>
        <v>0.36850665667321669</v>
      </c>
      <c r="U61">
        <f>Foglio1!$U$6*EWMA!$J$4*SQRT($J61)-Foglio1!$P$13*EWMA!$J61</f>
        <v>0.35434646828894201</v>
      </c>
      <c r="V61">
        <f>Foglio1!$U$7*EWMA!$J$4*SQRT($J61)-Foglio1!$P$13*EWMA!$J61</f>
        <v>0.44209234237677919</v>
      </c>
      <c r="W61">
        <f>Foglio1!$U$8*EWMA!$J$4*SQRT($J61)-Foglio1!$P$13*EWMA!$J61</f>
        <v>0.47421435396288303</v>
      </c>
    </row>
    <row r="62" spans="3:23" x14ac:dyDescent="0.2">
      <c r="C62" s="2">
        <f>EWMA!$G$2*C63+(1-EWMA!$G$2)*(Foglio1!E63)^2</f>
        <v>5.8421996375139431E-4</v>
      </c>
      <c r="D62" s="2">
        <f>EWMA!$G$2*D63+(1-EWMA!$G$2)*(Foglio1!I63)^2</f>
        <v>1.5662494052829818E-4</v>
      </c>
      <c r="F62">
        <f>EWMA!$G$2*F63+(1-EWMA!$G$2)*Foglio1!E57*Foglio1!I57</f>
        <v>-1.7451922812577493E-4</v>
      </c>
      <c r="J62" s="39">
        <v>55</v>
      </c>
      <c r="K62">
        <f>Foglio1!$U$6*EWMA!$H$8*SQRT($J62)-Foglio1!$O$7*EWMA!$J62</f>
        <v>0.59180512083716541</v>
      </c>
      <c r="L62">
        <f>Foglio1!$U$7*EWMA!$H$8*SQRT($J62)-Foglio1!$O$7*EWMA!$J62</f>
        <v>0.74582850571958115</v>
      </c>
      <c r="M62">
        <f>Foglio1!$U$8*EWMA!$H$8*SQRT($J62)-Foglio1!$O$7*EWMA!$J62</f>
        <v>0.80221338996805525</v>
      </c>
      <c r="N62" s="2"/>
      <c r="P62">
        <f>Foglio1!$U$6*EWMA!$I$8*SQRT($J62)-Foglio1!$P$7*EWMA!$J62</f>
        <v>0.2633244777220779</v>
      </c>
      <c r="Q62">
        <f>Foglio1!$U$7*EWMA!$I$8*SQRT($J62)-Foglio1!$P$7*EWMA!$J62</f>
        <v>0.3432766916293829</v>
      </c>
      <c r="R62">
        <f>Foglio1!$U$8*EWMA!$I$8*SQRT($J62)-Foglio1!$P$7*EWMA!$J62</f>
        <v>0.37254559991895331</v>
      </c>
      <c r="U62">
        <f>Foglio1!$U$6*EWMA!$J$4*SQRT($J62)-Foglio1!$P$13*EWMA!$J62</f>
        <v>0.3589384877851951</v>
      </c>
      <c r="V62">
        <f>Foglio1!$U$7*EWMA!$J$4*SQRT($J62)-Foglio1!$P$13*EWMA!$J62</f>
        <v>0.44749309670273985</v>
      </c>
      <c r="W62">
        <f>Foglio1!$U$8*EWMA!$J$4*SQRT($J62)-Foglio1!$P$13*EWMA!$J62</f>
        <v>0.47991116995373684</v>
      </c>
    </row>
    <row r="63" spans="3:23" x14ac:dyDescent="0.2">
      <c r="C63" s="2">
        <f>EWMA!$G$2*C64+(1-EWMA!$G$2)*(Foglio1!E64)^2</f>
        <v>6.0921700131096903E-4</v>
      </c>
      <c r="D63" s="2">
        <f>EWMA!$G$2*D64+(1-EWMA!$G$2)*(Foglio1!I64)^2</f>
        <v>1.5506673033987387E-4</v>
      </c>
      <c r="F63">
        <f>EWMA!$G$2*F64+(1-EWMA!$G$2)*Foglio1!E58*Foglio1!I58</f>
        <v>-1.9355562006516993E-4</v>
      </c>
      <c r="J63" s="39">
        <v>56</v>
      </c>
      <c r="K63">
        <f>Foglio1!$U$6*EWMA!$H$8*SQRT($J63)-Foglio1!$O$7*EWMA!$J63</f>
        <v>0.59917043914772239</v>
      </c>
      <c r="L63">
        <f>Foglio1!$U$7*EWMA!$H$8*SQRT($J63)-Foglio1!$O$7*EWMA!$J63</f>
        <v>0.75458772922807693</v>
      </c>
      <c r="M63">
        <f>Foglio1!$U$8*EWMA!$H$8*SQRT($J63)-Foglio1!$O$7*EWMA!$J63</f>
        <v>0.81148289432318432</v>
      </c>
      <c r="N63" s="2"/>
      <c r="P63">
        <f>Foglio1!$U$6*EWMA!$I$8*SQRT($J63)-Foglio1!$P$7*EWMA!$J63</f>
        <v>0.26634999711039686</v>
      </c>
      <c r="Q63">
        <f>Foglio1!$U$7*EWMA!$I$8*SQRT($J63)-Foglio1!$P$7*EWMA!$J63</f>
        <v>0.34702577521308159</v>
      </c>
      <c r="R63">
        <f>Foglio1!$U$8*EWMA!$I$8*SQRT($J63)-Foglio1!$P$7*EWMA!$J63</f>
        <v>0.37655956589978917</v>
      </c>
      <c r="U63">
        <f>Foglio1!$U$6*EWMA!$J$4*SQRT($J63)-Foglio1!$P$13*EWMA!$J63</f>
        <v>0.36351284138288276</v>
      </c>
      <c r="V63">
        <f>Foglio1!$U$7*EWMA!$J$4*SQRT($J63)-Foglio1!$P$13*EWMA!$J63</f>
        <v>0.45286886581123342</v>
      </c>
      <c r="W63">
        <f>Foglio1!$U$8*EWMA!$J$4*SQRT($J63)-Foglio1!$P$13*EWMA!$J63</f>
        <v>0.48558032127069328</v>
      </c>
    </row>
    <row r="64" spans="3:23" x14ac:dyDescent="0.2">
      <c r="C64" s="2">
        <f>EWMA!$G$2*C65+(1-EWMA!$G$2)*(Foglio1!E65)^2</f>
        <v>6.4498662429220805E-4</v>
      </c>
      <c r="D64" s="2">
        <f>EWMA!$G$2*D65+(1-EWMA!$G$2)*(Foglio1!I65)^2</f>
        <v>1.64525703090701E-4</v>
      </c>
      <c r="F64">
        <f>EWMA!$G$2*F65+(1-EWMA!$G$2)*Foglio1!E59*Foglio1!I59</f>
        <v>-9.6702928519715159E-5</v>
      </c>
      <c r="J64" s="39">
        <v>57</v>
      </c>
      <c r="K64">
        <f>Foglio1!$U$6*EWMA!$H$8*SQRT($J64)-Foglio1!$O$7*EWMA!$J64</f>
        <v>0.60650585054222028</v>
      </c>
      <c r="L64">
        <f>Foglio1!$U$7*EWMA!$H$8*SQRT($J64)-Foglio1!$O$7*EWMA!$J64</f>
        <v>0.76330465481446408</v>
      </c>
      <c r="M64">
        <f>Foglio1!$U$8*EWMA!$H$8*SQRT($J64)-Foglio1!$O$7*EWMA!$J64</f>
        <v>0.82070556465642763</v>
      </c>
      <c r="N64" s="2"/>
      <c r="P64">
        <f>Foglio1!$U$6*EWMA!$I$8*SQRT($J64)-Foglio1!$P$7*EWMA!$J64</f>
        <v>0.26935999207590244</v>
      </c>
      <c r="Q64">
        <f>Foglio1!$U$7*EWMA!$I$8*SQRT($J64)-Foglio1!$P$7*EWMA!$J64</f>
        <v>0.3507529023093362</v>
      </c>
      <c r="R64">
        <f>Foglio1!$U$8*EWMA!$I$8*SQRT($J64)-Foglio1!$P$7*EWMA!$J64</f>
        <v>0.38054922074281428</v>
      </c>
      <c r="U64">
        <f>Foglio1!$U$6*EWMA!$J$4*SQRT($J64)-Foglio1!$P$13*EWMA!$J64</f>
        <v>0.36807000021980352</v>
      </c>
      <c r="V64">
        <f>Foglio1!$U$7*EWMA!$J$4*SQRT($J64)-Foglio1!$P$13*EWMA!$J64</f>
        <v>0.45822031604143953</v>
      </c>
      <c r="W64">
        <f>Foglio1!$U$8*EWMA!$J$4*SQRT($J64)-Foglio1!$P$13*EWMA!$J64</f>
        <v>0.49122254571225787</v>
      </c>
    </row>
    <row r="65" spans="3:23" x14ac:dyDescent="0.2">
      <c r="C65" s="2">
        <f>EWMA!$G$2*C66+(1-EWMA!$G$2)*(Foglio1!E66)^2</f>
        <v>6.861463717145708E-4</v>
      </c>
      <c r="D65" s="2">
        <f>EWMA!$G$2*D66+(1-EWMA!$G$2)*(Foglio1!I66)^2</f>
        <v>1.728598283243888E-4</v>
      </c>
      <c r="F65">
        <f>EWMA!$G$2*F66+(1-EWMA!$G$2)*Foglio1!E60*Foglio1!I60</f>
        <v>-9.6644835292492311E-5</v>
      </c>
      <c r="J65" s="39">
        <v>58</v>
      </c>
      <c r="K65">
        <f>Foglio1!$U$6*EWMA!$H$8*SQRT($J65)-Foglio1!$O$7*EWMA!$J65</f>
        <v>0.61381213868370443</v>
      </c>
      <c r="L65">
        <f>Foglio1!$U$7*EWMA!$H$8*SQRT($J65)-Foglio1!$O$7*EWMA!$J65</f>
        <v>0.77198039082834213</v>
      </c>
      <c r="M65">
        <f>Foglio1!$U$8*EWMA!$H$8*SQRT($J65)-Foglio1!$O$7*EWMA!$J65</f>
        <v>0.82988262817864611</v>
      </c>
      <c r="N65" s="2"/>
      <c r="P65">
        <f>Foglio1!$U$6*EWMA!$I$8*SQRT($J65)-Foglio1!$P$7*EWMA!$J65</f>
        <v>0.27235486941133902</v>
      </c>
      <c r="Q65">
        <f>Foglio1!$U$7*EWMA!$I$8*SQRT($J65)-Foglio1!$P$7*EWMA!$J65</f>
        <v>0.35445864825288792</v>
      </c>
      <c r="R65">
        <f>Foglio1!$U$8*EWMA!$I$8*SQRT($J65)-Foglio1!$P$7*EWMA!$J65</f>
        <v>0.38451520148262791</v>
      </c>
      <c r="U65">
        <f>Foglio1!$U$6*EWMA!$J$4*SQRT($J65)-Foglio1!$P$13*EWMA!$J65</f>
        <v>0.37261041485724444</v>
      </c>
      <c r="V65">
        <f>Foglio1!$U$7*EWMA!$J$4*SQRT($J65)-Foglio1!$P$13*EWMA!$J65</f>
        <v>0.46354808463078456</v>
      </c>
      <c r="W65">
        <f>Foglio1!$U$8*EWMA!$J$4*SQRT($J65)-Foglio1!$P$13*EWMA!$J65</f>
        <v>0.49683854885426249</v>
      </c>
    </row>
    <row r="66" spans="3:23" x14ac:dyDescent="0.2">
      <c r="C66" s="2">
        <f>EWMA!$G$2*C67+(1-EWMA!$G$2)*(Foglio1!E67)^2</f>
        <v>7.107290632185645E-4</v>
      </c>
      <c r="D66" s="2">
        <f>EWMA!$G$2*D67+(1-EWMA!$G$2)*(Foglio1!I67)^2</f>
        <v>1.3478167648089983E-4</v>
      </c>
      <c r="F66">
        <f>EWMA!$G$2*F67+(1-EWMA!$G$2)*Foglio1!E61*Foglio1!I61</f>
        <v>-1.7466033375309717E-4</v>
      </c>
      <c r="J66" s="39">
        <v>59</v>
      </c>
      <c r="K66">
        <f>Foglio1!$U$6*EWMA!$H$8*SQRT($J66)-Foglio1!$O$7*EWMA!$J66</f>
        <v>0.62109005359717906</v>
      </c>
      <c r="L66">
        <f>Foglio1!$U$7*EWMA!$H$8*SQRT($J66)-Foglio1!$O$7*EWMA!$J66</f>
        <v>0.78061599804438786</v>
      </c>
      <c r="M66">
        <f>Foglio1!$U$8*EWMA!$H$8*SQRT($J66)-Foglio1!$O$7*EWMA!$J66</f>
        <v>0.83901525942376365</v>
      </c>
      <c r="N66" s="2"/>
      <c r="P66">
        <f>Foglio1!$U$6*EWMA!$I$8*SQRT($J66)-Foglio1!$P$7*EWMA!$J66</f>
        <v>0.2753350184482331</v>
      </c>
      <c r="Q66">
        <f>Foglio1!$U$7*EWMA!$I$8*SQRT($J66)-Foglio1!$P$7*EWMA!$J66</f>
        <v>0.35814356368274469</v>
      </c>
      <c r="R66">
        <f>Foglio1!$U$8*EWMA!$I$8*SQRT($J66)-Foglio1!$P$7*EWMA!$J66</f>
        <v>0.38845811780968442</v>
      </c>
      <c r="U66">
        <f>Foglio1!$U$6*EWMA!$J$4*SQRT($J66)-Foglio1!$P$13*EWMA!$J66</f>
        <v>0.37713451651654861</v>
      </c>
      <c r="V66">
        <f>Foglio1!$U$7*EWMA!$J$4*SQRT($J66)-Foglio1!$P$13*EWMA!$J66</f>
        <v>0.46885278146384335</v>
      </c>
      <c r="W66">
        <f>Foglio1!$U$8*EWMA!$J$4*SQRT($J66)-Foglio1!$P$13*EWMA!$J66</f>
        <v>0.50242900598632168</v>
      </c>
    </row>
    <row r="67" spans="3:23" x14ac:dyDescent="0.2">
      <c r="C67" s="2">
        <f>EWMA!$G$2*C68+(1-EWMA!$G$2)*(Foglio1!E68)^2</f>
        <v>7.333118884160309E-4</v>
      </c>
      <c r="D67" s="2">
        <f>EWMA!$G$2*D68+(1-EWMA!$G$2)*(Foglio1!I68)^2</f>
        <v>1.3902648730891123E-4</v>
      </c>
      <c r="F67">
        <f>EWMA!$G$2*F68+(1-EWMA!$G$2)*Foglio1!E62*Foglio1!I62</f>
        <v>-1.2705165834476104E-4</v>
      </c>
      <c r="J67" s="39">
        <v>60</v>
      </c>
      <c r="K67">
        <f>Foglio1!$U$6*EWMA!$H$8*SQRT($J67)-Foglio1!$O$7*EWMA!$J67</f>
        <v>0.62834031365699294</v>
      </c>
      <c r="L67">
        <f>Foglio1!$U$7*EWMA!$H$8*SQRT($J67)-Foglio1!$O$7*EWMA!$J67</f>
        <v>0.78921249247315206</v>
      </c>
      <c r="M67">
        <f>Foglio1!$U$8*EWMA!$H$8*SQRT($J67)-Foglio1!$O$7*EWMA!$J67</f>
        <v>0.84810458336099837</v>
      </c>
      <c r="N67" s="2"/>
      <c r="P67">
        <f>Foglio1!$U$6*EWMA!$I$8*SQRT($J67)-Foglio1!$P$7*EWMA!$J67</f>
        <v>0.27830081208852858</v>
      </c>
      <c r="Q67">
        <f>Foglio1!$U$7*EWMA!$I$8*SQRT($J67)-Foglio1!$P$7*EWMA!$J67</f>
        <v>0.36180817600124182</v>
      </c>
      <c r="R67">
        <f>Foglio1!$U$8*EWMA!$I$8*SQRT($J67)-Foglio1!$P$7*EWMA!$J67</f>
        <v>0.39237855368582614</v>
      </c>
      <c r="U67">
        <f>Foglio1!$U$6*EWMA!$J$4*SQRT($J67)-Foglio1!$P$13*EWMA!$J67</f>
        <v>0.38164271822174878</v>
      </c>
      <c r="V67">
        <f>Foglio1!$U$7*EWMA!$J$4*SQRT($J67)-Foglio1!$P$13*EWMA!$J67</f>
        <v>0.47413499068838705</v>
      </c>
      <c r="W67">
        <f>Foglio1!$U$8*EWMA!$J$4*SQRT($J67)-Foglio1!$P$13*EWMA!$J67</f>
        <v>0.50799456390118902</v>
      </c>
    </row>
    <row r="68" spans="3:23" x14ac:dyDescent="0.2">
      <c r="C68" s="2">
        <f>EWMA!$G$2*C69+(1-EWMA!$G$2)*(Foglio1!E69)^2</f>
        <v>6.2390983423695737E-4</v>
      </c>
      <c r="D68" s="2">
        <f>EWMA!$G$2*D69+(1-EWMA!$G$2)*(Foglio1!I69)^2</f>
        <v>1.1285227730205278E-4</v>
      </c>
      <c r="F68">
        <f>EWMA!$G$2*F69+(1-EWMA!$G$2)*Foglio1!E63*Foglio1!I63</f>
        <v>-9.5151822572926939E-5</v>
      </c>
      <c r="J68" s="39">
        <v>61</v>
      </c>
      <c r="K68">
        <f>Foglio1!$U$6*EWMA!$H$8*SQRT($J68)-Foglio1!$O$7*EWMA!$J68</f>
        <v>0.63556360742576046</v>
      </c>
      <c r="L68">
        <f>Foglio1!$U$7*EWMA!$H$8*SQRT($J68)-Foglio1!$O$7*EWMA!$J68</f>
        <v>0.79777084796188014</v>
      </c>
      <c r="M68">
        <f>Foglio1!$U$8*EWMA!$H$8*SQRT($J68)-Foglio1!$O$7*EWMA!$J68</f>
        <v>0.85715167827460026</v>
      </c>
      <c r="N68" s="2"/>
      <c r="P68">
        <f>Foglio1!$U$6*EWMA!$I$8*SQRT($J68)-Foglio1!$P$7*EWMA!$J68</f>
        <v>0.28125260775915428</v>
      </c>
      <c r="Q68">
        <f>Foglio1!$U$7*EWMA!$I$8*SQRT($J68)-Foglio1!$P$7*EWMA!$J68</f>
        <v>0.36545299072410575</v>
      </c>
      <c r="R68">
        <f>Foglio1!$U$8*EWMA!$I$8*SQRT($J68)-Foglio1!$P$7*EWMA!$J68</f>
        <v>0.39627706883912966</v>
      </c>
      <c r="U68">
        <f>Foglio1!$U$6*EWMA!$J$4*SQRT($J68)-Foglio1!$P$13*EWMA!$J68</f>
        <v>0.38613541585684041</v>
      </c>
      <c r="V68">
        <f>Foglio1!$U$7*EWMA!$J$4*SQRT($J68)-Foglio1!$P$13*EWMA!$J68</f>
        <v>0.4793952722107056</v>
      </c>
      <c r="W68">
        <f>Foglio1!$U$8*EWMA!$J$4*SQRT($J68)-Foglio1!$P$13*EWMA!$J68</f>
        <v>0.51353584255043949</v>
      </c>
    </row>
    <row r="69" spans="3:23" x14ac:dyDescent="0.2">
      <c r="C69" s="2">
        <f>EWMA!$G$2*C70+(1-EWMA!$G$2)*(Foglio1!E70)^2</f>
        <v>6.2064507490760797E-4</v>
      </c>
      <c r="D69" s="2">
        <f>EWMA!$G$2*D70+(1-EWMA!$G$2)*(Foglio1!I70)^2</f>
        <v>1.1966014589763474E-4</v>
      </c>
      <c r="F69">
        <f>EWMA!$G$2*F70+(1-EWMA!$G$2)*Foglio1!E64*Foglio1!I64</f>
        <v>-8.9306481968962219E-5</v>
      </c>
      <c r="J69" s="39">
        <v>62</v>
      </c>
      <c r="K69">
        <f>Foglio1!$U$6*EWMA!$H$8*SQRT($J69)-Foglio1!$O$7*EWMA!$J69</f>
        <v>0.64276059535815233</v>
      </c>
      <c r="L69">
        <f>Foglio1!$U$7*EWMA!$H$8*SQRT($J69)-Foglio1!$O$7*EWMA!$J69</f>
        <v>0.80629199860421674</v>
      </c>
      <c r="M69">
        <f>Foglio1!$U$8*EWMA!$H$8*SQRT($J69)-Foglio1!$O$7*EWMA!$J69</f>
        <v>0.86615757843197561</v>
      </c>
      <c r="N69" s="2"/>
      <c r="P69">
        <f>Foglio1!$U$6*EWMA!$I$8*SQRT($J69)-Foglio1!$P$7*EWMA!$J69</f>
        <v>0.2841907482964473</v>
      </c>
      <c r="Q69">
        <f>Foglio1!$U$7*EWMA!$I$8*SQRT($J69)-Foglio1!$P$7*EWMA!$J69</f>
        <v>0.3690784927313106</v>
      </c>
      <c r="R69">
        <f>Foglio1!$U$8*EWMA!$I$8*SQRT($J69)-Foglio1!$P$7*EWMA!$J69</f>
        <v>0.40015420014890724</v>
      </c>
      <c r="U69">
        <f>Foglio1!$U$6*EWMA!$J$4*SQRT($J69)-Foglio1!$P$13*EWMA!$J69</f>
        <v>0.39061298914536435</v>
      </c>
      <c r="V69">
        <f>Foglio1!$U$7*EWMA!$J$4*SQRT($J69)-Foglio1!$P$13*EWMA!$J69</f>
        <v>0.48463416308104912</v>
      </c>
      <c r="W69">
        <f>Foglio1!$U$8*EWMA!$J$4*SQRT($J69)-Foglio1!$P$13*EWMA!$J69</f>
        <v>0.51905343657848857</v>
      </c>
    </row>
    <row r="70" spans="3:23" x14ac:dyDescent="0.2">
      <c r="C70" s="2">
        <f>EWMA!$G$2*C71+(1-EWMA!$G$2)*(Foglio1!E71)^2</f>
        <v>6.5942782993368848E-4</v>
      </c>
      <c r="D70" s="2">
        <f>EWMA!$G$2*D71+(1-EWMA!$G$2)*(Foglio1!I71)^2</f>
        <v>1.2714306599371394E-4</v>
      </c>
      <c r="F70">
        <f>EWMA!$G$2*F71+(1-EWMA!$G$2)*Foglio1!E65*Foglio1!I65</f>
        <v>-9.6176456886805186E-5</v>
      </c>
      <c r="J70" s="39">
        <v>63</v>
      </c>
      <c r="K70">
        <f>Foglio1!$U$6*EWMA!$H$8*SQRT($J70)-Foglio1!$O$7*EWMA!$J70</f>
        <v>0.64993191138149831</v>
      </c>
      <c r="L70">
        <f>Foglio1!$U$7*EWMA!$H$8*SQRT($J70)-Foglio1!$O$7*EWMA!$J70</f>
        <v>0.81477684097568148</v>
      </c>
      <c r="M70">
        <f>Foglio1!$U$8*EWMA!$H$8*SQRT($J70)-Foglio1!$O$7*EWMA!$J70</f>
        <v>0.87512327655889932</v>
      </c>
      <c r="N70" s="2"/>
      <c r="P70">
        <f>Foglio1!$U$6*EWMA!$I$8*SQRT($J70)-Foglio1!$P$7*EWMA!$J70</f>
        <v>0.28711556276663031</v>
      </c>
      <c r="Q70">
        <f>Foglio1!$U$7*EWMA!$I$8*SQRT($J70)-Foglio1!$P$7*EWMA!$J70</f>
        <v>0.3726851474274947</v>
      </c>
      <c r="R70">
        <f>Foglio1!$U$8*EWMA!$I$8*SQRT($J70)-Foglio1!$P$7*EWMA!$J70</f>
        <v>0.40401046293056719</v>
      </c>
      <c r="U70">
        <f>Foglio1!$U$6*EWMA!$J$4*SQRT($J70)-Foglio1!$P$13*EWMA!$J70</f>
        <v>0.3950758025591623</v>
      </c>
      <c r="V70">
        <f>Foglio1!$U$7*EWMA!$J$4*SQRT($J70)-Foglio1!$P$13*EWMA!$J70</f>
        <v>0.48985217877889864</v>
      </c>
      <c r="W70">
        <f>Foglio1!$U$8*EWMA!$J$4*SQRT($J70)-Foglio1!$P$13*EWMA!$J70</f>
        <v>0.52454791674569723</v>
      </c>
    </row>
    <row r="71" spans="3:23" x14ac:dyDescent="0.2">
      <c r="C71" s="2">
        <f>EWMA!$G$2*C72+(1-EWMA!$G$2)*(Foglio1!E72)^2</f>
        <v>6.9621810900525531E-4</v>
      </c>
      <c r="D71" s="2">
        <f>EWMA!$G$2*D72+(1-EWMA!$G$2)*(Foglio1!I72)^2</f>
        <v>1.3368748049878045E-4</v>
      </c>
      <c r="F71">
        <f>EWMA!$G$2*F72+(1-EWMA!$G$2)*Foglio1!E66*Foglio1!I66</f>
        <v>-1.0245971689954555E-4</v>
      </c>
      <c r="J71" s="39">
        <v>64</v>
      </c>
      <c r="K71">
        <f>Foglio1!$U$6*EWMA!$H$8*SQRT($J71)-Foglio1!$O$7*EWMA!$J71</f>
        <v>0.65707816436391475</v>
      </c>
      <c r="L71">
        <f>Foglio1!$U$7*EWMA!$H$8*SQRT($J71)-Foglio1!$O$7*EWMA!$J71</f>
        <v>0.82322623621007107</v>
      </c>
      <c r="M71">
        <f>Foglio1!$U$8*EWMA!$H$8*SQRT($J71)-Foglio1!$O$7*EWMA!$J71</f>
        <v>0.88404972613859434</v>
      </c>
      <c r="N71" s="2"/>
      <c r="P71">
        <f>Foglio1!$U$6*EWMA!$I$8*SQRT($J71)-Foglio1!$P$7*EWMA!$J71</f>
        <v>0.29002736722790406</v>
      </c>
      <c r="Q71">
        <f>Foglio1!$U$7*EWMA!$I$8*SQRT($J71)-Foglio1!$P$7*EWMA!$J71</f>
        <v>0.37627340181980284</v>
      </c>
      <c r="R71">
        <f>Foglio1!$U$8*EWMA!$I$8*SQRT($J71)-Foglio1!$P$7*EWMA!$J71</f>
        <v>0.40784635212904707</v>
      </c>
      <c r="U71">
        <f>Foglio1!$U$6*EWMA!$J$4*SQRT($J71)-Foglio1!$P$13*EWMA!$J71</f>
        <v>0.39952420616246631</v>
      </c>
      <c r="V71">
        <f>Foglio1!$U$7*EWMA!$J$4*SQRT($J71)-Foglio1!$P$13*EWMA!$J71</f>
        <v>0.49504981440677803</v>
      </c>
      <c r="W71">
        <f>Foglio1!$U$8*EWMA!$J$4*SQRT($J71)-Foglio1!$P$13*EWMA!$J71</f>
        <v>0.53001983125021079</v>
      </c>
    </row>
    <row r="72" spans="3:23" x14ac:dyDescent="0.2">
      <c r="C72" s="2">
        <f>EWMA!$G$2*C73+(1-EWMA!$G$2)*(Foglio1!E73)^2</f>
        <v>7.3928560540870148E-4</v>
      </c>
      <c r="D72" s="2">
        <f>EWMA!$G$2*D73+(1-EWMA!$G$2)*(Foglio1!I73)^2</f>
        <v>1.371465692877485E-4</v>
      </c>
      <c r="F72">
        <f>EWMA!$G$2*F73+(1-EWMA!$G$2)*Foglio1!E67*Foglio1!I67</f>
        <v>-7.828117528245533E-5</v>
      </c>
      <c r="J72" s="39">
        <v>65</v>
      </c>
      <c r="K72">
        <f>Foglio1!$U$6*EWMA!$H$8*SQRT($J72)-Foglio1!$O$7*EWMA!$J72</f>
        <v>0.66419993947959066</v>
      </c>
      <c r="L72">
        <f>Foglio1!$U$7*EWMA!$H$8*SQRT($J72)-Foglio1!$O$7*EWMA!$J72</f>
        <v>0.83164101193040785</v>
      </c>
      <c r="M72">
        <f>Foglio1!$U$8*EWMA!$H$8*SQRT($J72)-Foglio1!$O$7*EWMA!$J72</f>
        <v>0.89293784354975736</v>
      </c>
      <c r="N72" s="2"/>
      <c r="P72">
        <f>Foglio1!$U$6*EWMA!$I$8*SQRT($J72)-Foglio1!$P$7*EWMA!$J72</f>
        <v>0.29292646543915524</v>
      </c>
      <c r="Q72">
        <f>Foglio1!$U$7*EWMA!$I$8*SQRT($J72)-Foglio1!$P$7*EWMA!$J72</f>
        <v>0.3798436855202254</v>
      </c>
      <c r="R72">
        <f>Foglio1!$U$8*EWMA!$I$8*SQRT($J72)-Foglio1!$P$7*EWMA!$J72</f>
        <v>0.41166234342864405</v>
      </c>
      <c r="U72">
        <f>Foglio1!$U$6*EWMA!$J$4*SQRT($J72)-Foglio1!$P$13*EWMA!$J72</f>
        <v>0.40395853639685941</v>
      </c>
      <c r="V72">
        <f>Foglio1!$U$7*EWMA!$J$4*SQRT($J72)-Foglio1!$P$13*EWMA!$J72</f>
        <v>0.50022754580043871</v>
      </c>
      <c r="W72">
        <f>Foglio1!$U$8*EWMA!$J$4*SQRT($J72)-Foglio1!$P$13*EWMA!$J72</f>
        <v>0.53546970695720075</v>
      </c>
    </row>
    <row r="73" spans="3:23" x14ac:dyDescent="0.2">
      <c r="C73" s="2">
        <f>EWMA!$G$2*C74+(1-EWMA!$G$2)*(Foglio1!E74)^2</f>
        <v>7.8588696775926418E-4</v>
      </c>
      <c r="D73" s="2">
        <f>EWMA!$G$2*D74+(1-EWMA!$G$2)*(Foglio1!I74)^2</f>
        <v>1.3997679379895578E-4</v>
      </c>
      <c r="F73">
        <f>EWMA!$G$2*F74+(1-EWMA!$G$2)*Foglio1!E68*Foglio1!I68</f>
        <v>-7.3313210294589177E-5</v>
      </c>
      <c r="J73" s="39">
        <v>66</v>
      </c>
      <c r="K73">
        <f>Foglio1!$U$6*EWMA!$H$8*SQRT($J73)-Foglio1!$O$7*EWMA!$J73</f>
        <v>0.67129779947989798</v>
      </c>
      <c r="L73">
        <f>Foglio1!$U$7*EWMA!$H$8*SQRT($J73)-Foglio1!$O$7*EWMA!$J73</f>
        <v>0.8400219640466966</v>
      </c>
      <c r="M73">
        <f>Foglio1!$U$8*EWMA!$H$8*SQRT($J73)-Foglio1!$O$7*EWMA!$J73</f>
        <v>0.90178851005711058</v>
      </c>
      <c r="N73" s="2"/>
      <c r="P73">
        <f>Foglio1!$U$6*EWMA!$I$8*SQRT($J73)-Foglio1!$P$7*EWMA!$J73</f>
        <v>0.29581314951977927</v>
      </c>
      <c r="Q73">
        <f>Foglio1!$U$7*EWMA!$I$8*SQRT($J73)-Foglio1!$P$7*EWMA!$J73</f>
        <v>0.38339641167879773</v>
      </c>
      <c r="R73">
        <f>Foglio1!$U$8*EWMA!$I$8*SQRT($J73)-Foglio1!$P$7*EWMA!$J73</f>
        <v>0.41545889428629307</v>
      </c>
      <c r="U73">
        <f>Foglio1!$U$6*EWMA!$J$4*SQRT($J73)-Foglio1!$P$13*EWMA!$J73</f>
        <v>0.40837911681209171</v>
      </c>
      <c r="V73">
        <f>Foglio1!$U$7*EWMA!$J$4*SQRT($J73)-Foglio1!$P$13*EWMA!$J73</f>
        <v>0.50538583056246655</v>
      </c>
      <c r="W73">
        <f>Foglio1!$U$8*EWMA!$J$4*SQRT($J73)-Foglio1!$P$13*EWMA!$J73</f>
        <v>0.5408980505433183</v>
      </c>
    </row>
    <row r="74" spans="3:23" x14ac:dyDescent="0.2">
      <c r="C74" s="2">
        <f>EWMA!$G$2*C75+(1-EWMA!$G$2)*(Foglio1!E75)^2</f>
        <v>8.351152229779513E-4</v>
      </c>
      <c r="D74" s="2">
        <f>EWMA!$G$2*D75+(1-EWMA!$G$2)*(Foglio1!I75)^2</f>
        <v>1.4871818039142843E-4</v>
      </c>
      <c r="F74">
        <f>EWMA!$G$2*F75+(1-EWMA!$G$2)*Foglio1!E69*Foglio1!I69</f>
        <v>-4.0004964670539137E-6</v>
      </c>
      <c r="J74" s="39">
        <v>67</v>
      </c>
      <c r="K74">
        <f>Foglio1!$U$6*EWMA!$H$8*SQRT($J74)-Foglio1!$O$7*EWMA!$J74</f>
        <v>0.67837228587814957</v>
      </c>
      <c r="L74">
        <f>Foglio1!$U$7*EWMA!$H$8*SQRT($J74)-Foglio1!$O$7*EWMA!$J74</f>
        <v>0.84836985843154955</v>
      </c>
      <c r="M74">
        <f>Foglio1!$U$8*EWMA!$H$8*SQRT($J74)-Foglio1!$O$7*EWMA!$J74</f>
        <v>0.91060257366672359</v>
      </c>
      <c r="N74" s="2"/>
      <c r="P74">
        <f>Foglio1!$U$6*EWMA!$I$8*SQRT($J74)-Foglio1!$P$7*EWMA!$J74</f>
        <v>0.2986877005646778</v>
      </c>
      <c r="Q74">
        <f>Foglio1!$U$7*EWMA!$I$8*SQRT($J74)-Foglio1!$P$7*EWMA!$J74</f>
        <v>0.38693197785340355</v>
      </c>
      <c r="R74">
        <f>Foglio1!$U$8*EWMA!$I$8*SQRT($J74)-Foglio1!$P$7*EWMA!$J74</f>
        <v>0.41923644489464895</v>
      </c>
      <c r="U74">
        <f>Foglio1!$U$6*EWMA!$J$4*SQRT($J74)-Foglio1!$P$13*EWMA!$J74</f>
        <v>0.41278625874724761</v>
      </c>
      <c r="V74">
        <f>Foglio1!$U$7*EWMA!$J$4*SQRT($J74)-Foglio1!$P$13*EWMA!$J74</f>
        <v>0.51052510902566994</v>
      </c>
      <c r="W74">
        <f>Foglio1!$U$8*EWMA!$J$4*SQRT($J74)-Foglio1!$P$13*EWMA!$J74</f>
        <v>0.54630534956339727</v>
      </c>
    </row>
    <row r="75" spans="3:23" x14ac:dyDescent="0.2">
      <c r="C75" s="2">
        <f>EWMA!$G$2*C76+(1-EWMA!$G$2)*(Foglio1!E76)^2</f>
        <v>8.8349521804584157E-4</v>
      </c>
      <c r="D75" s="2">
        <f>EWMA!$G$2*D76+(1-EWMA!$G$2)*(Foglio1!I76)^2</f>
        <v>1.5447355313204201E-4</v>
      </c>
      <c r="F75">
        <f>EWMA!$G$2*F76+(1-EWMA!$G$2)*Foglio1!E70*Foglio1!I70</f>
        <v>-8.3838309585612973E-6</v>
      </c>
      <c r="J75" s="39">
        <v>68</v>
      </c>
      <c r="K75">
        <f>Foglio1!$U$6*EWMA!$H$8*SQRT($J75)-Foglio1!$O$7*EWMA!$J75</f>
        <v>0.68542392005506692</v>
      </c>
      <c r="L75">
        <f>Foglio1!$U$7*EWMA!$H$8*SQRT($J75)-Foglio1!$O$7*EWMA!$J75</f>
        <v>0.85668543248367057</v>
      </c>
      <c r="M75">
        <f>Foglio1!$U$8*EWMA!$H$8*SQRT($J75)-Foglio1!$O$7*EWMA!$J75</f>
        <v>0.91938085085716881</v>
      </c>
      <c r="N75" s="2"/>
      <c r="P75">
        <f>Foglio1!$U$6*EWMA!$I$8*SQRT($J75)-Foglio1!$P$7*EWMA!$J75</f>
        <v>0.3015503892180974</v>
      </c>
      <c r="Q75">
        <f>Foglio1!$U$7*EWMA!$I$8*SQRT($J75)-Foglio1!$P$7*EWMA!$J75</f>
        <v>0.3904507668213657</v>
      </c>
      <c r="R75">
        <f>Foglio1!$U$8*EWMA!$I$8*SQRT($J75)-Foglio1!$P$7*EWMA!$J75</f>
        <v>0.42299541908071364</v>
      </c>
      <c r="U75">
        <f>Foglio1!$U$6*EWMA!$J$4*SQRT($J75)-Foglio1!$P$13*EWMA!$J75</f>
        <v>0.41718026196632674</v>
      </c>
      <c r="V75">
        <f>Foglio1!$U$7*EWMA!$J$4*SQRT($J75)-Foglio1!$P$13*EWMA!$J75</f>
        <v>0.51564580515199432</v>
      </c>
      <c r="W75">
        <f>Foglio1!$U$8*EWMA!$J$4*SQRT($J75)-Foglio1!$P$13*EWMA!$J75</f>
        <v>0.55169207344576987</v>
      </c>
    </row>
    <row r="76" spans="3:23" x14ac:dyDescent="0.2">
      <c r="C76" s="2">
        <f>EWMA!$G$2*C77+(1-EWMA!$G$2)*(Foglio1!E77)^2</f>
        <v>9.3905830969083916E-4</v>
      </c>
      <c r="D76" s="2">
        <f>EWMA!$G$2*D77+(1-EWMA!$G$2)*(Foglio1!I77)^2</f>
        <v>1.6430764691555683E-4</v>
      </c>
      <c r="F76">
        <f>EWMA!$G$2*F77+(1-EWMA!$G$2)*Foglio1!E71*Foglio1!I71</f>
        <v>-8.5597120527472843E-6</v>
      </c>
      <c r="J76" s="39">
        <v>69</v>
      </c>
      <c r="K76">
        <f>Foglio1!$U$6*EWMA!$H$8*SQRT($J76)-Foglio1!$O$7*EWMA!$J76</f>
        <v>0.69245320429134871</v>
      </c>
      <c r="L76">
        <f>Foglio1!$U$7*EWMA!$H$8*SQRT($J76)-Foglio1!$O$7*EWMA!$J76</f>
        <v>0.86496939658823724</v>
      </c>
      <c r="M76">
        <f>Foglio1!$U$8*EWMA!$H$8*SQRT($J76)-Foglio1!$O$7*EWMA!$J76</f>
        <v>0.9281241281965158</v>
      </c>
      <c r="N76" s="2"/>
      <c r="P76">
        <f>Foglio1!$U$6*EWMA!$I$8*SQRT($J76)-Foglio1!$P$7*EWMA!$J76</f>
        <v>0.30440147620962738</v>
      </c>
      <c r="Q76">
        <f>Foglio1!$U$7*EWMA!$I$8*SQRT($J76)-Foglio1!$P$7*EWMA!$J76</f>
        <v>0.39395314733751791</v>
      </c>
      <c r="R76">
        <f>Foglio1!$U$8*EWMA!$I$8*SQRT($J76)-Foglio1!$P$7*EWMA!$J76</f>
        <v>0.42673622514520476</v>
      </c>
      <c r="U76">
        <f>Foglio1!$U$6*EWMA!$J$4*SQRT($J76)-Foglio1!$P$13*EWMA!$J76</f>
        <v>0.42156141525191149</v>
      </c>
      <c r="V76">
        <f>Foglio1!$U$7*EWMA!$J$4*SQRT($J76)-Foglio1!$P$13*EWMA!$J76</f>
        <v>0.52074832737215693</v>
      </c>
      <c r="W76">
        <f>Foglio1!$U$8*EWMA!$J$4*SQRT($J76)-Foglio1!$P$13*EWMA!$J76</f>
        <v>0.55705867442194512</v>
      </c>
    </row>
    <row r="77" spans="3:23" x14ac:dyDescent="0.2">
      <c r="C77" s="2">
        <f>EWMA!$G$2*C78+(1-EWMA!$G$2)*(Foglio1!E78)^2</f>
        <v>8.9347832617026751E-4</v>
      </c>
      <c r="D77" s="2">
        <f>EWMA!$G$2*D78+(1-EWMA!$G$2)*(Foglio1!I78)^2</f>
        <v>1.7223606653114762E-4</v>
      </c>
      <c r="F77">
        <f>EWMA!$G$2*F78+(1-EWMA!$G$2)*Foglio1!E72*Foglio1!I72</f>
        <v>-6.2202177811795458E-6</v>
      </c>
      <c r="J77" s="39">
        <v>70</v>
      </c>
      <c r="K77">
        <f>Foglio1!$U$6*EWMA!$H$8*SQRT($J77)-Foglio1!$O$7*EWMA!$J77</f>
        <v>0.69946062273313125</v>
      </c>
      <c r="L77">
        <f>Foglio1!$U$7*EWMA!$H$8*SQRT($J77)-Foglio1!$O$7*EWMA!$J77</f>
        <v>0.87322243548236955</v>
      </c>
      <c r="M77">
        <f>Foglio1!$U$8*EWMA!$H$8*SQRT($J77)-Foglio1!$O$7*EWMA!$J77</f>
        <v>0.93683316385423621</v>
      </c>
      <c r="N77" s="2"/>
      <c r="P77">
        <f>Foglio1!$U$6*EWMA!$I$8*SQRT($J77)-Foglio1!$P$7*EWMA!$J77</f>
        <v>0.30724121285536155</v>
      </c>
      <c r="Q77">
        <f>Foglio1!$U$7*EWMA!$I$8*SQRT($J77)-Foglio1!$P$7*EWMA!$J77</f>
        <v>0.39743947484300762</v>
      </c>
      <c r="R77">
        <f>Foglio1!$U$8*EWMA!$I$8*SQRT($J77)-Foglio1!$P$7*EWMA!$J77</f>
        <v>0.43045925664737178</v>
      </c>
      <c r="U77">
        <f>Foglio1!$U$6*EWMA!$J$4*SQRT($J77)-Foglio1!$P$13*EWMA!$J77</f>
        <v>0.42592999696025147</v>
      </c>
      <c r="V77">
        <f>Foglio1!$U$7*EWMA!$J$4*SQRT($J77)-Foglio1!$P$13*EWMA!$J77</f>
        <v>0.52583306937071339</v>
      </c>
      <c r="W77">
        <f>Foglio1!$U$8*EWMA!$J$4*SQRT($J77)-Foglio1!$P$13*EWMA!$J77</f>
        <v>0.56240558839586785</v>
      </c>
    </row>
    <row r="78" spans="3:23" x14ac:dyDescent="0.2">
      <c r="C78" s="2">
        <f>EWMA!$G$2*C79+(1-EWMA!$G$2)*(Foglio1!E79)^2</f>
        <v>9.3537639310456347E-4</v>
      </c>
      <c r="D78" s="2">
        <f>EWMA!$G$2*D79+(1-EWMA!$G$2)*(Foglio1!I79)^2</f>
        <v>1.7812540759157633E-4</v>
      </c>
      <c r="F78">
        <f>EWMA!$G$2*F79+(1-EWMA!$G$2)*Foglio1!E73*Foglio1!I73</f>
        <v>-3.9787829800311814E-6</v>
      </c>
      <c r="J78" s="39">
        <v>71</v>
      </c>
      <c r="K78">
        <f>Foglio1!$U$6*EWMA!$H$8*SQRT($J78)-Foglio1!$O$7*EWMA!$J78</f>
        <v>0.70644664229559528</v>
      </c>
      <c r="L78">
        <f>Foglio1!$U$7*EWMA!$H$8*SQRT($J78)-Foglio1!$O$7*EWMA!$J78</f>
        <v>0.88144520953311778</v>
      </c>
      <c r="M78">
        <f>Foglio1!$U$8*EWMA!$H$8*SQRT($J78)-Foglio1!$O$7*EWMA!$J78</f>
        <v>0.94550868901624541</v>
      </c>
      <c r="N78" s="2"/>
      <c r="P78">
        <f>Foglio1!$U$6*EWMA!$I$8*SQRT($J78)-Foglio1!$P$7*EWMA!$J78</f>
        <v>0.31006984152695305</v>
      </c>
      <c r="Q78">
        <f>Foglio1!$U$7*EWMA!$I$8*SQRT($J78)-Foglio1!$P$7*EWMA!$J78</f>
        <v>0.40091009212868906</v>
      </c>
      <c r="R78">
        <f>Foglio1!$U$8*EWMA!$I$8*SQRT($J78)-Foglio1!$P$7*EWMA!$J78</f>
        <v>0.43416489313953244</v>
      </c>
      <c r="U78">
        <f>Foglio1!$U$6*EWMA!$J$4*SQRT($J78)-Foglio1!$P$13*EWMA!$J78</f>
        <v>0.43028627554078547</v>
      </c>
      <c r="V78">
        <f>Foglio1!$U$7*EWMA!$J$4*SQRT($J78)-Foglio1!$P$13*EWMA!$J78</f>
        <v>0.53090041082082817</v>
      </c>
      <c r="W78">
        <f>Foglio1!$U$8*EWMA!$J$4*SQRT($J78)-Foglio1!$P$13*EWMA!$J78</f>
        <v>0.56773323575748624</v>
      </c>
    </row>
    <row r="79" spans="3:23" x14ac:dyDescent="0.2">
      <c r="C79" s="2">
        <f>EWMA!$G$2*C80+(1-EWMA!$G$2)*(Foglio1!E80)^2</f>
        <v>9.6925058740112975E-4</v>
      </c>
      <c r="D79" s="2">
        <f>EWMA!$G$2*D80+(1-EWMA!$G$2)*(Foglio1!I80)^2</f>
        <v>1.8429813076329446E-4</v>
      </c>
      <c r="F79">
        <f>EWMA!$G$2*F80+(1-EWMA!$G$2)*Foglio1!E74*Foglio1!I74</f>
        <v>-6.0976217590166075E-6</v>
      </c>
      <c r="J79" s="39">
        <v>72</v>
      </c>
      <c r="K79">
        <f>Foglio1!$U$6*EWMA!$H$8*SQRT($J79)-Foglio1!$O$7*EWMA!$J79</f>
        <v>0.7134117135094955</v>
      </c>
      <c r="L79">
        <f>Foglio1!$U$7*EWMA!$H$8*SQRT($J79)-Foglio1!$O$7*EWMA!$J79</f>
        <v>0.88963835593472573</v>
      </c>
      <c r="M79">
        <f>Foglio1!$U$8*EWMA!$H$8*SQRT($J79)-Foglio1!$O$7*EWMA!$J79</f>
        <v>0.95415140921056141</v>
      </c>
      <c r="N79" s="2"/>
      <c r="P79">
        <f>Foglio1!$U$6*EWMA!$I$8*SQRT($J79)-Foglio1!$P$7*EWMA!$J79</f>
        <v>0.31288759609104011</v>
      </c>
      <c r="Q79">
        <f>Foglio1!$U$7*EWMA!$I$8*SQRT($J79)-Foglio1!$P$7*EWMA!$J79</f>
        <v>0.40436532995661195</v>
      </c>
      <c r="R79">
        <f>Foglio1!$U$8*EWMA!$I$8*SQRT($J79)-Foglio1!$P$7*EWMA!$J79</f>
        <v>0.43785350085521069</v>
      </c>
      <c r="U79">
        <f>Foglio1!$U$6*EWMA!$J$4*SQRT($J79)-Foglio1!$P$13*EWMA!$J79</f>
        <v>0.43463051002284725</v>
      </c>
      <c r="V79">
        <f>Foglio1!$U$7*EWMA!$J$4*SQRT($J79)-Foglio1!$P$13*EWMA!$J79</f>
        <v>0.53595071807263084</v>
      </c>
      <c r="W79">
        <f>Foglio1!$U$8*EWMA!$J$4*SQRT($J79)-Foglio1!$P$13*EWMA!$J79</f>
        <v>0.5730420221449295</v>
      </c>
    </row>
    <row r="80" spans="3:23" x14ac:dyDescent="0.2">
      <c r="C80" s="2">
        <f>EWMA!$G$2*C81+(1-EWMA!$G$2)*(Foglio1!E81)^2</f>
        <v>1.00139703159407E-3</v>
      </c>
      <c r="D80" s="2">
        <f>EWMA!$G$2*D81+(1-EWMA!$G$2)*(Foglio1!I81)^2</f>
        <v>1.9243182092227416E-4</v>
      </c>
      <c r="F80">
        <f>EWMA!$G$2*F81+(1-EWMA!$G$2)*Foglio1!E75*Foglio1!I75</f>
        <v>-6.0617575626728526E-6</v>
      </c>
      <c r="J80" s="39">
        <v>73</v>
      </c>
      <c r="K80">
        <f>Foglio1!$U$6*EWMA!$H$8*SQRT($J80)-Foglio1!$O$7*EWMA!$J80</f>
        <v>0.72035627131495672</v>
      </c>
      <c r="L80">
        <f>Foglio1!$U$7*EWMA!$H$8*SQRT($J80)-Foglio1!$O$7*EWMA!$J80</f>
        <v>0.8978024898313125</v>
      </c>
      <c r="M80">
        <f>Foglio1!$U$8*EWMA!$H$8*SQRT($J80)-Foglio1!$O$7*EWMA!$J80</f>
        <v>0.96276200555038571</v>
      </c>
      <c r="N80" s="2"/>
      <c r="P80">
        <f>Foglio1!$U$6*EWMA!$I$8*SQRT($J80)-Foglio1!$P$7*EWMA!$J80</f>
        <v>0.31569470232129981</v>
      </c>
      <c r="Q80">
        <f>Foglio1!$U$7*EWMA!$I$8*SQRT($J80)-Foglio1!$P$7*EWMA!$J80</f>
        <v>0.40780550764279588</v>
      </c>
      <c r="R80">
        <f>Foglio1!$U$8*EWMA!$I$8*SQRT($J80)-Foglio1!$P$7*EWMA!$J80</f>
        <v>0.44152543335440925</v>
      </c>
      <c r="U80">
        <f>Foglio1!$U$6*EWMA!$J$4*SQRT($J80)-Foglio1!$P$13*EWMA!$J80</f>
        <v>0.43896295047205325</v>
      </c>
      <c r="V80">
        <f>Foglio1!$U$7*EWMA!$J$4*SQRT($J80)-Foglio1!$P$13*EWMA!$J80</f>
        <v>0.54098434479869506</v>
      </c>
      <c r="W80">
        <f>Foglio1!$U$8*EWMA!$J$4*SQRT($J80)-Foglio1!$P$13*EWMA!$J80</f>
        <v>0.57833233915920845</v>
      </c>
    </row>
    <row r="81" spans="3:23" x14ac:dyDescent="0.2">
      <c r="C81" s="2">
        <f>EWMA!$G$2*C82+(1-EWMA!$G$2)*(Foglio1!E82)^2</f>
        <v>9.0822513438365061E-4</v>
      </c>
      <c r="D81" s="2">
        <f>EWMA!$G$2*D82+(1-EWMA!$G$2)*(Foglio1!I82)^2</f>
        <v>1.8710294678990212E-4</v>
      </c>
      <c r="F81">
        <f>EWMA!$G$2*F82+(1-EWMA!$G$2)*Foglio1!E76*Foglio1!I76</f>
        <v>-2.1583453611775524E-6</v>
      </c>
      <c r="J81" s="39">
        <v>74</v>
      </c>
      <c r="K81">
        <f>Foglio1!$U$6*EWMA!$H$8*SQRT($J81)-Foglio1!$O$7*EWMA!$J81</f>
        <v>0.72728073580649966</v>
      </c>
      <c r="L81">
        <f>Foglio1!$U$7*EWMA!$H$8*SQRT($J81)-Foglio1!$O$7*EWMA!$J81</f>
        <v>0.90593820537057523</v>
      </c>
      <c r="M81">
        <f>Foglio1!$U$8*EWMA!$H$8*SQRT($J81)-Foglio1!$O$7*EWMA!$J81</f>
        <v>0.97134113590080629</v>
      </c>
      <c r="N81" s="2"/>
      <c r="P81">
        <f>Foglio1!$U$6*EWMA!$I$8*SQRT($J81)-Foglio1!$P$7*EWMA!$J81</f>
        <v>0.31849137828518309</v>
      </c>
      <c r="Q81">
        <f>Foglio1!$U$7*EWMA!$I$8*SQRT($J81)-Foglio1!$P$7*EWMA!$J81</f>
        <v>0.41123093360419855</v>
      </c>
      <c r="R81">
        <f>Foglio1!$U$8*EWMA!$I$8*SQRT($J81)-Foglio1!$P$7*EWMA!$J81</f>
        <v>0.44518103212923515</v>
      </c>
      <c r="U81">
        <f>Foglio1!$U$6*EWMA!$J$4*SQRT($J81)-Foglio1!$P$13*EWMA!$J81</f>
        <v>0.44328383841864893</v>
      </c>
      <c r="V81">
        <f>Foglio1!$U$7*EWMA!$J$4*SQRT($J81)-Foglio1!$P$13*EWMA!$J81</f>
        <v>0.54600163259985623</v>
      </c>
      <c r="W81">
        <f>Foglio1!$U$8*EWMA!$J$4*SQRT($J81)-Foglio1!$P$13*EWMA!$J81</f>
        <v>0.58360456503500224</v>
      </c>
    </row>
    <row r="82" spans="3:23" x14ac:dyDescent="0.2">
      <c r="C82" s="2">
        <f>EWMA!$G$2*C83+(1-EWMA!$G$2)*(Foglio1!E83)^2</f>
        <v>9.4714967134126838E-4</v>
      </c>
      <c r="D82" s="2">
        <f>EWMA!$G$2*D83+(1-EWMA!$G$2)*(Foglio1!I83)^2</f>
        <v>1.9862670307289497E-4</v>
      </c>
      <c r="F82">
        <f>EWMA!$G$2*F83+(1-EWMA!$G$2)*Foglio1!E77*Foglio1!I77</f>
        <v>-2.1494167880209976E-6</v>
      </c>
      <c r="J82" s="39">
        <v>75</v>
      </c>
      <c r="K82">
        <f>Foglio1!$U$6*EWMA!$H$8*SQRT($J82)-Foglio1!$O$7*EWMA!$J82</f>
        <v>0.73418551293290601</v>
      </c>
      <c r="L82">
        <f>Foglio1!$U$7*EWMA!$H$8*SQRT($J82)-Foglio1!$O$7*EWMA!$J82</f>
        <v>0.91404607669362292</v>
      </c>
      <c r="M82">
        <f>Foglio1!$U$8*EWMA!$H$8*SQRT($J82)-Foglio1!$O$7*EWMA!$J82</f>
        <v>0.97988943597478295</v>
      </c>
      <c r="N82" s="2"/>
      <c r="P82">
        <f>Foglio1!$U$6*EWMA!$I$8*SQRT($J82)-Foglio1!$P$7*EWMA!$J82</f>
        <v>0.32127783470720994</v>
      </c>
      <c r="Q82">
        <f>Foglio1!$U$7*EWMA!$I$8*SQRT($J82)-Foglio1!$P$7*EWMA!$J82</f>
        <v>0.41464190587252969</v>
      </c>
      <c r="R82">
        <f>Foglio1!$U$8*EWMA!$I$8*SQRT($J82)-Foglio1!$P$7*EWMA!$J82</f>
        <v>0.44882062717281634</v>
      </c>
      <c r="U82">
        <f>Foglio1!$U$6*EWMA!$J$4*SQRT($J82)-Foglio1!$P$13*EWMA!$J82</f>
        <v>0.44759340725989172</v>
      </c>
      <c r="V82">
        <f>Foglio1!$U$7*EWMA!$J$4*SQRT($J82)-Foglio1!$P$13*EWMA!$J82</f>
        <v>0.55100291157430947</v>
      </c>
      <c r="W82">
        <f>Foglio1!$U$8*EWMA!$J$4*SQRT($J82)-Foglio1!$P$13*EWMA!$J82</f>
        <v>0.58885906527078757</v>
      </c>
    </row>
    <row r="83" spans="3:23" x14ac:dyDescent="0.2">
      <c r="C83" s="2">
        <f>EWMA!$G$2*C84+(1-EWMA!$G$2)*(Foglio1!E84)^2</f>
        <v>1.0040823289697049E-3</v>
      </c>
      <c r="D83" s="2">
        <f>EWMA!$G$2*D84+(1-EWMA!$G$2)*(Foglio1!I84)^2</f>
        <v>2.1122498640291885E-4</v>
      </c>
      <c r="F83">
        <f>EWMA!$G$2*F84+(1-EWMA!$G$2)*Foglio1!E78*Foglio1!I78</f>
        <v>1.4146806138598517E-5</v>
      </c>
      <c r="J83" s="39">
        <v>76</v>
      </c>
      <c r="K83">
        <f>Foglio1!$U$6*EWMA!$H$8*SQRT($J83)-Foglio1!$O$7*EWMA!$J83</f>
        <v>0.7410709951552269</v>
      </c>
      <c r="L83">
        <f>Foglio1!$U$7*EWMA!$H$8*SQRT($J83)-Foglio1!$O$7*EWMA!$J83</f>
        <v>0.92212665886560963</v>
      </c>
      <c r="M83">
        <f>Foglio1!$U$8*EWMA!$H$8*SQRT($J83)-Foglio1!$O$7*EWMA!$J83</f>
        <v>0.98840752036358381</v>
      </c>
      <c r="N83" s="2"/>
      <c r="P83">
        <f>Foglio1!$U$6*EWMA!$I$8*SQRT($J83)-Foglio1!$P$7*EWMA!$J83</f>
        <v>0.32405427531053543</v>
      </c>
      <c r="Q83">
        <f>Foglio1!$U$7*EWMA!$I$8*SQRT($J83)-Foglio1!$P$7*EWMA!$J83</f>
        <v>0.41803871257733549</v>
      </c>
      <c r="R83">
        <f>Foglio1!$U$8*EWMA!$I$8*SQRT($J83)-Foglio1!$P$7*EWMA!$J83</f>
        <v>0.45244453751419222</v>
      </c>
      <c r="U83">
        <f>Foglio1!$U$6*EWMA!$J$4*SQRT($J83)-Foglio1!$P$13*EWMA!$J83</f>
        <v>0.45189188263836794</v>
      </c>
      <c r="V83">
        <f>Foglio1!$U$7*EWMA!$J$4*SQRT($J83)-Foglio1!$P$13*EWMA!$J83</f>
        <v>0.5559885008526706</v>
      </c>
      <c r="W83">
        <f>Foglio1!$U$8*EWMA!$J$4*SQRT($J83)-Foglio1!$P$13*EWMA!$J83</f>
        <v>0.59409619322128027</v>
      </c>
    </row>
    <row r="84" spans="3:23" x14ac:dyDescent="0.2">
      <c r="C84" s="2">
        <f>EWMA!$G$2*C85+(1-EWMA!$G$2)*(Foglio1!E85)^2</f>
        <v>1.0652110084672394E-3</v>
      </c>
      <c r="D84" s="2">
        <f>EWMA!$G$2*D85+(1-EWMA!$G$2)*(Foglio1!I85)^2</f>
        <v>2.1787960178969469E-4</v>
      </c>
      <c r="F84">
        <f>EWMA!$G$2*F85+(1-EWMA!$G$2)*Foglio1!E79*Foglio1!I79</f>
        <v>6.2609989155531568E-6</v>
      </c>
      <c r="J84" s="39">
        <v>77</v>
      </c>
      <c r="K84">
        <f>Foglio1!$U$6*EWMA!$H$8*SQRT($J84)-Foglio1!$O$7*EWMA!$J84</f>
        <v>0.74793756206595374</v>
      </c>
      <c r="L84">
        <f>Foglio1!$U$7*EWMA!$H$8*SQRT($J84)-Foglio1!$O$7*EWMA!$J84</f>
        <v>0.93018048875143999</v>
      </c>
      <c r="M84">
        <f>Foglio1!$U$8*EWMA!$H$8*SQRT($J84)-Foglio1!$O$7*EWMA!$J84</f>
        <v>0.99689598350640174</v>
      </c>
      <c r="N84" s="2"/>
      <c r="P84">
        <f>Foglio1!$U$6*EWMA!$I$8*SQRT($J84)-Foglio1!$P$7*EWMA!$J84</f>
        <v>0.32682089713835594</v>
      </c>
      <c r="Q84">
        <f>Foglio1!$U$7*EWMA!$I$8*SQRT($J84)-Foglio1!$P$7*EWMA!$J84</f>
        <v>0.42142163240056851</v>
      </c>
      <c r="R84">
        <f>Foglio1!$U$8*EWMA!$I$8*SQRT($J84)-Foglio1!$P$7*EWMA!$J84</f>
        <v>0.45605307172163345</v>
      </c>
      <c r="U84">
        <f>Foglio1!$U$6*EWMA!$J$4*SQRT($J84)-Foglio1!$P$13*EWMA!$J84</f>
        <v>0.45617948279798015</v>
      </c>
      <c r="V84">
        <f>Foglio1!$U$7*EWMA!$J$4*SQRT($J84)-Foglio1!$P$13*EWMA!$J84</f>
        <v>0.56095870910145607</v>
      </c>
      <c r="W84">
        <f>Foglio1!$U$8*EWMA!$J$4*SQRT($J84)-Foglio1!$P$13*EWMA!$J84</f>
        <v>0.59931629065490921</v>
      </c>
    </row>
    <row r="85" spans="3:23" x14ac:dyDescent="0.2">
      <c r="C85" s="2">
        <f>EWMA!$G$2*C86+(1-EWMA!$G$2)*(Foglio1!E86)^2</f>
        <v>1.090665405882576E-3</v>
      </c>
      <c r="D85" s="2">
        <f>EWMA!$G$2*D86+(1-EWMA!$G$2)*(Foglio1!I86)^2</f>
        <v>2.307364965976894E-4</v>
      </c>
      <c r="F85">
        <f>EWMA!$G$2*F86+(1-EWMA!$G$2)*Foglio1!E80*Foglio1!I80</f>
        <v>1.8246906279419218E-5</v>
      </c>
      <c r="J85" s="39">
        <v>78</v>
      </c>
      <c r="K85">
        <f>Foglio1!$U$6*EWMA!$H$8*SQRT($J85)-Foglio1!$O$7*EWMA!$J85</f>
        <v>0.75478558097211557</v>
      </c>
      <c r="L85">
        <f>Foglio1!$U$7*EWMA!$H$8*SQRT($J85)-Foglio1!$O$7*EWMA!$J85</f>
        <v>0.93820808584045445</v>
      </c>
      <c r="M85">
        <f>Foglio1!$U$8*EWMA!$H$8*SQRT($J85)-Foglio1!$O$7*EWMA!$J85</f>
        <v>1.0053554006034817</v>
      </c>
      <c r="N85" s="2"/>
      <c r="P85">
        <f>Foglio1!$U$6*EWMA!$I$8*SQRT($J85)-Foglio1!$P$7*EWMA!$J85</f>
        <v>0.32957789085658978</v>
      </c>
      <c r="Q85">
        <f>Foglio1!$U$7*EWMA!$I$8*SQRT($J85)-Foglio1!$P$7*EWMA!$J85</f>
        <v>0.42479093500467596</v>
      </c>
      <c r="R85">
        <f>Foglio1!$U$8*EWMA!$I$8*SQRT($J85)-Foglio1!$P$7*EWMA!$J85</f>
        <v>0.45964652837663805</v>
      </c>
      <c r="U85">
        <f>Foglio1!$U$6*EWMA!$J$4*SQRT($J85)-Foglio1!$P$13*EWMA!$J85</f>
        <v>0.46045641891919514</v>
      </c>
      <c r="V85">
        <f>Foglio1!$U$7*EWMA!$J$4*SQRT($J85)-Foglio1!$P$13*EWMA!$J85</f>
        <v>0.5659138349972298</v>
      </c>
      <c r="W85">
        <f>Foglio1!$U$8*EWMA!$J$4*SQRT($J85)-Foglio1!$P$13*EWMA!$J85</f>
        <v>0.60451968827881175</v>
      </c>
    </row>
    <row r="86" spans="3:23" x14ac:dyDescent="0.2">
      <c r="C86" s="2">
        <f>EWMA!$G$2*C87+(1-EWMA!$G$2)*(Foglio1!E87)^2</f>
        <v>1.1431689980030833E-3</v>
      </c>
      <c r="D86" s="2">
        <f>EWMA!$G$2*D87+(1-EWMA!$G$2)*(Foglio1!I87)^2</f>
        <v>2.3252938672502818E-4</v>
      </c>
      <c r="F86">
        <f>EWMA!$G$2*F87+(1-EWMA!$G$2)*Foglio1!E81*Foglio1!I81</f>
        <v>2.9798441920071576E-5</v>
      </c>
      <c r="J86" s="39">
        <v>79</v>
      </c>
      <c r="K86">
        <f>Foglio1!$U$6*EWMA!$H$8*SQRT($J86)-Foglio1!$O$7*EWMA!$J86</f>
        <v>0.76161540744484002</v>
      </c>
      <c r="L86">
        <f>Foglio1!$U$7*EWMA!$H$8*SQRT($J86)-Foglio1!$O$7*EWMA!$J86</f>
        <v>0.94620995302368449</v>
      </c>
      <c r="M86">
        <f>Foglio1!$U$8*EWMA!$H$8*SQRT($J86)-Foglio1!$O$7*EWMA!$J86</f>
        <v>1.0137863284767286</v>
      </c>
      <c r="N86" s="2"/>
      <c r="P86">
        <f>Foglio1!$U$6*EWMA!$I$8*SQRT($J86)-Foglio1!$P$7*EWMA!$J86</f>
        <v>0.33232544103915018</v>
      </c>
      <c r="Q86">
        <f>Foglio1!$U$7*EWMA!$I$8*SQRT($J86)-Foglio1!$P$7*EWMA!$J86</f>
        <v>0.42814688143606544</v>
      </c>
      <c r="R86">
        <f>Foglio1!$U$8*EWMA!$I$8*SQRT($J86)-Foglio1!$P$7*EWMA!$J86</f>
        <v>0.46322519652066635</v>
      </c>
      <c r="U86">
        <f>Foglio1!$U$6*EWMA!$J$4*SQRT($J86)-Foglio1!$P$13*EWMA!$J86</f>
        <v>0.46472289543500966</v>
      </c>
      <c r="V86">
        <f>Foglio1!$U$7*EWMA!$J$4*SQRT($J86)-Foglio1!$P$13*EWMA!$J86</f>
        <v>0.57085416767348063</v>
      </c>
      <c r="W86">
        <f>Foglio1!$U$8*EWMA!$J$4*SQRT($J86)-Foglio1!$P$13*EWMA!$J86</f>
        <v>0.60970670623363454</v>
      </c>
    </row>
    <row r="87" spans="3:23" x14ac:dyDescent="0.2">
      <c r="C87" s="2">
        <f>EWMA!$G$2*C88+(1-EWMA!$G$2)*(Foglio1!E88)^2</f>
        <v>1.1394572262727806E-3</v>
      </c>
      <c r="D87" s="2">
        <f>EWMA!$G$2*D88+(1-EWMA!$G$2)*(Foglio1!I88)^2</f>
        <v>2.4601098981947151E-4</v>
      </c>
      <c r="F87">
        <f>EWMA!$G$2*F88+(1-EWMA!$G$2)*Foglio1!E82*Foglio1!I82</f>
        <v>8.4299385398561264E-5</v>
      </c>
      <c r="J87" s="39">
        <v>80</v>
      </c>
      <c r="K87">
        <f>Foglio1!$U$6*EWMA!$H$8*SQRT($J87)-Foglio1!$O$7*EWMA!$J87</f>
        <v>0.76842738583770598</v>
      </c>
      <c r="L87">
        <f>Foglio1!$U$7*EWMA!$H$8*SQRT($J87)-Foglio1!$O$7*EWMA!$J87</f>
        <v>0.95418657732696832</v>
      </c>
      <c r="M87">
        <f>Foglio1!$U$8*EWMA!$H$8*SQRT($J87)-Foglio1!$O$7*EWMA!$J87</f>
        <v>1.0221893063814442</v>
      </c>
      <c r="N87" s="2"/>
      <c r="P87">
        <f>Foglio1!$U$6*EWMA!$I$8*SQRT($J87)-Foglio1!$P$7*EWMA!$J87</f>
        <v>0.33506372643701732</v>
      </c>
      <c r="Q87">
        <f>Foglio1!$U$7*EWMA!$I$8*SQRT($J87)-Foglio1!$P$7*EWMA!$J87</f>
        <v>0.43148972450565937</v>
      </c>
      <c r="R87">
        <f>Foglio1!$U$8*EWMA!$I$8*SQRT($J87)-Foglio1!$P$7*EWMA!$J87</f>
        <v>0.4667893560765059</v>
      </c>
      <c r="U87">
        <f>Foglio1!$U$6*EWMA!$J$4*SQRT($J87)-Foglio1!$P$13*EWMA!$J87</f>
        <v>0.46897911032897377</v>
      </c>
      <c r="V87">
        <f>Foglio1!$U$7*EWMA!$J$4*SQRT($J87)-Foglio1!$P$13*EWMA!$J87</f>
        <v>0.57577998714212142</v>
      </c>
      <c r="W87">
        <f>Foglio1!$U$8*EWMA!$J$4*SQRT($J87)-Foglio1!$P$13*EWMA!$J87</f>
        <v>0.61487765456023569</v>
      </c>
    </row>
    <row r="88" spans="3:23" x14ac:dyDescent="0.2">
      <c r="C88" s="2">
        <f>EWMA!$G$2*C89+(1-EWMA!$G$2)*(Foglio1!E89)^2</f>
        <v>1.2109745941269094E-3</v>
      </c>
      <c r="D88" s="2">
        <f>EWMA!$G$2*D89+(1-EWMA!$G$2)*(Foglio1!I89)^2</f>
        <v>2.5773257511049085E-4</v>
      </c>
      <c r="F88">
        <f>EWMA!$G$2*F89+(1-EWMA!$G$2)*Foglio1!E83*Foglio1!I83</f>
        <v>9.250517947910074E-5</v>
      </c>
      <c r="J88" s="39">
        <v>81</v>
      </c>
      <c r="K88">
        <f>Foglio1!$U$6*EWMA!$H$8*SQRT($J88)-Foglio1!$O$7*EWMA!$J88</f>
        <v>0.77522184977602615</v>
      </c>
      <c r="L88">
        <f>Foglio1!$U$7*EWMA!$H$8*SQRT($J88)-Foglio1!$O$7*EWMA!$J88</f>
        <v>0.96213843060295201</v>
      </c>
      <c r="M88">
        <f>Foglio1!$U$8*EWMA!$H$8*SQRT($J88)-Foglio1!$O$7*EWMA!$J88</f>
        <v>1.0305648567725407</v>
      </c>
      <c r="N88" s="2"/>
      <c r="P88">
        <f>Foglio1!$U$6*EWMA!$I$8*SQRT($J88)-Foglio1!$P$7*EWMA!$J88</f>
        <v>0.33779292023222041</v>
      </c>
      <c r="Q88">
        <f>Foglio1!$U$7*EWMA!$I$8*SQRT($J88)-Foglio1!$P$7*EWMA!$J88</f>
        <v>0.43481970914810653</v>
      </c>
      <c r="R88">
        <f>Foglio1!$U$8*EWMA!$I$8*SQRT($J88)-Foglio1!$P$7*EWMA!$J88</f>
        <v>0.4703392782460063</v>
      </c>
      <c r="U88">
        <f>Foglio1!$U$6*EWMA!$J$4*SQRT($J88)-Foglio1!$P$13*EWMA!$J88</f>
        <v>0.47322525541649973</v>
      </c>
      <c r="V88">
        <f>Foglio1!$U$7*EWMA!$J$4*SQRT($J88)-Foglio1!$P$13*EWMA!$J88</f>
        <v>0.58069156469135053</v>
      </c>
      <c r="W88">
        <f>Foglio1!$U$8*EWMA!$J$4*SQRT($J88)-Foglio1!$P$13*EWMA!$J88</f>
        <v>0.62003283364021233</v>
      </c>
    </row>
    <row r="89" spans="3:23" x14ac:dyDescent="0.2">
      <c r="C89" s="2">
        <f>EWMA!$G$2*C90+(1-EWMA!$G$2)*(Foglio1!E90)^2</f>
        <v>1.2608983722566056E-3</v>
      </c>
      <c r="D89" s="2">
        <f>EWMA!$G$2*D90+(1-EWMA!$G$2)*(Foglio1!I90)^2</f>
        <v>2.7292395517804701E-4</v>
      </c>
      <c r="F89">
        <f>EWMA!$G$2*F90+(1-EWMA!$G$2)*Foglio1!E84*Foglio1!I84</f>
        <v>9.7878770317652317E-5</v>
      </c>
      <c r="J89" s="39">
        <v>82</v>
      </c>
      <c r="K89">
        <f>Foglio1!$U$6*EWMA!$H$8*SQRT($J89)-Foglio1!$O$7*EWMA!$J89</f>
        <v>0.78199912261902771</v>
      </c>
      <c r="L89">
        <f>Foglio1!$U$7*EWMA!$H$8*SQRT($J89)-Foglio1!$O$7*EWMA!$J89</f>
        <v>0.97006597018476171</v>
      </c>
      <c r="M89">
        <f>Foglio1!$U$8*EWMA!$H$8*SQRT($J89)-Foglio1!$O$7*EWMA!$J89</f>
        <v>1.0389134860283118</v>
      </c>
      <c r="N89" s="2"/>
      <c r="P89">
        <f>Foglio1!$U$6*EWMA!$I$8*SQRT($J89)-Foglio1!$P$7*EWMA!$J89</f>
        <v>0.34051319027775218</v>
      </c>
      <c r="Q89">
        <f>Foglio1!$U$7*EWMA!$I$8*SQRT($J89)-Foglio1!$P$7*EWMA!$J89</f>
        <v>0.43813707276109792</v>
      </c>
      <c r="R89">
        <f>Foglio1!$U$8*EWMA!$I$8*SQRT($J89)-Foglio1!$P$7*EWMA!$J89</f>
        <v>0.47387522588578312</v>
      </c>
      <c r="U89">
        <f>Foglio1!$U$6*EWMA!$J$4*SQRT($J89)-Foglio1!$P$13*EWMA!$J89</f>
        <v>0.47746151661058989</v>
      </c>
      <c r="V89">
        <f>Foglio1!$U$7*EWMA!$J$4*SQRT($J89)-Foglio1!$P$13*EWMA!$J89</f>
        <v>0.58558916326147459</v>
      </c>
      <c r="W89">
        <f>Foglio1!$U$8*EWMA!$J$4*SQRT($J89)-Foglio1!$P$13*EWMA!$J89</f>
        <v>0.62517253461202915</v>
      </c>
    </row>
    <row r="90" spans="3:23" x14ac:dyDescent="0.2">
      <c r="C90" s="2">
        <f>EWMA!$G$2*C91+(1-EWMA!$G$2)*(Foglio1!E91)^2</f>
        <v>1.0686980080821665E-3</v>
      </c>
      <c r="D90" s="2">
        <f>EWMA!$G$2*D91+(1-EWMA!$G$2)*(Foglio1!I91)^2</f>
        <v>2.8485504088105303E-4</v>
      </c>
      <c r="F90">
        <f>EWMA!$G$2*F91+(1-EWMA!$G$2)*Foglio1!E85*Foglio1!I85</f>
        <v>1.0862322390890337E-4</v>
      </c>
      <c r="J90" s="39">
        <v>83</v>
      </c>
      <c r="K90">
        <f>Foglio1!$U$6*EWMA!$H$8*SQRT($J90)-Foglio1!$O$7*EWMA!$J90</f>
        <v>0.78875951789674437</v>
      </c>
      <c r="L90">
        <f>Foglio1!$U$7*EWMA!$H$8*SQRT($J90)-Foglio1!$O$7*EWMA!$J90</f>
        <v>0.97796963950390725</v>
      </c>
      <c r="M90">
        <f>Foglio1!$U$8*EWMA!$H$8*SQRT($J90)-Foglio1!$O$7*EWMA!$J90</f>
        <v>1.0472356851346025</v>
      </c>
      <c r="N90" s="2"/>
      <c r="P90">
        <f>Foglio1!$U$6*EWMA!$I$8*SQRT($J90)-Foglio1!$P$7*EWMA!$J90</f>
        <v>0.34322469932435562</v>
      </c>
      <c r="Q90">
        <f>Foglio1!$U$7*EWMA!$I$8*SQRT($J90)-Foglio1!$P$7*EWMA!$J90</f>
        <v>0.4414420455261151</v>
      </c>
      <c r="R90">
        <f>Foglio1!$U$8*EWMA!$I$8*SQRT($J90)-Foglio1!$P$7*EWMA!$J90</f>
        <v>0.47739745386236426</v>
      </c>
      <c r="U90">
        <f>Foglio1!$U$6*EWMA!$J$4*SQRT($J90)-Foglio1!$P$13*EWMA!$J90</f>
        <v>0.48168807417302417</v>
      </c>
      <c r="V90">
        <f>Foglio1!$U$7*EWMA!$J$4*SQRT($J90)-Foglio1!$P$13*EWMA!$J90</f>
        <v>0.59047303780016935</v>
      </c>
      <c r="W90">
        <f>Foglio1!$U$8*EWMA!$J$4*SQRT($J90)-Foglio1!$P$13*EWMA!$J90</f>
        <v>0.63029703976437579</v>
      </c>
    </row>
    <row r="91" spans="3:23" x14ac:dyDescent="0.2">
      <c r="C91" s="2">
        <f>EWMA!$G$2*C92+(1-EWMA!$G$2)*(Foglio1!E92)^2</f>
        <v>9.1347029802261114E-4</v>
      </c>
      <c r="D91" s="2">
        <f>EWMA!$G$2*D92+(1-EWMA!$G$2)*(Foglio1!I92)^2</f>
        <v>2.965084753472047E-4</v>
      </c>
      <c r="F91">
        <f>EWMA!$G$2*F92+(1-EWMA!$G$2)*Foglio1!E86*Foglio1!I86</f>
        <v>1.088724582984273E-4</v>
      </c>
      <c r="J91" s="39">
        <v>84</v>
      </c>
      <c r="K91">
        <f>Foglio1!$U$6*EWMA!$H$8*SQRT($J91)-Foglio1!$O$7*EWMA!$J91</f>
        <v>0.79550333972329001</v>
      </c>
      <c r="L91">
        <f>Foglio1!$U$7*EWMA!$H$8*SQRT($J91)-Foglio1!$O$7*EWMA!$J91</f>
        <v>0.98584986867478319</v>
      </c>
      <c r="M91">
        <f>Foglio1!$U$8*EWMA!$H$8*SQRT($J91)-Foglio1!$O$7*EWMA!$J91</f>
        <v>1.0555319303319937</v>
      </c>
      <c r="N91" s="2"/>
      <c r="P91">
        <f>Foglio1!$U$6*EWMA!$I$8*SQRT($J91)-Foglio1!$P$7*EWMA!$J91</f>
        <v>0.34592760523505073</v>
      </c>
      <c r="Q91">
        <f>Foglio1!$U$7*EWMA!$I$8*SQRT($J91)-Foglio1!$P$7*EWMA!$J91</f>
        <v>0.44473485071183977</v>
      </c>
      <c r="R91">
        <f>Foglio1!$U$8*EWMA!$I$8*SQRT($J91)-Foglio1!$P$7*EWMA!$J91</f>
        <v>0.48090620938813755</v>
      </c>
      <c r="U91">
        <f>Foglio1!$U$6*EWMA!$J$4*SQRT($J91)-Foglio1!$P$13*EWMA!$J91</f>
        <v>0.48590510295196898</v>
      </c>
      <c r="V91">
        <f>Foglio1!$U$7*EWMA!$J$4*SQRT($J91)-Foglio1!$P$13*EWMA!$J91</f>
        <v>0.59534343559853309</v>
      </c>
      <c r="W91">
        <f>Foglio1!$U$8*EWMA!$J$4*SQRT($J91)-Foglio1!$P$13*EWMA!$J91</f>
        <v>0.63540662290826089</v>
      </c>
    </row>
    <row r="92" spans="3:23" x14ac:dyDescent="0.2">
      <c r="C92" s="2">
        <f>EWMA!$G$2*C93+(1-EWMA!$G$2)*(Foglio1!E93)^2</f>
        <v>9.6514896700422592E-4</v>
      </c>
      <c r="D92" s="2">
        <f>EWMA!$G$2*D93+(1-EWMA!$G$2)*(Foglio1!I93)^2</f>
        <v>3.0724127799485119E-4</v>
      </c>
      <c r="F92">
        <f>EWMA!$G$2*F93+(1-EWMA!$G$2)*Foglio1!E87*Foglio1!I87</f>
        <v>1.3069995876271765E-4</v>
      </c>
      <c r="J92" s="39">
        <v>85</v>
      </c>
      <c r="K92">
        <f>Foglio1!$U$6*EWMA!$H$8*SQRT($J92)-Foglio1!$O$7*EWMA!$J92</f>
        <v>0.80223088318805602</v>
      </c>
      <c r="L92">
        <f>Foglio1!$U$7*EWMA!$H$8*SQRT($J92)-Foglio1!$O$7*EWMA!$J92</f>
        <v>0.99370707504794731</v>
      </c>
      <c r="M92">
        <f>Foglio1!$U$8*EWMA!$H$8*SQRT($J92)-Foglio1!$O$7*EWMA!$J92</f>
        <v>1.0638026837284131</v>
      </c>
      <c r="N92" s="2"/>
      <c r="P92">
        <f>Foglio1!$U$6*EWMA!$I$8*SQRT($J92)-Foglio1!$P$7*EWMA!$J92</f>
        <v>0.34862206118820172</v>
      </c>
      <c r="Q92">
        <f>Foglio1!$U$7*EWMA!$I$8*SQRT($J92)-Foglio1!$P$7*EWMA!$J92</f>
        <v>0.44801570496135568</v>
      </c>
      <c r="R92">
        <f>Foglio1!$U$8*EWMA!$I$8*SQRT($J92)-Foglio1!$P$7*EWMA!$J92</f>
        <v>0.48440173233935269</v>
      </c>
      <c r="U92">
        <f>Foglio1!$U$6*EWMA!$J$4*SQRT($J92)-Foglio1!$P$13*EWMA!$J92</f>
        <v>0.49011277260689312</v>
      </c>
      <c r="V92">
        <f>Foglio1!$U$7*EWMA!$J$4*SQRT($J92)-Foglio1!$P$13*EWMA!$J92</f>
        <v>0.60020059660919012</v>
      </c>
      <c r="W92">
        <f>Foglio1!$U$8*EWMA!$J$4*SQRT($J92)-Foglio1!$P$13*EWMA!$J92</f>
        <v>0.64050154972922879</v>
      </c>
    </row>
    <row r="93" spans="3:23" x14ac:dyDescent="0.2">
      <c r="C93" s="2">
        <f>EWMA!$G$2*C94+(1-EWMA!$G$2)*(Foglio1!E94)^2</f>
        <v>9.7059831001782026E-4</v>
      </c>
      <c r="D93" s="2">
        <f>EWMA!$G$2*D94+(1-EWMA!$G$2)*(Foglio1!I94)^2</f>
        <v>3.1621333528374958E-4</v>
      </c>
      <c r="F93">
        <f>EWMA!$G$2*F94+(1-EWMA!$G$2)*Foglio1!E88*Foglio1!I88</f>
        <v>1.2882789505743014E-4</v>
      </c>
      <c r="J93" s="39">
        <v>86</v>
      </c>
      <c r="K93">
        <f>Foglio1!$U$6*EWMA!$H$8*SQRT($J93)-Foglio1!$O$7*EWMA!$J93</f>
        <v>0.80894243472625749</v>
      </c>
      <c r="L93">
        <f>Foglio1!$U$7*EWMA!$H$8*SQRT($J93)-Foglio1!$O$7*EWMA!$J93</f>
        <v>1.0015416637341905</v>
      </c>
      <c r="M93">
        <f>Foglio1!$U$8*EWMA!$H$8*SQRT($J93)-Foglio1!$O$7*EWMA!$J93</f>
        <v>1.0720483938794092</v>
      </c>
      <c r="N93" s="2"/>
      <c r="P93">
        <f>Foglio1!$U$6*EWMA!$I$8*SQRT($J93)-Foglio1!$P$7*EWMA!$J93</f>
        <v>0.35130821586986416</v>
      </c>
      <c r="Q93">
        <f>Foglio1!$U$7*EWMA!$I$8*SQRT($J93)-Foglio1!$P$7*EWMA!$J93</f>
        <v>0.45128481856418856</v>
      </c>
      <c r="R93">
        <f>Foglio1!$U$8*EWMA!$I$8*SQRT($J93)-Foglio1!$P$7*EWMA!$J93</f>
        <v>0.48788425555733528</v>
      </c>
      <c r="U93">
        <f>Foglio1!$U$6*EWMA!$J$4*SQRT($J93)-Foglio1!$P$13*EWMA!$J93</f>
        <v>0.49431124782161018</v>
      </c>
      <c r="V93">
        <f>Foglio1!$U$7*EWMA!$J$4*SQRT($J93)-Foglio1!$P$13*EWMA!$J93</f>
        <v>0.60504475374760092</v>
      </c>
      <c r="W93">
        <f>Foglio1!$U$8*EWMA!$J$4*SQRT($J93)-Foglio1!$P$13*EWMA!$J93</f>
        <v>0.64558207812098278</v>
      </c>
    </row>
    <row r="94" spans="3:23" x14ac:dyDescent="0.2">
      <c r="C94" s="2">
        <f>EWMA!$G$2*C95+(1-EWMA!$G$2)*(Foglio1!E95)^2</f>
        <v>1.0070901133905762E-3</v>
      </c>
      <c r="D94" s="2">
        <f>EWMA!$G$2*D95+(1-EWMA!$G$2)*(Foglio1!I95)^2</f>
        <v>3.3574438400150916E-4</v>
      </c>
      <c r="F94">
        <f>EWMA!$G$2*F95+(1-EWMA!$G$2)*Foglio1!E89*Foglio1!I89</f>
        <v>1.3485254164569539E-4</v>
      </c>
      <c r="J94" s="39">
        <v>87</v>
      </c>
      <c r="K94">
        <f>Foglio1!$U$6*EWMA!$H$8*SQRT($J94)-Foglio1!$O$7*EWMA!$J94</f>
        <v>0.8156382724701432</v>
      </c>
      <c r="L94">
        <f>Foglio1!$U$7*EWMA!$H$8*SQRT($J94)-Foglio1!$O$7*EWMA!$J94</f>
        <v>1.0093540281012601</v>
      </c>
      <c r="M94">
        <f>Foglio1!$U$8*EWMA!$H$8*SQRT($J94)-Foglio1!$O$7*EWMA!$J94</f>
        <v>1.0802694963381434</v>
      </c>
      <c r="N94" s="2"/>
      <c r="P94">
        <f>Foglio1!$U$6*EWMA!$I$8*SQRT($J94)-Foglio1!$P$7*EWMA!$J94</f>
        <v>0.35398621365609562</v>
      </c>
      <c r="Q94">
        <f>Foglio1!$U$7*EWMA!$I$8*SQRT($J94)-Foglio1!$P$7*EWMA!$J94</f>
        <v>0.45454239571415189</v>
      </c>
      <c r="R94">
        <f>Foglio1!$U$8*EWMA!$I$8*SQRT($J94)-Foglio1!$P$7*EWMA!$J94</f>
        <v>0.49135400513398431</v>
      </c>
      <c r="U94">
        <f>Foglio1!$U$6*EWMA!$J$4*SQRT($J94)-Foglio1!$P$13*EWMA!$J94</f>
        <v>0.49850068850620521</v>
      </c>
      <c r="V94">
        <f>Foglio1!$U$7*EWMA!$J$4*SQRT($J94)-Foglio1!$P$13*EWMA!$J94</f>
        <v>0.60987613317765044</v>
      </c>
      <c r="W94">
        <f>Foglio1!$U$8*EWMA!$J$4*SQRT($J94)-Foglio1!$P$13*EWMA!$J94</f>
        <v>0.65064845850160014</v>
      </c>
    </row>
    <row r="95" spans="3:23" x14ac:dyDescent="0.2">
      <c r="C95" s="2">
        <f>EWMA!$G$2*C96+(1-EWMA!$G$2)*(Foglio1!E96)^2</f>
        <v>8.8385977464861454E-4</v>
      </c>
      <c r="D95" s="2">
        <f>EWMA!$G$2*D96+(1-EWMA!$G$2)*(Foglio1!I96)^2</f>
        <v>3.5098216425900631E-4</v>
      </c>
      <c r="F95">
        <f>EWMA!$G$2*F96+(1-EWMA!$G$2)*Foglio1!E90*Foglio1!I90</f>
        <v>1.3758824005544542E-4</v>
      </c>
      <c r="J95" s="39">
        <v>88</v>
      </c>
      <c r="K95">
        <f>Foglio1!$U$6*EWMA!$H$8*SQRT($J95)-Foglio1!$O$7*EWMA!$J95</f>
        <v>0.82231866658209252</v>
      </c>
      <c r="L95">
        <f>Foglio1!$U$7*EWMA!$H$8*SQRT($J95)-Foglio1!$O$7*EWMA!$J95</f>
        <v>1.0171445502449643</v>
      </c>
      <c r="M95">
        <f>Foglio1!$U$8*EWMA!$H$8*SQRT($J95)-Foglio1!$O$7*EWMA!$J95</f>
        <v>1.0884664141770162</v>
      </c>
      <c r="N95" s="2"/>
      <c r="P95">
        <f>Foglio1!$U$6*EWMA!$I$8*SQRT($J95)-Foglio1!$P$7*EWMA!$J95</f>
        <v>0.35665619478586263</v>
      </c>
      <c r="Q95">
        <f>Foglio1!$U$7*EWMA!$I$8*SQRT($J95)-Foglio1!$P$7*EWMA!$J95</f>
        <v>0.45778863475389242</v>
      </c>
      <c r="R95">
        <f>Foglio1!$U$8*EWMA!$I$8*SQRT($J95)-Foglio1!$P$7*EWMA!$J95</f>
        <v>0.4948112006825427</v>
      </c>
      <c r="U95">
        <f>Foglio1!$U$6*EWMA!$J$4*SQRT($J95)-Foglio1!$P$13*EWMA!$J95</f>
        <v>0.50268124998854502</v>
      </c>
      <c r="V95">
        <f>Foglio1!$U$7*EWMA!$J$4*SQRT($J95)-Foglio1!$P$13*EWMA!$J95</f>
        <v>0.61469495458250467</v>
      </c>
      <c r="W95">
        <f>Foglio1!$U$8*EWMA!$J$4*SQRT($J95)-Foglio1!$P$13*EWMA!$J95</f>
        <v>0.65570093411343677</v>
      </c>
    </row>
    <row r="96" spans="3:23" x14ac:dyDescent="0.2">
      <c r="C96" s="2">
        <f>EWMA!$G$2*C97+(1-EWMA!$G$2)*(Foglio1!E97)^2</f>
        <v>9.1417813120610162E-4</v>
      </c>
      <c r="D96" s="2">
        <f>EWMA!$G$2*D97+(1-EWMA!$G$2)*(Foglio1!I97)^2</f>
        <v>3.7243405417807299E-4</v>
      </c>
      <c r="F96">
        <f>EWMA!$G$2*F97+(1-EWMA!$G$2)*Foglio1!E91*Foglio1!I91</f>
        <v>1.850605160327571E-4</v>
      </c>
      <c r="J96" s="39">
        <v>89</v>
      </c>
      <c r="K96">
        <f>Foglio1!$U$6*EWMA!$H$8*SQRT($J96)-Foglio1!$O$7*EWMA!$J96</f>
        <v>0.82898387957072295</v>
      </c>
      <c r="L96">
        <f>Foglio1!$U$7*EWMA!$H$8*SQRT($J96)-Foglio1!$O$7*EWMA!$J96</f>
        <v>1.024913601436251</v>
      </c>
      <c r="M96">
        <f>Foglio1!$U$8*EWMA!$H$8*SQRT($J96)-Foglio1!$O$7*EWMA!$J96</f>
        <v>1.0966395584826913</v>
      </c>
      <c r="N96" s="2"/>
      <c r="P96">
        <f>Foglio1!$U$6*EWMA!$I$8*SQRT($J96)-Foglio1!$P$7*EWMA!$J96</f>
        <v>0.35931829552513012</v>
      </c>
      <c r="Q96">
        <f>Foglio1!$U$7*EWMA!$I$8*SQRT($J96)-Foglio1!$P$7*EWMA!$J96</f>
        <v>0.46102372840696443</v>
      </c>
      <c r="R96">
        <f>Foglio1!$U$8*EWMA!$I$8*SQRT($J96)-Foglio1!$P$7*EWMA!$J96</f>
        <v>0.49825605559456076</v>
      </c>
      <c r="U96">
        <f>Foglio1!$U$6*EWMA!$J$4*SQRT($J96)-Foglio1!$P$13*EWMA!$J96</f>
        <v>0.50685308319602296</v>
      </c>
      <c r="V96">
        <f>Foglio1!$U$7*EWMA!$J$4*SQRT($J96)-Foglio1!$P$13*EWMA!$J96</f>
        <v>0.61950143142165637</v>
      </c>
      <c r="W96">
        <f>Foglio1!$U$8*EWMA!$J$4*SQRT($J96)-Foglio1!$P$13*EWMA!$J96</f>
        <v>0.66073974130773716</v>
      </c>
    </row>
    <row r="97" spans="3:29" x14ac:dyDescent="0.2">
      <c r="C97" s="2">
        <f>EWMA!$G$2*C98+(1-EWMA!$G$2)*(Foglio1!E98)^2</f>
        <v>8.948264941425339E-4</v>
      </c>
      <c r="D97" s="2">
        <f>EWMA!$G$2*D98+(1-EWMA!$G$2)*(Foglio1!I98)^2</f>
        <v>3.9592851152328909E-4</v>
      </c>
      <c r="F97">
        <f>EWMA!$G$2*F98+(1-EWMA!$G$2)*Foglio1!E92*Foglio1!I92</f>
        <v>1.5867849544671421E-4</v>
      </c>
      <c r="J97" s="39">
        <v>90</v>
      </c>
      <c r="K97">
        <f>Foglio1!$U$6*EWMA!$H$8*SQRT($J97)-Foglio1!$O$7*EWMA!$J97</f>
        <v>0.83563416659106027</v>
      </c>
      <c r="L97">
        <f>Foglio1!$U$7*EWMA!$H$8*SQRT($J97)-Foglio1!$O$7*EWMA!$J97</f>
        <v>1.0326615425457419</v>
      </c>
      <c r="M97">
        <f>Foglio1!$U$8*EWMA!$H$8*SQRT($J97)-Foglio1!$O$7*EWMA!$J97</f>
        <v>1.104789328826159</v>
      </c>
      <c r="N97" s="2"/>
      <c r="P97">
        <f>Foglio1!$U$6*EWMA!$I$8*SQRT($J97)-Foglio1!$P$7*EWMA!$J97</f>
        <v>0.3619726483226765</v>
      </c>
      <c r="Q97">
        <f>Foglio1!$U$7*EWMA!$I$8*SQRT($J97)-Foglio1!$P$7*EWMA!$J97</f>
        <v>0.46424786399820306</v>
      </c>
      <c r="R97">
        <f>Foglio1!$U$8*EWMA!$I$8*SQRT($J97)-Foglio1!$P$7*EWMA!$J97</f>
        <v>0.5016887772839016</v>
      </c>
      <c r="U97">
        <f>Foglio1!$U$6*EWMA!$J$4*SQRT($J97)-Foglio1!$P$13*EWMA!$J97</f>
        <v>0.51101633482813846</v>
      </c>
      <c r="V97">
        <f>Foglio1!$U$7*EWMA!$J$4*SQRT($J97)-Foglio1!$P$13*EWMA!$J97</f>
        <v>0.62429577117500723</v>
      </c>
      <c r="W97">
        <f>Foglio1!$U$8*EWMA!$J$4*SQRT($J97)-Foglio1!$P$13*EWMA!$J97</f>
        <v>0.66576510981489445</v>
      </c>
    </row>
    <row r="98" spans="3:29" x14ac:dyDescent="0.2">
      <c r="C98" s="2">
        <f>EWMA!$G$2*C99+(1-EWMA!$G$2)*(Foglio1!E99)^2</f>
        <v>8.6620449516383645E-4</v>
      </c>
      <c r="D98" s="2">
        <f>EWMA!$G$2*D99+(1-EWMA!$G$2)*(Foglio1!I99)^2</f>
        <v>4.1927852191579848E-4</v>
      </c>
      <c r="F98">
        <f>EWMA!$G$2*F99+(1-EWMA!$G$2)*Foglio1!E93*Foglio1!I93</f>
        <v>1.6143774788534825E-4</v>
      </c>
      <c r="J98" s="39">
        <v>91</v>
      </c>
      <c r="K98">
        <f>Foglio1!$U$6*EWMA!$H$8*SQRT($J98)-Foglio1!$O$7*EWMA!$J98</f>
        <v>0.84226977572973838</v>
      </c>
      <c r="L98">
        <f>Foglio1!$U$7*EWMA!$H$8*SQRT($J98)-Foglio1!$O$7*EWMA!$J98</f>
        <v>1.040388724447098</v>
      </c>
      <c r="M98">
        <f>Foglio1!$U$8*EWMA!$H$8*SQRT($J98)-Foglio1!$O$7*EWMA!$J98</f>
        <v>1.1129161137093568</v>
      </c>
      <c r="N98" s="2"/>
      <c r="P98">
        <f>Foglio1!$U$6*EWMA!$I$8*SQRT($J98)-Foglio1!$P$7*EWMA!$J98</f>
        <v>0.36461938195813898</v>
      </c>
      <c r="Q98">
        <f>Foglio1!$U$7*EWMA!$I$8*SQRT($J98)-Foglio1!$P$7*EWMA!$J98</f>
        <v>0.46746122366310672</v>
      </c>
      <c r="R98">
        <f>Foglio1!$U$8*EWMA!$I$8*SQRT($J98)-Foglio1!$P$7*EWMA!$J98</f>
        <v>0.50510956741857838</v>
      </c>
      <c r="U98">
        <f>Foglio1!$U$6*EWMA!$J$4*SQRT($J98)-Foglio1!$P$13*EWMA!$J98</f>
        <v>0.51517114752047177</v>
      </c>
      <c r="V98">
        <f>Foglio1!$U$7*EWMA!$J$4*SQRT($J98)-Foglio1!$P$13*EWMA!$J98</f>
        <v>0.6290781755747803</v>
      </c>
      <c r="W98">
        <f>Foglio1!$U$8*EWMA!$J$4*SQRT($J98)-Foglio1!$P$13*EWMA!$J98</f>
        <v>0.67077726300123197</v>
      </c>
    </row>
    <row r="99" spans="3:29" x14ac:dyDescent="0.2">
      <c r="C99" s="2">
        <f>EWMA!$G$2*C100+(1-EWMA!$G$2)*(Foglio1!E100)^2</f>
        <v>9.1411978940984925E-4</v>
      </c>
      <c r="D99" s="2">
        <f>EWMA!$G$2*D100+(1-EWMA!$G$2)*(Foglio1!I100)^2</f>
        <v>4.2886452796886588E-4</v>
      </c>
      <c r="F99">
        <f>EWMA!$G$2*F100+(1-EWMA!$G$2)*Foglio1!E94*Foglio1!I94</f>
        <v>1.4729954215977339E-4</v>
      </c>
      <c r="J99" s="39">
        <v>92</v>
      </c>
      <c r="K99">
        <f>Foglio1!$U$6*EWMA!$H$8*SQRT($J99)-Foglio1!$O$7*EWMA!$J99</f>
        <v>0.84889094827613498</v>
      </c>
      <c r="L99">
        <f>Foglio1!$U$7*EWMA!$H$8*SQRT($J99)-Foglio1!$O$7*EWMA!$J99</f>
        <v>1.0480954884004907</v>
      </c>
      <c r="M99">
        <f>Foglio1!$U$8*EWMA!$H$8*SQRT($J99)-Foglio1!$O$7*EWMA!$J99</f>
        <v>1.1210202909897671</v>
      </c>
      <c r="N99" s="2"/>
      <c r="P99">
        <f>Foglio1!$U$6*EWMA!$I$8*SQRT($J99)-Foglio1!$P$7*EWMA!$J99</f>
        <v>0.36725862168275764</v>
      </c>
      <c r="Q99">
        <f>Foglio1!$U$7*EWMA!$I$8*SQRT($J99)-Foglio1!$P$7*EWMA!$J99</f>
        <v>0.47066398454689451</v>
      </c>
      <c r="R99">
        <f>Foglio1!$U$8*EWMA!$I$8*SQRT($J99)-Foglio1!$P$7*EWMA!$J99</f>
        <v>0.50851862214115939</v>
      </c>
      <c r="U99">
        <f>Foglio1!$U$6*EWMA!$J$4*SQRT($J99)-Foglio1!$P$13*EWMA!$J99</f>
        <v>0.51931766000057078</v>
      </c>
      <c r="V99">
        <f>Foglio1!$U$7*EWMA!$J$4*SQRT($J99)-Foglio1!$P$13*EWMA!$J99</f>
        <v>0.63384884082599369</v>
      </c>
      <c r="W99">
        <f>Foglio1!$U$8*EWMA!$J$4*SQRT($J99)-Foglio1!$P$13*EWMA!$J99</f>
        <v>0.67577641811312161</v>
      </c>
    </row>
    <row r="100" spans="3:29" x14ac:dyDescent="0.2">
      <c r="C100" s="2">
        <f>EWMA!$G$2*C101+(1-EWMA!$G$2)*(Foglio1!E101)^2</f>
        <v>9.3026642725513331E-4</v>
      </c>
      <c r="D100" s="2">
        <f>EWMA!$G$2*D101+(1-EWMA!$G$2)*(Foglio1!I101)^2</f>
        <v>4.557452171494703E-4</v>
      </c>
      <c r="F100">
        <f>EWMA!$G$2*F101+(1-EWMA!$G$2)*Foglio1!E95*Foglio1!I95</f>
        <v>1.6077848311374943E-4</v>
      </c>
      <c r="J100" s="39">
        <v>93</v>
      </c>
      <c r="K100">
        <f>Foglio1!$U$6*EWMA!$H$8*SQRT($J100)-Foglio1!$O$7*EWMA!$J100</f>
        <v>0.85549791898027994</v>
      </c>
      <c r="L100">
        <f>Foglio1!$U$7*EWMA!$H$8*SQRT($J100)-Foglio1!$O$7*EWMA!$J100</f>
        <v>1.055782166417367</v>
      </c>
      <c r="M100">
        <f>Foglio1!$U$8*EWMA!$H$8*SQRT($J100)-Foglio1!$O$7*EWMA!$J100</f>
        <v>1.1291022282842984</v>
      </c>
      <c r="N100" s="2"/>
      <c r="P100">
        <f>Foglio1!$U$6*EWMA!$I$8*SQRT($J100)-Foglio1!$P$7*EWMA!$J100</f>
        <v>0.36989048935325314</v>
      </c>
      <c r="Q100">
        <f>Foglio1!$U$7*EWMA!$I$8*SQRT($J100)-Foglio1!$P$7*EWMA!$J100</f>
        <v>0.47385631899385183</v>
      </c>
      <c r="R100">
        <f>Foglio1!$U$8*EWMA!$I$8*SQRT($J100)-Foglio1!$P$7*EWMA!$J100</f>
        <v>0.51191613227841881</v>
      </c>
      <c r="U100">
        <f>Foglio1!$U$6*EWMA!$J$4*SQRT($J100)-Foglio1!$P$13*EWMA!$J100</f>
        <v>0.52345600723623331</v>
      </c>
      <c r="V100">
        <f>Foglio1!$U$7*EWMA!$J$4*SQRT($J100)-Foglio1!$P$13*EWMA!$J100</f>
        <v>0.63860795781617974</v>
      </c>
      <c r="W100">
        <f>Foglio1!$U$8*EWMA!$J$4*SQRT($J100)-Foglio1!$P$13*EWMA!$J100</f>
        <v>0.68076278650919309</v>
      </c>
    </row>
    <row r="101" spans="3:29" x14ac:dyDescent="0.2">
      <c r="C101" s="2">
        <f>EWMA!$G$2*C102+(1-EWMA!$G$2)*(Foglio1!E102)^2</f>
        <v>8.9724964130727652E-4</v>
      </c>
      <c r="D101" s="2">
        <f>EWMA!$G$2*D102+(1-EWMA!$G$2)*(Foglio1!I102)^2</f>
        <v>4.5839532469843747E-4</v>
      </c>
      <c r="F101">
        <f>EWMA!$G$2*F102+(1-EWMA!$G$2)*Foglio1!E96*Foglio1!I96</f>
        <v>1.3696437676436536E-4</v>
      </c>
      <c r="J101" s="39">
        <v>94</v>
      </c>
      <c r="K101">
        <f>Foglio1!$U$6*EWMA!$H$8*SQRT($J101)-Foglio1!$O$7*EWMA!$J101</f>
        <v>0.86209091629831514</v>
      </c>
      <c r="L101">
        <f>Foglio1!$U$7*EWMA!$H$8*SQRT($J101)-Foglio1!$O$7*EWMA!$J101</f>
        <v>1.0634490816076085</v>
      </c>
      <c r="M101">
        <f>Foglio1!$U$8*EWMA!$H$8*SQRT($J101)-Foglio1!$O$7*EWMA!$J101</f>
        <v>1.1371622833536752</v>
      </c>
      <c r="N101" s="2"/>
      <c r="P101">
        <f>Foglio1!$U$6*EWMA!$I$8*SQRT($J101)-Foglio1!$P$7*EWMA!$J101</f>
        <v>0.37251510355924317</v>
      </c>
      <c r="Q101">
        <f>Foglio1!$U$7*EWMA!$I$8*SQRT($J101)-Foglio1!$P$7*EWMA!$J101</f>
        <v>0.47703839472753812</v>
      </c>
      <c r="R101">
        <f>Foglio1!$U$8*EWMA!$I$8*SQRT($J101)-Foglio1!$P$7*EWMA!$J101</f>
        <v>0.5153022835408706</v>
      </c>
      <c r="U101">
        <f>Foglio1!$U$6*EWMA!$J$4*SQRT($J101)-Foglio1!$P$13*EWMA!$J101</f>
        <v>0.52758632057663268</v>
      </c>
      <c r="V101">
        <f>Foglio1!$U$7*EWMA!$J$4*SQRT($J101)-Foglio1!$P$13*EWMA!$J101</f>
        <v>0.64335571231498101</v>
      </c>
      <c r="W101">
        <f>Foglio1!$U$8*EWMA!$J$4*SQRT($J101)-Foglio1!$P$13*EWMA!$J101</f>
        <v>0.68573657388133569</v>
      </c>
    </row>
    <row r="102" spans="3:29" x14ac:dyDescent="0.2">
      <c r="C102" s="2">
        <f>EWMA!$G$2*C103+(1-EWMA!$G$2)*(Foglio1!E103)^2</f>
        <v>8.7753888771656592E-4</v>
      </c>
      <c r="D102" s="2">
        <f>EWMA!$G$2*D103+(1-EWMA!$G$2)*(Foglio1!I103)^2</f>
        <v>4.610699330070575E-4</v>
      </c>
      <c r="F102">
        <f>EWMA!$G$2*F103+(1-EWMA!$G$2)*Foglio1!E97*Foglio1!I97</f>
        <v>1.4072428093272644E-4</v>
      </c>
      <c r="J102" s="39">
        <v>95</v>
      </c>
      <c r="K102">
        <f>Foglio1!$U$6*EWMA!$H$8*SQRT($J102)-Foglio1!$O$7*EWMA!$J102</f>
        <v>0.86867016262623531</v>
      </c>
      <c r="L102">
        <f>Foglio1!$U$7*EWMA!$H$8*SQRT($J102)-Foglio1!$O$7*EWMA!$J102</f>
        <v>1.071096548510114</v>
      </c>
      <c r="M102">
        <f>Foglio1!$U$8*EWMA!$H$8*SQRT($J102)-Foglio1!$O$7*EWMA!$J102</f>
        <v>1.1452008044684736</v>
      </c>
      <c r="N102" s="2"/>
      <c r="P102">
        <f>Foglio1!$U$6*EWMA!$I$8*SQRT($J102)-Foglio1!$P$7*EWMA!$J102</f>
        <v>0.37513257974457515</v>
      </c>
      <c r="Q102">
        <f>Foglio1!$U$7*EWMA!$I$8*SQRT($J102)-Foglio1!$P$7*EWMA!$J102</f>
        <v>0.48021037502238983</v>
      </c>
      <c r="R102">
        <f>Foglio1!$U$8*EWMA!$I$8*SQRT($J102)-Foglio1!$P$7*EWMA!$J102</f>
        <v>0.51867725671277431</v>
      </c>
      <c r="U102">
        <f>Foglio1!$U$6*EWMA!$J$4*SQRT($J102)-Foglio1!$P$13*EWMA!$J102</f>
        <v>0.53170872788670565</v>
      </c>
      <c r="V102">
        <f>Foglio1!$U$7*EWMA!$J$4*SQRT($J102)-Foglio1!$P$13*EWMA!$J102</f>
        <v>0.64809228516421746</v>
      </c>
      <c r="W102">
        <f>Foglio1!$U$8*EWMA!$J$4*SQRT($J102)-Foglio1!$P$13*EWMA!$J102</f>
        <v>0.69069798046514796</v>
      </c>
      <c r="Z102" s="113" t="s">
        <v>119</v>
      </c>
      <c r="AA102" s="114" t="s">
        <v>111</v>
      </c>
      <c r="AB102" s="115" t="s">
        <v>112</v>
      </c>
      <c r="AC102" s="116" t="s">
        <v>12</v>
      </c>
    </row>
    <row r="103" spans="3:29" x14ac:dyDescent="0.2">
      <c r="C103" s="2">
        <f>EWMA!$G$2*C104+(1-EWMA!$G$2)*(Foglio1!E104)^2</f>
        <v>9.2272349425345768E-4</v>
      </c>
      <c r="D103" s="2">
        <f>EWMA!$G$2*D104+(1-EWMA!$G$2)*(Foglio1!I104)^2</f>
        <v>4.9049363254883649E-4</v>
      </c>
      <c r="F103">
        <f>EWMA!$G$2*F104+(1-EWMA!$G$2)*Foglio1!E98*Foglio1!I98</f>
        <v>1.4505952739536014E-4</v>
      </c>
      <c r="J103" s="39">
        <v>96</v>
      </c>
      <c r="K103">
        <f>Foglio1!$U$6*EWMA!$H$8*SQRT($J103)-Foglio1!$O$7*EWMA!$J103</f>
        <v>0.875235874522585</v>
      </c>
      <c r="L103">
        <f>Foglio1!$U$7*EWMA!$H$8*SQRT($J103)-Foglio1!$O$7*EWMA!$J103</f>
        <v>1.0787248734077663</v>
      </c>
      <c r="M103">
        <f>Foglio1!$U$8*EWMA!$H$8*SQRT($J103)-Foglio1!$O$7*EWMA!$J103</f>
        <v>1.1532181307578631</v>
      </c>
      <c r="N103" s="2"/>
      <c r="P103">
        <f>Foglio1!$U$6*EWMA!$I$8*SQRT($J103)-Foglio1!$P$7*EWMA!$J103</f>
        <v>0.37774303032292639</v>
      </c>
      <c r="Q103">
        <f>Foglio1!$U$7*EWMA!$I$8*SQRT($J103)-Foglio1!$P$7*EWMA!$J103</f>
        <v>0.48337241886721605</v>
      </c>
      <c r="R103">
        <f>Foglio1!$U$8*EWMA!$I$8*SQRT($J103)-Foglio1!$P$7*EWMA!$J103</f>
        <v>0.52204122783316431</v>
      </c>
      <c r="U103">
        <f>Foglio1!$U$6*EWMA!$J$4*SQRT($J103)-Foglio1!$P$13*EWMA!$J103</f>
        <v>0.53582335367518985</v>
      </c>
      <c r="V103">
        <f>Foglio1!$U$7*EWMA!$J$4*SQRT($J103)-Foglio1!$P$13*EWMA!$J103</f>
        <v>0.65281785245897272</v>
      </c>
      <c r="W103">
        <f>Foglio1!$U$8*EWMA!$J$4*SQRT($J103)-Foglio1!$P$13*EWMA!$J103</f>
        <v>0.69564720124044455</v>
      </c>
      <c r="Z103" s="117">
        <v>0.95</v>
      </c>
      <c r="AA103" s="112">
        <f>K107</f>
        <v>0.90136751626960909</v>
      </c>
      <c r="AB103" s="112">
        <f>P107</f>
        <v>0.38811672481449855</v>
      </c>
      <c r="AC103" s="112">
        <f>U107</f>
        <v>0.55220642100024997</v>
      </c>
    </row>
    <row r="104" spans="3:29" x14ac:dyDescent="0.2">
      <c r="C104" s="2">
        <f>EWMA!$G$2*C105+(1-EWMA!$G$2)*(Foglio1!E105)^2</f>
        <v>9.2197075118343255E-4</v>
      </c>
      <c r="D104" s="2">
        <f>EWMA!$G$2*D105+(1-EWMA!$G$2)*(Foglio1!I105)^2</f>
        <v>5.0531961726924782E-4</v>
      </c>
      <c r="F104">
        <f>EWMA!$G$2*F105+(1-EWMA!$G$2)*Foglio1!E99*Foglio1!I99</f>
        <v>1.6715575901259924E-4</v>
      </c>
      <c r="J104" s="39">
        <v>97</v>
      </c>
      <c r="K104">
        <f>Foglio1!$U$6*EWMA!$H$8*SQRT($J104)-Foglio1!$O$7*EWMA!$J104</f>
        <v>0.88178826292074231</v>
      </c>
      <c r="L104">
        <f>Foglio1!$U$7*EWMA!$H$8*SQRT($J104)-Foglio1!$O$7*EWMA!$J104</f>
        <v>1.0863343546276667</v>
      </c>
      <c r="M104">
        <f>Foglio1!$U$8*EWMA!$H$8*SQRT($J104)-Foglio1!$O$7*EWMA!$J104</f>
        <v>1.1612145925420423</v>
      </c>
      <c r="N104" s="2"/>
      <c r="P104">
        <f>Foglio1!$U$6*EWMA!$I$8*SQRT($J104)-Foglio1!$P$7*EWMA!$J104</f>
        <v>0.3803465647879985</v>
      </c>
      <c r="Q104">
        <f>Foglio1!$U$7*EWMA!$I$8*SQRT($J104)-Foglio1!$P$7*EWMA!$J104</f>
        <v>0.48652468112104841</v>
      </c>
      <c r="R104">
        <f>Foglio1!$U$8*EWMA!$I$8*SQRT($J104)-Foglio1!$P$7*EWMA!$J104</f>
        <v>0.52539436836841347</v>
      </c>
      <c r="U104">
        <f>Foglio1!$U$6*EWMA!$J$4*SQRT($J104)-Foglio1!$P$13*EWMA!$J104</f>
        <v>0.53993031921667489</v>
      </c>
      <c r="V104">
        <f>Foglio1!$U$7*EWMA!$J$4*SQRT($J104)-Foglio1!$P$13*EWMA!$J104</f>
        <v>0.65753258572021345</v>
      </c>
      <c r="W104">
        <f>Foglio1!$U$8*EWMA!$J$4*SQRT($J104)-Foglio1!$P$13*EWMA!$J104</f>
        <v>0.70058442612238636</v>
      </c>
      <c r="Z104" s="117">
        <v>0.99</v>
      </c>
      <c r="AA104" s="112">
        <f>L107</f>
        <v>1.1090526060773045</v>
      </c>
      <c r="AB104" s="112">
        <f>Q107</f>
        <v>0.49592426805437206</v>
      </c>
      <c r="AC104" s="112">
        <f>V107</f>
        <v>0.67161343130563966</v>
      </c>
    </row>
    <row r="105" spans="3:29" x14ac:dyDescent="0.2">
      <c r="C105" s="2">
        <f>EWMA!$G$2*C106+(1-EWMA!$G$2)*(Foglio1!E106)^2</f>
        <v>9.4922407318091589E-4</v>
      </c>
      <c r="D105" s="2">
        <f>EWMA!$G$2*D106+(1-EWMA!$G$2)*(Foglio1!I106)^2</f>
        <v>5.0498849406764828E-4</v>
      </c>
      <c r="F105">
        <f>EWMA!$G$2*F106+(1-EWMA!$G$2)*Foglio1!E100*Foglio1!I100</f>
        <v>1.6657070980916855E-4</v>
      </c>
      <c r="J105" s="39">
        <v>98</v>
      </c>
      <c r="K105">
        <f>Foglio1!$U$6*EWMA!$H$8*SQRT($J105)-Foglio1!$O$7*EWMA!$J105</f>
        <v>0.88832753333137904</v>
      </c>
      <c r="L105">
        <f>Foglio1!$U$7*EWMA!$H$8*SQRT($J105)-Foglio1!$O$7*EWMA!$J105</f>
        <v>1.093925282827481</v>
      </c>
      <c r="M105">
        <f>Foglio1!$U$8*EWMA!$H$8*SQRT($J105)-Foglio1!$O$7*EWMA!$J105</f>
        <v>1.1691905116492893</v>
      </c>
      <c r="N105" s="2"/>
      <c r="P105">
        <f>Foglio1!$U$6*EWMA!$I$8*SQRT($J105)-Foglio1!$P$7*EWMA!$J105</f>
        <v>0.38294328981861314</v>
      </c>
      <c r="Q105">
        <f>Foglio1!$U$7*EWMA!$I$8*SQRT($J105)-Foglio1!$P$7*EWMA!$J105</f>
        <v>0.48966731266178021</v>
      </c>
      <c r="R105">
        <f>Foglio1!$U$8*EWMA!$I$8*SQRT($J105)-Foglio1!$P$7*EWMA!$J105</f>
        <v>0.52873684537681209</v>
      </c>
      <c r="U105">
        <f>Foglio1!$U$6*EWMA!$J$4*SQRT($J105)-Foglio1!$P$13*EWMA!$J105</f>
        <v>0.54402974266800541</v>
      </c>
      <c r="V105">
        <f>Foglio1!$U$7*EWMA!$J$4*SQRT($J105)-Foglio1!$P$13*EWMA!$J105</f>
        <v>0.66223665205941973</v>
      </c>
      <c r="W105">
        <f>Foglio1!$U$8*EWMA!$J$4*SQRT($J105)-Foglio1!$P$13*EWMA!$J105</f>
        <v>0.70550984014376805</v>
      </c>
      <c r="Z105" s="118">
        <v>0.995</v>
      </c>
      <c r="AA105" s="112">
        <f>M107</f>
        <v>1.1850819684879585</v>
      </c>
      <c r="AB105" s="112">
        <f>R107</f>
        <v>0.53539045594092738</v>
      </c>
      <c r="AC105" s="112">
        <f>W107</f>
        <v>0.71532595235993057</v>
      </c>
    </row>
    <row r="106" spans="3:29" x14ac:dyDescent="0.2">
      <c r="C106" s="2">
        <f>EWMA!$G$2*C107+(1-EWMA!$G$2)*(Foglio1!E107)^2</f>
        <v>9.5872109850806742E-4</v>
      </c>
      <c r="D106" s="2">
        <f>EWMA!$G$2*D107+(1-EWMA!$G$2)*(Foglio1!I107)^2</f>
        <v>4.9960606960347802E-4</v>
      </c>
      <c r="F106">
        <f>EWMA!$G$2*F107+(1-EWMA!$G$2)*Foglio1!E101*Foglio1!I101</f>
        <v>1.7263862853968197E-4</v>
      </c>
      <c r="J106" s="39">
        <v>99</v>
      </c>
      <c r="K106">
        <f>Foglio1!$U$6*EWMA!$H$8*SQRT($J106)-Foglio1!$O$7*EWMA!$J106</f>
        <v>0.89485388603564786</v>
      </c>
      <c r="L106">
        <f>Foglio1!$U$7*EWMA!$H$8*SQRT($J106)-Foglio1!$O$7*EWMA!$J106</f>
        <v>1.101497941268665</v>
      </c>
      <c r="M106">
        <f>Foglio1!$U$8*EWMA!$H$8*SQRT($J106)-Foglio1!$O$7*EWMA!$J106</f>
        <v>1.1771462017184919</v>
      </c>
      <c r="N106" s="2"/>
      <c r="P106">
        <f>Foglio1!$U$6*EWMA!$I$8*SQRT($J106)-Foglio1!$P$7*EWMA!$J106</f>
        <v>0.38553330937899344</v>
      </c>
      <c r="Q106">
        <f>Foglio1!$U$7*EWMA!$I$8*SQRT($J106)-Foglio1!$P$7*EWMA!$J106</f>
        <v>0.4928004605279962</v>
      </c>
      <c r="R106">
        <f>Foglio1!$U$8*EWMA!$I$8*SQRT($J106)-Foglio1!$P$7*EWMA!$J106</f>
        <v>0.5320688216656082</v>
      </c>
      <c r="U106">
        <f>Foglio1!$U$6*EWMA!$J$4*SQRT($J106)-Foglio1!$P$13*EWMA!$J106</f>
        <v>0.54812173917935292</v>
      </c>
      <c r="V106">
        <f>Foglio1!$U$7*EWMA!$J$4*SQRT($J106)-Foglio1!$P$13*EWMA!$J106</f>
        <v>0.66693021433567634</v>
      </c>
      <c r="W106">
        <f>Foglio1!$U$8*EWMA!$J$4*SQRT($J106)-Foglio1!$P$13*EWMA!$J106</f>
        <v>0.7104236236289545</v>
      </c>
    </row>
    <row r="107" spans="3:29" x14ac:dyDescent="0.2">
      <c r="C107" s="2">
        <f>EWMA!$G$2*C108+(1-EWMA!$G$2)*(Foglio1!E108)^2</f>
        <v>9.6925035649604086E-4</v>
      </c>
      <c r="D107" s="2">
        <f>EWMA!$G$2*D108+(1-EWMA!$G$2)*(Foglio1!I108)^2</f>
        <v>4.9358742343951531E-4</v>
      </c>
      <c r="F107">
        <f>EWMA!$G$2*F108+(1-EWMA!$G$2)*Foglio1!E102*Foglio1!I102</f>
        <v>1.3423202887220497E-4</v>
      </c>
      <c r="J107" s="39">
        <v>100</v>
      </c>
      <c r="K107">
        <f>Foglio1!$U$6*EWMA!$H$8*SQRT($J107)-Foglio1!$O$7*EWMA!$J107</f>
        <v>0.90136751626960909</v>
      </c>
      <c r="L107">
        <f>Foglio1!$U$7*EWMA!$H$8*SQRT($J107)-Foglio1!$O$7*EWMA!$J107</f>
        <v>1.1090526060773045</v>
      </c>
      <c r="M107">
        <f>Foglio1!$U$8*EWMA!$H$8*SQRT($J107)-Foglio1!$O$7*EWMA!$J107</f>
        <v>1.1850819684879585</v>
      </c>
      <c r="N107" s="2"/>
      <c r="P107">
        <f>Foglio1!$U$6*EWMA!$I$8*SQRT($J107)-Foglio1!$P$7*EWMA!$J107</f>
        <v>0.38811672481449855</v>
      </c>
      <c r="Q107">
        <f>Foglio1!$U$7*EWMA!$I$8*SQRT($J107)-Foglio1!$P$7*EWMA!$J107</f>
        <v>0.49592426805437206</v>
      </c>
      <c r="R107">
        <f>Foglio1!$U$8*EWMA!$I$8*SQRT($J107)-Foglio1!$P$7*EWMA!$J107</f>
        <v>0.53539045594092738</v>
      </c>
      <c r="U107">
        <f>Foglio1!$U$6*EWMA!$J$4*SQRT($J107)-Foglio1!$P$13*EWMA!$J107</f>
        <v>0.55220642100024997</v>
      </c>
      <c r="V107">
        <f>Foglio1!$U$7*EWMA!$J$4*SQRT($J107)-Foglio1!$P$13*EWMA!$J107</f>
        <v>0.67161343130563966</v>
      </c>
      <c r="W107">
        <f>Foglio1!$U$8*EWMA!$J$4*SQRT($J107)-Foglio1!$P$13*EWMA!$J107</f>
        <v>0.71532595235993057</v>
      </c>
    </row>
    <row r="108" spans="3:29" x14ac:dyDescent="0.2">
      <c r="C108" s="2">
        <f>EWMA!$G$2*C109+(1-EWMA!$G$2)*(Foglio1!E109)^2</f>
        <v>9.7201112535994991E-4</v>
      </c>
      <c r="D108" s="2">
        <f>EWMA!$G$2*D109+(1-EWMA!$G$2)*(Foglio1!I109)^2</f>
        <v>5.2327740082217932E-4</v>
      </c>
      <c r="F108">
        <f>EWMA!$G$2*F109+(1-EWMA!$G$2)*Foglio1!E103*Foglio1!I103</f>
        <v>9.7561318471246644E-5</v>
      </c>
    </row>
    <row r="109" spans="3:29" x14ac:dyDescent="0.2">
      <c r="C109" s="2">
        <f>EWMA!$G$2*C110+(1-EWMA!$G$2)*(Foglio1!E110)^2</f>
        <v>8.3854317890483493E-4</v>
      </c>
      <c r="D109" s="2">
        <f>EWMA!$G$2*D110+(1-EWMA!$G$2)*(Foglio1!I110)^2</f>
        <v>5.2882932852152756E-4</v>
      </c>
      <c r="F109">
        <f>EWMA!$G$2*F110+(1-EWMA!$G$2)*Foglio1!E104*Foglio1!I104</f>
        <v>1.0404974640991533E-4</v>
      </c>
    </row>
    <row r="110" spans="3:29" x14ac:dyDescent="0.2">
      <c r="C110" s="2">
        <f>EWMA!$G$2*C111+(1-EWMA!$G$2)*(Foglio1!E111)^2</f>
        <v>8.4054507838602136E-4</v>
      </c>
      <c r="D110" s="2">
        <f>EWMA!$G$2*D111+(1-EWMA!$G$2)*(Foglio1!I111)^2</f>
        <v>5.6214697402360561E-4</v>
      </c>
      <c r="F110">
        <f>EWMA!$G$2*F111+(1-EWMA!$G$2)*Foglio1!E105*Foglio1!I105</f>
        <v>7.9335865666855024E-5</v>
      </c>
    </row>
    <row r="111" spans="3:29" ht="29" x14ac:dyDescent="0.35">
      <c r="C111" s="2">
        <f>EWMA!$G$2*C112+(1-EWMA!$G$2)*(Foglio1!E112)^2</f>
        <v>8.3103476855156942E-4</v>
      </c>
      <c r="D111" s="2">
        <f>EWMA!$G$2*D112+(1-EWMA!$G$2)*(Foglio1!I112)^2</f>
        <v>5.927671818862153E-4</v>
      </c>
      <c r="F111">
        <f>EWMA!$G$2*F112+(1-EWMA!$G$2)*Foglio1!E106*Foglio1!I106</f>
        <v>5.2312951764458231E-5</v>
      </c>
      <c r="L111" s="80" t="s">
        <v>48</v>
      </c>
      <c r="O111" s="2">
        <f>U107</f>
        <v>0.55220642100024997</v>
      </c>
      <c r="P111" s="81" t="s">
        <v>49</v>
      </c>
      <c r="Q111">
        <f>0.5*K107+0.5*P107</f>
        <v>0.64474212054205382</v>
      </c>
    </row>
    <row r="112" spans="3:29" x14ac:dyDescent="0.2">
      <c r="C112" s="2">
        <f>EWMA!$G$2*C113+(1-EWMA!$G$2)*(Foglio1!E113)^2</f>
        <v>7.9455715247879239E-4</v>
      </c>
      <c r="D112" s="2">
        <f>EWMA!$G$2*D113+(1-EWMA!$G$2)*(Foglio1!I113)^2</f>
        <v>6.268400372115119E-4</v>
      </c>
      <c r="F112">
        <f>EWMA!$G$2*F113+(1-EWMA!$G$2)*Foglio1!E107*Foglio1!I107</f>
        <v>1.1813127576651802E-5</v>
      </c>
      <c r="O112">
        <f>V107</f>
        <v>0.67161343130563966</v>
      </c>
      <c r="P112" s="81" t="s">
        <v>49</v>
      </c>
      <c r="Q112" s="2">
        <f>0.5*L107+0.5*Q107</f>
        <v>0.80248843706583828</v>
      </c>
    </row>
    <row r="113" spans="3:17" x14ac:dyDescent="0.2">
      <c r="C113" s="2">
        <f>EWMA!$G$2*C114+(1-EWMA!$G$2)*(Foglio1!E114)^2</f>
        <v>7.9880736838286448E-4</v>
      </c>
      <c r="D113" s="2">
        <f>EWMA!$G$2*D114+(1-EWMA!$G$2)*(Foglio1!I114)^2</f>
        <v>6.6616517098350017E-4</v>
      </c>
      <c r="F113">
        <f>EWMA!$G$2*F114+(1-EWMA!$G$2)*Foglio1!E108*Foglio1!I108</f>
        <v>5.6392441946637609E-5</v>
      </c>
      <c r="O113">
        <f>W107</f>
        <v>0.71532595235993057</v>
      </c>
      <c r="P113" s="81" t="s">
        <v>49</v>
      </c>
      <c r="Q113">
        <f>0.5*M107+0.5*R107</f>
        <v>0.86023621221444291</v>
      </c>
    </row>
    <row r="114" spans="3:17" x14ac:dyDescent="0.2">
      <c r="C114" s="2">
        <f>EWMA!$G$2*C115+(1-EWMA!$G$2)*(Foglio1!E115)^2</f>
        <v>8.4044710322316919E-4</v>
      </c>
      <c r="D114" s="2">
        <f>EWMA!$G$2*D115+(1-EWMA!$G$2)*(Foglio1!I115)^2</f>
        <v>6.9606920136255218E-4</v>
      </c>
      <c r="F114">
        <f>EWMA!$G$2*F115+(1-EWMA!$G$2)*Foglio1!E109*Foglio1!I109</f>
        <v>4.9632735566459212E-5</v>
      </c>
    </row>
    <row r="115" spans="3:17" x14ac:dyDescent="0.2">
      <c r="C115" s="2">
        <f>EWMA!$G$2*C116+(1-EWMA!$G$2)*(Foglio1!E116)^2</f>
        <v>7.9703687364380714E-4</v>
      </c>
      <c r="D115" s="2">
        <f>EWMA!$G$2*D116+(1-EWMA!$G$2)*(Foglio1!I116)^2</f>
        <v>7.3751832273792129E-4</v>
      </c>
      <c r="F115">
        <f>EWMA!$G$2*F116+(1-EWMA!$G$2)*Foglio1!E110*Foglio1!I110</f>
        <v>-2.0987727846008311E-5</v>
      </c>
    </row>
    <row r="116" spans="3:17" x14ac:dyDescent="0.2">
      <c r="C116" s="2">
        <f>EWMA!$G$2*C117+(1-EWMA!$G$2)*(Foglio1!E117)^2</f>
        <v>8.4672263453231596E-4</v>
      </c>
      <c r="D116" s="2">
        <f>EWMA!$G$2*D117+(1-EWMA!$G$2)*(Foglio1!I117)^2</f>
        <v>7.8295354486893293E-4</v>
      </c>
      <c r="F116">
        <f>EWMA!$G$2*F117+(1-EWMA!$G$2)*Foglio1!E111*Foglio1!I111</f>
        <v>-1.7580085611866837E-5</v>
      </c>
    </row>
    <row r="117" spans="3:17" x14ac:dyDescent="0.2">
      <c r="C117" s="2">
        <f>EWMA!$G$2*C118+(1-EWMA!$G$2)*(Foglio1!E118)^2</f>
        <v>8.6971986327433518E-4</v>
      </c>
      <c r="D117" s="2">
        <f>EWMA!$G$2*D118+(1-EWMA!$G$2)*(Foglio1!I118)^2</f>
        <v>8.3275916117854618E-4</v>
      </c>
      <c r="F117">
        <f>EWMA!$G$2*F118+(1-EWMA!$G$2)*Foglio1!E112*Foglio1!I112</f>
        <v>-4.723424634327018E-7</v>
      </c>
    </row>
    <row r="118" spans="3:17" x14ac:dyDescent="0.2">
      <c r="C118" s="2">
        <f>EWMA!$G$2*C119+(1-EWMA!$G$2)*(Foglio1!E119)^2</f>
        <v>8.429182424144286E-4</v>
      </c>
      <c r="D118" s="2">
        <f>EWMA!$G$2*D119+(1-EWMA!$G$2)*(Foglio1!I119)^2</f>
        <v>8.7450425029808967E-4</v>
      </c>
      <c r="F118">
        <f>EWMA!$G$2*F119+(1-EWMA!$G$2)*Foglio1!E113*Foglio1!I113</f>
        <v>1.7852449630034571E-5</v>
      </c>
    </row>
    <row r="119" spans="3:17" x14ac:dyDescent="0.2">
      <c r="C119" s="2">
        <f>EWMA!$G$2*C120+(1-EWMA!$G$2)*(Foglio1!E120)^2</f>
        <v>8.9166696713820898E-4</v>
      </c>
      <c r="D119" s="2">
        <f>EWMA!$G$2*D120+(1-EWMA!$G$2)*(Foglio1!I120)^2</f>
        <v>9.2937701714768464E-4</v>
      </c>
      <c r="F119">
        <f>EWMA!$G$2*F120+(1-EWMA!$G$2)*Foglio1!E114*Foglio1!I114</f>
        <v>2.4637556438863663E-5</v>
      </c>
    </row>
    <row r="120" spans="3:17" x14ac:dyDescent="0.2">
      <c r="C120" s="2">
        <f>EWMA!$G$2*C121+(1-EWMA!$G$2)*(Foglio1!E121)^2</f>
        <v>8.4294546013872834E-4</v>
      </c>
      <c r="D120" s="2">
        <f>EWMA!$G$2*D121+(1-EWMA!$G$2)*(Foglio1!I121)^2</f>
        <v>9.8182677301347104E-4</v>
      </c>
      <c r="F120">
        <f>EWMA!$G$2*F121+(1-EWMA!$G$2)*Foglio1!E115*Foglio1!I115</f>
        <v>1.5349929747578594E-5</v>
      </c>
    </row>
    <row r="121" spans="3:17" x14ac:dyDescent="0.2">
      <c r="C121" s="2">
        <f>EWMA!$G$2*C122+(1-EWMA!$G$2)*(Foglio1!E122)^2</f>
        <v>8.8116197138589402E-4</v>
      </c>
      <c r="D121" s="2">
        <f>EWMA!$G$2*D122+(1-EWMA!$G$2)*(Foglio1!I122)^2</f>
        <v>1.0407332192617839E-3</v>
      </c>
      <c r="F121">
        <f>EWMA!$G$2*F122+(1-EWMA!$G$2)*Foglio1!E116*Foglio1!I116</f>
        <v>-6.7930218007489155E-7</v>
      </c>
    </row>
    <row r="122" spans="3:17" x14ac:dyDescent="0.2">
      <c r="C122" s="2">
        <f>EWMA!$G$2*C123+(1-EWMA!$G$2)*(Foglio1!E123)^2</f>
        <v>8.8897795045294909E-4</v>
      </c>
      <c r="D122" s="2">
        <f>EWMA!$G$2*D123+(1-EWMA!$G$2)*(Foglio1!I123)^2</f>
        <v>1.1000366319988872E-3</v>
      </c>
      <c r="F122">
        <f>EWMA!$G$2*F123+(1-EWMA!$G$2)*Foglio1!E117*Foglio1!I117</f>
        <v>-2.1192092060500022E-6</v>
      </c>
    </row>
    <row r="123" spans="3:17" x14ac:dyDescent="0.2">
      <c r="C123" s="2">
        <f>EWMA!$G$2*C124+(1-EWMA!$G$2)*(Foglio1!E124)^2</f>
        <v>9.3716367869719477E-4</v>
      </c>
      <c r="D123" s="2">
        <f>EWMA!$G$2*D124+(1-EWMA!$G$2)*(Foglio1!I124)^2</f>
        <v>1.1680955910723086E-3</v>
      </c>
      <c r="F123">
        <f>EWMA!$G$2*F124+(1-EWMA!$G$2)*Foglio1!E118*Foglio1!I118</f>
        <v>4.393842017302315E-8</v>
      </c>
    </row>
    <row r="124" spans="3:17" x14ac:dyDescent="0.2">
      <c r="C124" s="2">
        <f>EWMA!$G$2*C125+(1-EWMA!$G$2)*(Foglio1!E125)^2</f>
        <v>9.4377832668699271E-4</v>
      </c>
      <c r="D124" s="2">
        <f>EWMA!$G$2*D125+(1-EWMA!$G$2)*(Foglio1!I125)^2</f>
        <v>1.2393534456988271E-3</v>
      </c>
      <c r="F124">
        <f>EWMA!$G$2*F125+(1-EWMA!$G$2)*Foglio1!E119*Foglio1!I119</f>
        <v>-3.0599645363217398E-5</v>
      </c>
    </row>
    <row r="125" spans="3:17" x14ac:dyDescent="0.2">
      <c r="C125" s="2">
        <f>EWMA!$G$2*C126+(1-EWMA!$G$2)*(Foglio1!E126)^2</f>
        <v>1.0018041756409439E-3</v>
      </c>
      <c r="D125" s="2">
        <f>EWMA!$G$2*D126+(1-EWMA!$G$2)*(Foglio1!I126)^2</f>
        <v>3.6554001639263446E-4</v>
      </c>
      <c r="F125">
        <f>EWMA!$G$2*F126+(1-EWMA!$G$2)*Foglio1!E120*Foglio1!I120</f>
        <v>-3.0365367468744213E-5</v>
      </c>
    </row>
    <row r="126" spans="3:17" x14ac:dyDescent="0.2">
      <c r="C126" s="2">
        <f>EWMA!$G$2*C127+(1-EWMA!$G$2)*(Foglio1!E127)^2</f>
        <v>9.7859824348489545E-4</v>
      </c>
      <c r="D126" s="2">
        <f>EWMA!$G$2*D127+(1-EWMA!$G$2)*(Foglio1!I127)^2</f>
        <v>3.762476917639002E-4</v>
      </c>
      <c r="F126">
        <f>EWMA!$G$2*F127+(1-EWMA!$G$2)*Foglio1!E121*Foglio1!I121</f>
        <v>-5.924709070723681E-5</v>
      </c>
    </row>
    <row r="127" spans="3:17" x14ac:dyDescent="0.2">
      <c r="C127" s="2">
        <f>EWMA!$G$2*C128+(1-EWMA!$G$2)*(Foglio1!E128)^2</f>
        <v>1.0184034696485563E-3</v>
      </c>
      <c r="D127" s="2">
        <f>EWMA!$G$2*D128+(1-EWMA!$G$2)*(Foglio1!I128)^2</f>
        <v>3.9354899434365138E-4</v>
      </c>
      <c r="F127">
        <f>EWMA!$G$2*F128+(1-EWMA!$G$2)*Foglio1!E122*Foglio1!I122</f>
        <v>-5.5369510860881807E-5</v>
      </c>
    </row>
    <row r="128" spans="3:17" x14ac:dyDescent="0.2">
      <c r="C128" s="2">
        <f>Foglio1!O8</f>
        <v>1.0718559730366897E-3</v>
      </c>
      <c r="D128" s="2">
        <f>Foglio1!P8</f>
        <v>3.8310298653664173E-4</v>
      </c>
      <c r="E128" t="s">
        <v>19</v>
      </c>
      <c r="F128">
        <f>EWMA!$G$2*F129+(1-EWMA!$G$2)*Foglio1!E123*Foglio1!I123</f>
        <v>-4.0326367627875495E-5</v>
      </c>
    </row>
    <row r="129" spans="6:7" x14ac:dyDescent="0.2">
      <c r="F129">
        <f>EWMA!$G$2*F130+(1-EWMA!$G$2)*Foglio1!E124*Foglio1!I124</f>
        <v>-3.8604892391464339E-5</v>
      </c>
    </row>
    <row r="130" spans="6:7" x14ac:dyDescent="0.2">
      <c r="F130">
        <f>EWMA!$G$2*F131+(1-EWMA!$G$2)*Foglio1!E125*Foglio1!I125</f>
        <v>-2.7815704540801622E-5</v>
      </c>
    </row>
    <row r="131" spans="6:7" x14ac:dyDescent="0.2">
      <c r="F131">
        <f>EWMA!$G$2*F132+(1-EWMA!$G$2)*Foglio1!E126*Foglio1!I126</f>
        <v>1.6354727470279646E-5</v>
      </c>
    </row>
    <row r="132" spans="6:7" x14ac:dyDescent="0.2">
      <c r="F132">
        <f>EWMA!$G$2*F133+(1-EWMA!$G$2)*Foglio1!E127*Foglio1!I127</f>
        <v>-1.5771381709991762E-5</v>
      </c>
    </row>
    <row r="133" spans="6:7" x14ac:dyDescent="0.2">
      <c r="F133">
        <f>EWMA!$G$2*F134+(1-EWMA!$G$2)*Foglio1!E128*Foglio1!I128</f>
        <v>-2.911259490208581E-5</v>
      </c>
    </row>
    <row r="134" spans="6:7" x14ac:dyDescent="0.2">
      <c r="F134">
        <f>Foglio1!P11</f>
        <v>-1.070118130206315E-5</v>
      </c>
      <c r="G134" t="s">
        <v>16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0631A-ACDC-A841-80F9-3310E2C13445}">
  <sheetPr codeName="Foglio3"/>
  <dimension ref="B1:R14"/>
  <sheetViews>
    <sheetView workbookViewId="0">
      <selection activeCell="M5" sqref="M5"/>
    </sheetView>
  </sheetViews>
  <sheetFormatPr baseColWidth="10" defaultRowHeight="16" x14ac:dyDescent="0.2"/>
  <cols>
    <col min="15" max="15" width="14.6640625" customWidth="1"/>
  </cols>
  <sheetData>
    <row r="1" spans="2:18" x14ac:dyDescent="0.2">
      <c r="C1" t="s">
        <v>25</v>
      </c>
    </row>
    <row r="3" spans="2:18" ht="22" x14ac:dyDescent="0.3">
      <c r="B3" s="11" t="s">
        <v>6</v>
      </c>
      <c r="C3" s="11" t="s">
        <v>20</v>
      </c>
      <c r="F3" s="56" t="s">
        <v>22</v>
      </c>
      <c r="G3" s="57" t="s">
        <v>23</v>
      </c>
      <c r="H3" s="58" t="s">
        <v>24</v>
      </c>
      <c r="O3" s="113" t="s">
        <v>119</v>
      </c>
      <c r="P3" s="114" t="s">
        <v>111</v>
      </c>
      <c r="Q3" s="115" t="s">
        <v>112</v>
      </c>
      <c r="R3" s="116" t="s">
        <v>12</v>
      </c>
    </row>
    <row r="4" spans="2:18" ht="22" x14ac:dyDescent="0.3">
      <c r="B4">
        <v>100</v>
      </c>
      <c r="C4">
        <v>10000</v>
      </c>
      <c r="E4" s="53" t="s">
        <v>32</v>
      </c>
      <c r="F4" cm="1">
        <f t="array" ref="F4">ABS(VaR_MonteCarlo(Foglio1!O7,Foglio1!P7,Foglio1!O9,Foglio1!P9,Foglio1!R11,0.5,0.5,MonteCarlo!B4,MonteCarlo!C4,0.95))</f>
        <v>0.58453647265470687</v>
      </c>
      <c r="G4" cm="1">
        <f t="array" ref="G4">ABS(VaR_MonteCarlo(Foglio1!O7,Foglio1!P7,Foglio1!O9,Foglio1!P9,Foglio1!R11,0.5,0.5,MonteCarlo!B4,MonteCarlo!C4,0.99))</f>
        <v>0.6959053033731798</v>
      </c>
      <c r="H4" cm="1">
        <f t="array" ref="H4">ABS(VaR_MonteCarlo(Foglio1!O7,Foglio1!P7,Foglio1!O9,Foglio1!P9,Foglio1!R11,0.5,0.5,MonteCarlo!B4,MonteCarlo!C4,0.995))</f>
        <v>0.738650443568167</v>
      </c>
      <c r="O4" s="117">
        <v>0.95</v>
      </c>
      <c r="P4" s="112">
        <f>F5</f>
        <v>0.92024285174489662</v>
      </c>
      <c r="Q4" s="112">
        <f>F6</f>
        <v>0.44982768807057477</v>
      </c>
      <c r="R4" s="112">
        <f>F4</f>
        <v>0.58453647265470687</v>
      </c>
    </row>
    <row r="5" spans="2:18" ht="22" x14ac:dyDescent="0.3">
      <c r="E5" s="54" t="s">
        <v>111</v>
      </c>
      <c r="F5" cm="1">
        <f t="array" ref="F5">ABS(VaR_MonteCarlo_Single(Foglio1!O7,Foglio1!O9,MonteCarlo!B4,MonteCarlo!C4,0.95))</f>
        <v>0.92024285174489662</v>
      </c>
      <c r="G5" cm="1">
        <f t="array" ref="G5">ABS(VaR_MonteCarlo_Single(Foglio1!O7,Foglio1!O9,MonteCarlo!B4,MonteCarlo!C4,0.99))</f>
        <v>1.1543490500076956</v>
      </c>
      <c r="H5" cm="1">
        <f t="array" ref="H5">ABS(VaR_MonteCarlo_Single(Foglio1!O7,Foglio1!O9,MonteCarlo!B4,MonteCarlo!C4,0.995))</f>
        <v>1.2234786816100713</v>
      </c>
      <c r="O5" s="117">
        <v>0.99</v>
      </c>
      <c r="P5" s="112">
        <f>G5</f>
        <v>1.1543490500076956</v>
      </c>
      <c r="Q5" s="112">
        <f>G6</f>
        <v>0.57934371311341304</v>
      </c>
      <c r="R5" s="112">
        <f>G4</f>
        <v>0.6959053033731798</v>
      </c>
    </row>
    <row r="6" spans="2:18" ht="22" x14ac:dyDescent="0.3">
      <c r="E6" s="55" t="s">
        <v>112</v>
      </c>
      <c r="F6" cm="1">
        <f t="array" ref="F6">ABS(VaR_MonteCarlo_Single(Foglio1!P7,Foglio1!P9,MonteCarlo!B4,MonteCarlo!C4,0.95))</f>
        <v>0.44982768807057477</v>
      </c>
      <c r="G6" cm="1">
        <f t="array" ref="G6">ABS(VaR_MonteCarlo_Single(Foglio1!P7,Foglio1!P9,MonteCarlo!B4,MonteCarlo!C4,0.99))</f>
        <v>0.57934371311341304</v>
      </c>
      <c r="H6" cm="1">
        <f t="array" ref="H6">ABS(VaR_MonteCarlo_Single(Foglio1!P7,Foglio1!P9,MonteCarlo!B4,MonteCarlo!C4,0.995))</f>
        <v>0.63028675768122622</v>
      </c>
      <c r="O6" s="118">
        <v>0.995</v>
      </c>
      <c r="P6" s="112">
        <f>H5</f>
        <v>1.2234786816100713</v>
      </c>
      <c r="Q6" s="112">
        <f>H6</f>
        <v>0.63028675768122622</v>
      </c>
      <c r="R6" s="112">
        <f>H4</f>
        <v>0.738650443568167</v>
      </c>
    </row>
    <row r="12" spans="2:18" ht="29" x14ac:dyDescent="0.35">
      <c r="F12" s="80" t="s">
        <v>48</v>
      </c>
      <c r="G12" s="80"/>
      <c r="H12" s="80"/>
      <c r="I12" s="2">
        <f>F4</f>
        <v>0.58453647265470687</v>
      </c>
      <c r="J12" s="81" t="s">
        <v>49</v>
      </c>
      <c r="K12" s="82">
        <f>0.5*F5+0.5*F6</f>
        <v>0.68503526990773567</v>
      </c>
    </row>
    <row r="13" spans="2:18" x14ac:dyDescent="0.2">
      <c r="F13" s="82"/>
      <c r="G13" s="82"/>
      <c r="H13" s="82"/>
      <c r="I13" s="82">
        <f>G4</f>
        <v>0.6959053033731798</v>
      </c>
      <c r="J13" s="81" t="s">
        <v>49</v>
      </c>
      <c r="K13" s="82">
        <f>0.5*G5+0.5*G6</f>
        <v>0.86684638156055427</v>
      </c>
    </row>
    <row r="14" spans="2:18" x14ac:dyDescent="0.2">
      <c r="F14" s="82"/>
      <c r="G14" s="82"/>
      <c r="H14" s="82"/>
      <c r="I14" s="82">
        <f>H4</f>
        <v>0.738650443568167</v>
      </c>
      <c r="J14" s="81" t="s">
        <v>49</v>
      </c>
      <c r="K14" s="82">
        <f>0.5*H5+0.5*H6</f>
        <v>0.92688271964564883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1C449-9C04-5545-A7CE-4BE01D19CE3F}">
  <sheetPr codeName="Foglio4"/>
  <dimension ref="C1:W127"/>
  <sheetViews>
    <sheetView topLeftCell="A62" workbookViewId="0">
      <selection activeCell="D5" sqref="D5"/>
    </sheetView>
  </sheetViews>
  <sheetFormatPr baseColWidth="10" defaultRowHeight="16" x14ac:dyDescent="0.2"/>
  <cols>
    <col min="9" max="9" width="12.83203125" bestFit="1" customWidth="1"/>
  </cols>
  <sheetData>
    <row r="1" spans="3:23" x14ac:dyDescent="0.2">
      <c r="Q1" t="s">
        <v>26</v>
      </c>
      <c r="S1">
        <f>COUNT(D4:D126)</f>
        <v>123</v>
      </c>
    </row>
    <row r="2" spans="3:23" ht="19" x14ac:dyDescent="0.25">
      <c r="D2" s="59" t="s">
        <v>39</v>
      </c>
      <c r="W2" t="s">
        <v>41</v>
      </c>
    </row>
    <row r="3" spans="3:23" ht="27" x14ac:dyDescent="0.35">
      <c r="C3" s="7"/>
      <c r="K3" s="40" t="s">
        <v>40</v>
      </c>
      <c r="L3" s="28"/>
      <c r="M3" s="28"/>
      <c r="S3">
        <f>ROUNDUP(G6*123,0)</f>
        <v>117</v>
      </c>
    </row>
    <row r="4" spans="3:23" x14ac:dyDescent="0.2">
      <c r="C4" s="7"/>
      <c r="D4">
        <f>0.5*Foglio1!E6+0.5*Foglio1!I6</f>
        <v>1.5952725207194828E-2</v>
      </c>
      <c r="S4">
        <f>ROUNDUP(H6*123,0)</f>
        <v>122</v>
      </c>
      <c r="U4" t="s">
        <v>27</v>
      </c>
    </row>
    <row r="5" spans="3:23" x14ac:dyDescent="0.2">
      <c r="C5" s="7"/>
      <c r="D5">
        <f>0.5*Foglio1!E7+0.5*Foglio1!I7</f>
        <v>-8.722839546051674E-3</v>
      </c>
      <c r="H5" s="25" t="s">
        <v>12</v>
      </c>
      <c r="L5" s="25" t="s">
        <v>111</v>
      </c>
      <c r="P5" s="25" t="s">
        <v>112</v>
      </c>
      <c r="S5">
        <f>ROUNDUP(I6*123,0)</f>
        <v>123</v>
      </c>
    </row>
    <row r="6" spans="3:23" ht="22" x14ac:dyDescent="0.3">
      <c r="C6" s="7"/>
      <c r="D6">
        <f>0.5*Foglio1!E8+0.5*Foglio1!I8</f>
        <v>1.1500535456288891E-2</v>
      </c>
      <c r="F6" s="11" t="s">
        <v>6</v>
      </c>
      <c r="G6" s="60">
        <v>0.95</v>
      </c>
      <c r="H6" s="61">
        <v>0.99</v>
      </c>
      <c r="I6" s="62">
        <v>0.995</v>
      </c>
      <c r="K6" s="60">
        <v>0.95</v>
      </c>
      <c r="L6" s="61">
        <v>0.99</v>
      </c>
      <c r="M6" s="62">
        <v>0.995</v>
      </c>
      <c r="O6" s="60">
        <v>0.95</v>
      </c>
      <c r="P6" s="61">
        <v>0.99</v>
      </c>
      <c r="Q6" s="62">
        <v>0.995</v>
      </c>
    </row>
    <row r="7" spans="3:23" x14ac:dyDescent="0.2">
      <c r="C7" s="7"/>
      <c r="D7">
        <f>0.5*Foglio1!E9+0.5*Foglio1!I9</f>
        <v>9.2264130985032985E-3</v>
      </c>
      <c r="F7" s="63">
        <v>1</v>
      </c>
      <c r="G7">
        <f>SMALL($D$3:$D$126,1+$S$1-S3)</f>
        <v>-2.9199487663802343E-2</v>
      </c>
      <c r="H7">
        <f>SMALL($D$3:$D$126,1+$S$1-S4)</f>
        <v>-4.3066606472330647E-2</v>
      </c>
      <c r="I7">
        <f>SMALL($D$3:$D$126,1+$S$1-S5)</f>
        <v>-6.7650684258605931E-2</v>
      </c>
      <c r="K7">
        <f>SMALL(Foglio1!E6:E129,1+$S$1-S3)</f>
        <v>-4.9609375000000122E-2</v>
      </c>
      <c r="L7">
        <f>SMALL(Foglio1!E6:E129,1+$S$1-S4)</f>
        <v>-6.8856601389766334E-2</v>
      </c>
      <c r="M7">
        <f>SMALL(Foglio1!E6:E129,1+$S$1-S5)</f>
        <v>-0.13158527784459945</v>
      </c>
      <c r="O7">
        <f>SMALL(Foglio1!I6:I129,1+$S$1-S3)</f>
        <v>-2.3605150214592353E-2</v>
      </c>
      <c r="P7">
        <f>SMALL(Foglio1!I6:I129,1+$S$1-S4)</f>
        <v>-4.3374379709612242E-2</v>
      </c>
      <c r="Q7">
        <f>SMALL(Foglio1!I6:I129,1+$S$1-S5)</f>
        <v>-7.8907178007805875E-2</v>
      </c>
    </row>
    <row r="8" spans="3:23" x14ac:dyDescent="0.2">
      <c r="C8" s="7"/>
      <c r="D8">
        <f>0.5*Foglio1!E10+0.5*Foglio1!I10</f>
        <v>1.2410347872256158E-2</v>
      </c>
      <c r="F8" s="63">
        <v>2</v>
      </c>
      <c r="G8">
        <f t="shared" ref="G8:I27" si="0">G$7*SQRT($F8)</f>
        <v>-4.129431146849516E-2</v>
      </c>
      <c r="H8">
        <f t="shared" si="0"/>
        <v>-6.0905378958554919E-2</v>
      </c>
      <c r="I8">
        <f t="shared" si="0"/>
        <v>-9.5672515182340559E-2</v>
      </c>
      <c r="K8">
        <f t="shared" ref="K8:K39" si="1">K$7*SQRT($F7)</f>
        <v>-4.9609375000000122E-2</v>
      </c>
      <c r="L8">
        <f t="shared" ref="L8:M27" si="2">L$7*SQRT($F8)</f>
        <v>-9.7377939544325665E-2</v>
      </c>
      <c r="M8">
        <f t="shared" si="2"/>
        <v>-0.18608968453646449</v>
      </c>
      <c r="O8">
        <f t="shared" ref="O8:O39" si="3">O$7*SQRT($F7)</f>
        <v>-2.3605150214592353E-2</v>
      </c>
      <c r="P8">
        <f t="shared" ref="P8:Q27" si="4">P$7*SQRT($F8)</f>
        <v>-6.1340636044854027E-2</v>
      </c>
      <c r="Q8">
        <f t="shared" si="4"/>
        <v>-0.11159160130722709</v>
      </c>
    </row>
    <row r="9" spans="3:23" x14ac:dyDescent="0.2">
      <c r="C9" s="8"/>
      <c r="D9">
        <f>0.5*Foglio1!E11+0.5*Foglio1!I11</f>
        <v>-2.1071561984049907E-2</v>
      </c>
      <c r="F9" s="63">
        <v>3</v>
      </c>
      <c r="G9">
        <f t="shared" si="0"/>
        <v>-5.0574996188686314E-2</v>
      </c>
      <c r="H9">
        <f t="shared" si="0"/>
        <v>-7.459355051965133E-2</v>
      </c>
      <c r="I9">
        <f t="shared" si="0"/>
        <v>-0.11717442230270553</v>
      </c>
      <c r="K9">
        <f t="shared" si="1"/>
        <v>-7.0158250945852943E-2</v>
      </c>
      <c r="L9">
        <f t="shared" si="2"/>
        <v>-0.11926313204359305</v>
      </c>
      <c r="M9">
        <f t="shared" si="2"/>
        <v>-0.22791238675491354</v>
      </c>
      <c r="O9">
        <f t="shared" si="3"/>
        <v>-3.3382723575330682E-2</v>
      </c>
      <c r="P9">
        <f t="shared" si="4"/>
        <v>-7.5126629403833009E-2</v>
      </c>
      <c r="Q9">
        <f t="shared" si="4"/>
        <v>-0.1366712413914013</v>
      </c>
    </row>
    <row r="10" spans="3:23" x14ac:dyDescent="0.2">
      <c r="C10" s="8"/>
      <c r="D10">
        <f>0.5*Foglio1!E12+0.5*Foglio1!I12</f>
        <v>-2.1183383618432118E-2</v>
      </c>
      <c r="F10" s="63">
        <v>4</v>
      </c>
      <c r="G10">
        <f t="shared" si="0"/>
        <v>-5.8398975327604685E-2</v>
      </c>
      <c r="H10">
        <f t="shared" si="0"/>
        <v>-8.6133212944661294E-2</v>
      </c>
      <c r="I10">
        <f t="shared" si="0"/>
        <v>-0.13530136851721186</v>
      </c>
      <c r="K10">
        <f t="shared" si="1"/>
        <v>-8.5925958031737484E-2</v>
      </c>
      <c r="L10">
        <f t="shared" si="2"/>
        <v>-0.13771320277953267</v>
      </c>
      <c r="M10">
        <f t="shared" si="2"/>
        <v>-0.26317055568919889</v>
      </c>
      <c r="O10">
        <f t="shared" si="3"/>
        <v>-4.0885319491969337E-2</v>
      </c>
      <c r="P10">
        <f t="shared" si="4"/>
        <v>-8.6748759419224483E-2</v>
      </c>
      <c r="Q10">
        <f t="shared" si="4"/>
        <v>-0.15781435601561175</v>
      </c>
    </row>
    <row r="11" spans="3:23" x14ac:dyDescent="0.2">
      <c r="C11" s="8"/>
      <c r="D11">
        <f>0.5*Foglio1!E13+0.5*Foglio1!I13</f>
        <v>1.3065220081930558E-2</v>
      </c>
      <c r="F11" s="63">
        <v>5</v>
      </c>
      <c r="G11">
        <f t="shared" si="0"/>
        <v>-6.5292039324428564E-2</v>
      </c>
      <c r="H11">
        <f t="shared" si="0"/>
        <v>-9.6299859632363746E-2</v>
      </c>
      <c r="I11">
        <f t="shared" si="0"/>
        <v>-0.15127152872661784</v>
      </c>
      <c r="K11">
        <f t="shared" si="1"/>
        <v>-9.9218750000000244E-2</v>
      </c>
      <c r="L11">
        <f t="shared" si="2"/>
        <v>-0.15396804140712403</v>
      </c>
      <c r="M11">
        <f t="shared" si="2"/>
        <v>-0.29423362609872139</v>
      </c>
      <c r="O11">
        <f t="shared" si="3"/>
        <v>-4.7210300429184705E-2</v>
      </c>
      <c r="P11">
        <f t="shared" si="4"/>
        <v>-9.6988061512580562E-2</v>
      </c>
      <c r="Q11">
        <f t="shared" si="4"/>
        <v>-0.17644181393813038</v>
      </c>
    </row>
    <row r="12" spans="3:23" x14ac:dyDescent="0.2">
      <c r="C12" s="8"/>
      <c r="D12">
        <f>0.5*Foglio1!E14+0.5*Foglio1!I14</f>
        <v>-1.5881736449241252E-2</v>
      </c>
      <c r="F12" s="63">
        <v>6</v>
      </c>
      <c r="G12">
        <f t="shared" si="0"/>
        <v>-7.1523845527007773E-2</v>
      </c>
      <c r="H12">
        <f t="shared" si="0"/>
        <v>-0.10549121081045354</v>
      </c>
      <c r="I12">
        <f t="shared" si="0"/>
        <v>-0.16570965718371863</v>
      </c>
      <c r="K12">
        <f t="shared" si="1"/>
        <v>-0.11092993482127891</v>
      </c>
      <c r="L12">
        <f t="shared" si="2"/>
        <v>-0.16866353882714255</v>
      </c>
      <c r="M12">
        <f t="shared" si="2"/>
        <v>-0.32231678838162087</v>
      </c>
      <c r="O12">
        <f t="shared" si="3"/>
        <v>-5.2782720498922249E-2</v>
      </c>
      <c r="P12">
        <f t="shared" si="4"/>
        <v>-0.10624509819827797</v>
      </c>
      <c r="Q12">
        <f t="shared" si="4"/>
        <v>-0.19328232316208685</v>
      </c>
    </row>
    <row r="13" spans="3:23" x14ac:dyDescent="0.2">
      <c r="C13" s="8"/>
      <c r="D13">
        <f>0.5*Foglio1!E15+0.5*Foglio1!I15</f>
        <v>1.2964503862050074E-2</v>
      </c>
      <c r="F13" s="63">
        <v>7</v>
      </c>
      <c r="G13">
        <f t="shared" si="0"/>
        <v>-7.7254582768919389E-2</v>
      </c>
      <c r="H13">
        <f t="shared" si="0"/>
        <v>-0.1139435305372716</v>
      </c>
      <c r="I13">
        <f t="shared" si="0"/>
        <v>-0.17898688657162332</v>
      </c>
      <c r="K13">
        <f t="shared" si="1"/>
        <v>-0.12151765520838452</v>
      </c>
      <c r="L13">
        <f t="shared" si="2"/>
        <v>-0.1821774434024262</v>
      </c>
      <c r="M13">
        <f t="shared" si="2"/>
        <v>-0.3481419213741474</v>
      </c>
      <c r="O13">
        <f t="shared" si="3"/>
        <v>-5.7820573327500097E-2</v>
      </c>
      <c r="P13">
        <f t="shared" si="4"/>
        <v>-0.11475782198331996</v>
      </c>
      <c r="Q13">
        <f t="shared" si="4"/>
        <v>-0.20876876966655944</v>
      </c>
    </row>
    <row r="14" spans="3:23" x14ac:dyDescent="0.2">
      <c r="C14" s="8"/>
      <c r="D14">
        <f>0.5*Foglio1!E16+0.5*Foglio1!I16</f>
        <v>-3.1264672558288273E-3</v>
      </c>
      <c r="F14" s="63">
        <v>8</v>
      </c>
      <c r="G14">
        <f t="shared" si="0"/>
        <v>-8.2588622936990319E-2</v>
      </c>
      <c r="H14">
        <f t="shared" si="0"/>
        <v>-0.12181075791710984</v>
      </c>
      <c r="I14">
        <f t="shared" si="0"/>
        <v>-0.19134503036468112</v>
      </c>
      <c r="K14">
        <f t="shared" si="1"/>
        <v>-0.13125406894734526</v>
      </c>
      <c r="L14">
        <f t="shared" si="2"/>
        <v>-0.19475587908865133</v>
      </c>
      <c r="M14">
        <f t="shared" si="2"/>
        <v>-0.37217936907292898</v>
      </c>
      <c r="O14">
        <f t="shared" si="3"/>
        <v>-6.2453357128134324E-2</v>
      </c>
      <c r="P14">
        <f t="shared" si="4"/>
        <v>-0.12268127208970805</v>
      </c>
      <c r="Q14">
        <f t="shared" si="4"/>
        <v>-0.22318320261445418</v>
      </c>
    </row>
    <row r="15" spans="3:23" x14ac:dyDescent="0.2">
      <c r="C15" s="8"/>
      <c r="D15">
        <f>0.5*Foglio1!E17+0.5*Foglio1!I17</f>
        <v>-1.432159324226058E-2</v>
      </c>
      <c r="F15" s="63">
        <v>9</v>
      </c>
      <c r="G15">
        <f t="shared" si="0"/>
        <v>-8.7598462991407028E-2</v>
      </c>
      <c r="H15">
        <f t="shared" si="0"/>
        <v>-0.12919981941699193</v>
      </c>
      <c r="I15">
        <f t="shared" si="0"/>
        <v>-0.20295205277581779</v>
      </c>
      <c r="K15">
        <f t="shared" si="1"/>
        <v>-0.14031650189170589</v>
      </c>
      <c r="L15">
        <f t="shared" si="2"/>
        <v>-0.20656980416929899</v>
      </c>
      <c r="M15">
        <f t="shared" si="2"/>
        <v>-0.39475583353379834</v>
      </c>
      <c r="O15">
        <f t="shared" si="3"/>
        <v>-6.6765447150661364E-2</v>
      </c>
      <c r="P15">
        <f t="shared" si="4"/>
        <v>-0.13012313912883672</v>
      </c>
      <c r="Q15">
        <f t="shared" si="4"/>
        <v>-0.23672153402341761</v>
      </c>
    </row>
    <row r="16" spans="3:23" x14ac:dyDescent="0.2">
      <c r="C16" s="8"/>
      <c r="D16">
        <f>0.5*Foglio1!E18+0.5*Foglio1!I18</f>
        <v>-2.7693144088839806E-2</v>
      </c>
      <c r="F16" s="63">
        <v>10</v>
      </c>
      <c r="G16">
        <f t="shared" si="0"/>
        <v>-9.2336887527604328E-2</v>
      </c>
      <c r="H16">
        <f t="shared" si="0"/>
        <v>-0.13618856754671416</v>
      </c>
      <c r="I16">
        <f t="shared" si="0"/>
        <v>-0.21393024752609419</v>
      </c>
      <c r="K16">
        <f t="shared" si="1"/>
        <v>-0.14882812500000037</v>
      </c>
      <c r="L16">
        <f t="shared" si="2"/>
        <v>-0.21774369232997706</v>
      </c>
      <c r="M16">
        <f t="shared" si="2"/>
        <v>-0.41610918453502604</v>
      </c>
      <c r="O16">
        <f t="shared" si="3"/>
        <v>-7.0815450643777061E-2</v>
      </c>
      <c r="P16">
        <f t="shared" si="4"/>
        <v>-0.13716183197936743</v>
      </c>
      <c r="Q16">
        <f t="shared" si="4"/>
        <v>-0.24952640624101419</v>
      </c>
    </row>
    <row r="17" spans="3:17" x14ac:dyDescent="0.2">
      <c r="C17" s="8"/>
      <c r="D17">
        <f>0.5*Foglio1!E19+0.5*Foglio1!I19</f>
        <v>-3.1117373163570342E-3</v>
      </c>
      <c r="F17" s="63">
        <v>11</v>
      </c>
      <c r="G17">
        <f t="shared" si="0"/>
        <v>-9.6843744651443533E-2</v>
      </c>
      <c r="H17">
        <f t="shared" si="0"/>
        <v>-0.14283577466261213</v>
      </c>
      <c r="I17">
        <f t="shared" si="0"/>
        <v>-0.22437193649659823</v>
      </c>
      <c r="K17">
        <f t="shared" si="1"/>
        <v>-0.15687861829741609</v>
      </c>
      <c r="L17">
        <f t="shared" si="2"/>
        <v>-0.2283715111489191</v>
      </c>
      <c r="M17">
        <f t="shared" si="2"/>
        <v>-0.43641899454520167</v>
      </c>
      <c r="O17">
        <f t="shared" si="3"/>
        <v>-7.4646039188524221E-2</v>
      </c>
      <c r="P17">
        <f t="shared" si="4"/>
        <v>-0.14385654301118822</v>
      </c>
      <c r="Q17">
        <f t="shared" si="4"/>
        <v>-0.2617055027176754</v>
      </c>
    </row>
    <row r="18" spans="3:17" x14ac:dyDescent="0.2">
      <c r="C18" s="7"/>
      <c r="D18">
        <f>0.5*Foglio1!E20+0.5*Foglio1!I20</f>
        <v>2.503939049333042E-2</v>
      </c>
      <c r="F18" s="63">
        <v>12</v>
      </c>
      <c r="G18">
        <f t="shared" si="0"/>
        <v>-0.10114999237737263</v>
      </c>
      <c r="H18">
        <f t="shared" si="0"/>
        <v>-0.14918710103930266</v>
      </c>
      <c r="I18">
        <f t="shared" si="0"/>
        <v>-0.23434884460541106</v>
      </c>
      <c r="K18">
        <f t="shared" si="1"/>
        <v>-0.16453568295903781</v>
      </c>
      <c r="L18">
        <f t="shared" si="2"/>
        <v>-0.23852626408718611</v>
      </c>
      <c r="M18">
        <f t="shared" si="2"/>
        <v>-0.45582477350982709</v>
      </c>
      <c r="O18">
        <f t="shared" si="3"/>
        <v>-7.8289426381780089E-2</v>
      </c>
      <c r="P18">
        <f t="shared" si="4"/>
        <v>-0.15025325880766602</v>
      </c>
      <c r="Q18">
        <f t="shared" si="4"/>
        <v>-0.2733424827828026</v>
      </c>
    </row>
    <row r="19" spans="3:17" x14ac:dyDescent="0.2">
      <c r="C19" s="7"/>
      <c r="D19">
        <f>0.5*Foglio1!E21+0.5*Foglio1!I21</f>
        <v>-1.6258580801759855E-2</v>
      </c>
      <c r="F19" s="63">
        <v>13</v>
      </c>
      <c r="G19">
        <f t="shared" si="0"/>
        <v>-0.10528024998911756</v>
      </c>
      <c r="H19">
        <f t="shared" si="0"/>
        <v>-0.15527885789621745</v>
      </c>
      <c r="I19">
        <f t="shared" si="0"/>
        <v>-0.24391801091462822</v>
      </c>
      <c r="K19">
        <f t="shared" si="1"/>
        <v>-0.17185191606347497</v>
      </c>
      <c r="L19">
        <f t="shared" si="2"/>
        <v>-0.24826600696498749</v>
      </c>
      <c r="M19">
        <f t="shared" si="2"/>
        <v>-0.47443746636487893</v>
      </c>
      <c r="O19">
        <f t="shared" si="3"/>
        <v>-8.1770638983938673E-2</v>
      </c>
      <c r="P19">
        <f t="shared" si="4"/>
        <v>-0.15638855008445179</v>
      </c>
      <c r="Q19">
        <f t="shared" si="4"/>
        <v>-0.28450387630930851</v>
      </c>
    </row>
    <row r="20" spans="3:17" x14ac:dyDescent="0.2">
      <c r="C20" s="7"/>
      <c r="D20">
        <f>0.5*Foglio1!E22+0.5*Foglio1!I22</f>
        <v>-6.7942014925808474E-3</v>
      </c>
      <c r="F20" s="63">
        <v>14</v>
      </c>
      <c r="G20">
        <f t="shared" si="0"/>
        <v>-0.10925447870728061</v>
      </c>
      <c r="H20">
        <f t="shared" si="0"/>
        <v>-0.16114048623048241</v>
      </c>
      <c r="I20">
        <f t="shared" si="0"/>
        <v>-0.25312568247652445</v>
      </c>
      <c r="K20">
        <f t="shared" si="1"/>
        <v>-0.17886914530622178</v>
      </c>
      <c r="L20">
        <f t="shared" si="2"/>
        <v>-0.25763781121816803</v>
      </c>
      <c r="M20">
        <f t="shared" si="2"/>
        <v>-0.49234702683794695</v>
      </c>
      <c r="O20">
        <f t="shared" si="3"/>
        <v>-8.5109579463742507E-2</v>
      </c>
      <c r="P20">
        <f t="shared" si="4"/>
        <v>-0.1622920682372084</v>
      </c>
      <c r="Q20">
        <f t="shared" si="4"/>
        <v>-0.29524362546239313</v>
      </c>
    </row>
    <row r="21" spans="3:17" x14ac:dyDescent="0.2">
      <c r="C21" s="7"/>
      <c r="D21">
        <f>0.5*Foglio1!E23+0.5*Foglio1!I23</f>
        <v>3.7032609311462867E-4</v>
      </c>
      <c r="F21" s="63">
        <v>15</v>
      </c>
      <c r="G21">
        <f t="shared" si="0"/>
        <v>-0.11308912943969539</v>
      </c>
      <c r="H21">
        <f t="shared" si="0"/>
        <v>-0.16679624964500514</v>
      </c>
      <c r="I21">
        <f t="shared" si="0"/>
        <v>-0.26200997349311705</v>
      </c>
      <c r="K21">
        <f t="shared" si="1"/>
        <v>-0.18562128442198894</v>
      </c>
      <c r="L21">
        <f t="shared" si="2"/>
        <v>-0.2666804704590075</v>
      </c>
      <c r="M21">
        <f t="shared" si="2"/>
        <v>-0.50962758969820943</v>
      </c>
      <c r="O21">
        <f t="shared" si="3"/>
        <v>-8.8322384666337961E-2</v>
      </c>
      <c r="P21">
        <f t="shared" si="4"/>
        <v>-0.1679882502674051</v>
      </c>
      <c r="Q21">
        <f t="shared" si="4"/>
        <v>-0.30560618632045633</v>
      </c>
    </row>
    <row r="22" spans="3:17" x14ac:dyDescent="0.2">
      <c r="C22" s="7"/>
      <c r="D22">
        <f>0.5*Foglio1!E24+0.5*Foglio1!I24</f>
        <v>1.4242618010648616E-2</v>
      </c>
      <c r="F22" s="63">
        <v>16</v>
      </c>
      <c r="G22">
        <f t="shared" si="0"/>
        <v>-0.11679795065520937</v>
      </c>
      <c r="H22">
        <f t="shared" si="0"/>
        <v>-0.17226642588932259</v>
      </c>
      <c r="I22">
        <f t="shared" si="0"/>
        <v>-0.27060273703442372</v>
      </c>
      <c r="K22">
        <f t="shared" si="1"/>
        <v>-0.19213628319075904</v>
      </c>
      <c r="L22">
        <f t="shared" si="2"/>
        <v>-0.27542640555906533</v>
      </c>
      <c r="M22">
        <f t="shared" si="2"/>
        <v>-0.52634111137839779</v>
      </c>
      <c r="O22">
        <f t="shared" si="3"/>
        <v>-9.1422353665840617E-2</v>
      </c>
      <c r="P22">
        <f t="shared" si="4"/>
        <v>-0.17349751883844897</v>
      </c>
      <c r="Q22">
        <f t="shared" si="4"/>
        <v>-0.3156287120312235</v>
      </c>
    </row>
    <row r="23" spans="3:17" x14ac:dyDescent="0.2">
      <c r="C23" s="7"/>
      <c r="D23">
        <f>0.5*Foglio1!E25+0.5*Foglio1!I25</f>
        <v>2.3849982357420241E-3</v>
      </c>
      <c r="F23" s="63">
        <v>17</v>
      </c>
      <c r="G23">
        <f t="shared" si="0"/>
        <v>-0.12039257185177692</v>
      </c>
      <c r="H23">
        <f t="shared" si="0"/>
        <v>-0.17756816742232845</v>
      </c>
      <c r="I23">
        <f t="shared" si="0"/>
        <v>-0.27893091684354221</v>
      </c>
      <c r="K23">
        <f t="shared" si="1"/>
        <v>-0.19843750000000049</v>
      </c>
      <c r="L23">
        <f t="shared" si="2"/>
        <v>-0.28390304055105842</v>
      </c>
      <c r="M23">
        <f t="shared" si="2"/>
        <v>-0.5425399993295309</v>
      </c>
      <c r="O23">
        <f t="shared" si="3"/>
        <v>-9.4420600858369411E-2</v>
      </c>
      <c r="P23">
        <f t="shared" si="4"/>
        <v>-0.17883714898837874</v>
      </c>
      <c r="Q23">
        <f t="shared" si="4"/>
        <v>-0.32534262954559856</v>
      </c>
    </row>
    <row r="24" spans="3:17" x14ac:dyDescent="0.2">
      <c r="C24" s="7"/>
      <c r="D24">
        <f>0.5*Foglio1!E26+0.5*Foglio1!I26</f>
        <v>-2.571766909641671E-2</v>
      </c>
      <c r="F24" s="63">
        <v>18</v>
      </c>
      <c r="G24">
        <f t="shared" si="0"/>
        <v>-0.12388293440548545</v>
      </c>
      <c r="H24">
        <f t="shared" si="0"/>
        <v>-0.18271613687566474</v>
      </c>
      <c r="I24">
        <f t="shared" si="0"/>
        <v>-0.28701754554702164</v>
      </c>
      <c r="K24">
        <f t="shared" si="1"/>
        <v>-0.20454469314587664</v>
      </c>
      <c r="L24">
        <f t="shared" si="2"/>
        <v>-0.29213381863297694</v>
      </c>
      <c r="M24">
        <f t="shared" si="2"/>
        <v>-0.55826905360939338</v>
      </c>
      <c r="O24">
        <f t="shared" si="3"/>
        <v>-9.7326527643335659E-2</v>
      </c>
      <c r="P24">
        <f t="shared" si="4"/>
        <v>-0.18402190813456204</v>
      </c>
      <c r="Q24">
        <f t="shared" si="4"/>
        <v>-0.33477480392168124</v>
      </c>
    </row>
    <row r="25" spans="3:17" x14ac:dyDescent="0.2">
      <c r="C25" s="7"/>
      <c r="D25">
        <f>0.5*Foglio1!E27+0.5*Foglio1!I27</f>
        <v>-1.4245584271697724E-2</v>
      </c>
      <c r="F25" s="63">
        <v>19</v>
      </c>
      <c r="G25">
        <f t="shared" si="0"/>
        <v>-0.12727761592967698</v>
      </c>
      <c r="H25">
        <f t="shared" si="0"/>
        <v>-0.187722985454124</v>
      </c>
      <c r="I25">
        <f t="shared" si="0"/>
        <v>-0.29488249614464107</v>
      </c>
      <c r="K25">
        <f t="shared" si="1"/>
        <v>-0.21047475283755879</v>
      </c>
      <c r="L25">
        <f t="shared" si="2"/>
        <v>-0.30013896705365378</v>
      </c>
      <c r="M25">
        <f t="shared" si="2"/>
        <v>-0.5735669285823306</v>
      </c>
      <c r="O25">
        <f t="shared" si="3"/>
        <v>-0.10014817072599203</v>
      </c>
      <c r="P25">
        <f t="shared" si="4"/>
        <v>-0.18906453789296085</v>
      </c>
      <c r="Q25">
        <f t="shared" si="4"/>
        <v>-0.34394841485600092</v>
      </c>
    </row>
    <row r="26" spans="3:17" x14ac:dyDescent="0.2">
      <c r="C26" s="7"/>
      <c r="D26">
        <f>0.5*Foglio1!E28+0.5*Foglio1!I28</f>
        <v>4.0577737026849227E-2</v>
      </c>
      <c r="F26" s="63">
        <v>20</v>
      </c>
      <c r="G26">
        <f t="shared" si="0"/>
        <v>-0.13058407864885713</v>
      </c>
      <c r="H26">
        <f t="shared" si="0"/>
        <v>-0.19259971926472749</v>
      </c>
      <c r="I26">
        <f t="shared" si="0"/>
        <v>-0.30254305745323568</v>
      </c>
      <c r="K26">
        <f t="shared" si="1"/>
        <v>-0.21624225227721366</v>
      </c>
      <c r="L26">
        <f t="shared" si="2"/>
        <v>-0.30793608281424806</v>
      </c>
      <c r="M26">
        <f t="shared" si="2"/>
        <v>-0.58846725219744278</v>
      </c>
      <c r="O26">
        <f t="shared" si="3"/>
        <v>-0.10289246433250553</v>
      </c>
      <c r="P26">
        <f t="shared" si="4"/>
        <v>-0.19397612302516112</v>
      </c>
      <c r="Q26">
        <f t="shared" si="4"/>
        <v>-0.35288362787626076</v>
      </c>
    </row>
    <row r="27" spans="3:17" x14ac:dyDescent="0.2">
      <c r="C27" s="7"/>
      <c r="D27">
        <f>0.5*Foglio1!E29+0.5*Foglio1!I29</f>
        <v>-2.3893831661907686E-2</v>
      </c>
      <c r="F27" s="63">
        <v>21</v>
      </c>
      <c r="G27">
        <f t="shared" si="0"/>
        <v>-0.13380886247330348</v>
      </c>
      <c r="H27">
        <f t="shared" si="0"/>
        <v>-0.19735598408433028</v>
      </c>
      <c r="I27">
        <f t="shared" si="0"/>
        <v>-0.31001438143061916</v>
      </c>
      <c r="K27">
        <f t="shared" si="1"/>
        <v>-0.22185986964255783</v>
      </c>
      <c r="L27">
        <f t="shared" si="2"/>
        <v>-0.3155405879660057</v>
      </c>
      <c r="M27">
        <f t="shared" si="2"/>
        <v>-0.60299949606467262</v>
      </c>
      <c r="O27">
        <f t="shared" si="3"/>
        <v>-0.1055654409978445</v>
      </c>
      <c r="P27">
        <f t="shared" si="4"/>
        <v>-0.19876637824105481</v>
      </c>
      <c r="Q27">
        <f t="shared" si="4"/>
        <v>-0.36159811609612519</v>
      </c>
    </row>
    <row r="28" spans="3:17" x14ac:dyDescent="0.2">
      <c r="C28" s="8"/>
      <c r="D28">
        <f>0.5*Foglio1!E30+0.5*Foglio1!I30</f>
        <v>5.2689811589072787E-3</v>
      </c>
      <c r="F28" s="63">
        <v>22</v>
      </c>
      <c r="G28">
        <f t="shared" ref="G28:I47" si="5">G$7*SQRT($F28)</f>
        <v>-0.13695773711706832</v>
      </c>
      <c r="H28">
        <f t="shared" si="5"/>
        <v>-0.20200028971993339</v>
      </c>
      <c r="I28">
        <f t="shared" si="5"/>
        <v>-0.31730983560940407</v>
      </c>
      <c r="K28">
        <f t="shared" si="1"/>
        <v>-0.22733871611695042</v>
      </c>
      <c r="L28">
        <f t="shared" ref="L28:M47" si="6">L$7*SQRT($F28)</f>
        <v>-0.32296608832643986</v>
      </c>
      <c r="M28">
        <f t="shared" si="6"/>
        <v>-0.61718966096305405</v>
      </c>
      <c r="O28">
        <f t="shared" si="3"/>
        <v>-0.10817238764917254</v>
      </c>
      <c r="P28">
        <f t="shared" ref="P28:Q47" si="7">P$7*SQRT($F28)</f>
        <v>-0.20344387416253085</v>
      </c>
      <c r="Q28">
        <f t="shared" si="7"/>
        <v>-0.37010747129100541</v>
      </c>
    </row>
    <row r="29" spans="3:17" x14ac:dyDescent="0.2">
      <c r="C29" s="8"/>
      <c r="D29">
        <f>0.5*Foglio1!E31+0.5*Foglio1!I31</f>
        <v>-2.0781676988143039E-2</v>
      </c>
      <c r="F29" s="63">
        <v>23</v>
      </c>
      <c r="G29">
        <f t="shared" si="5"/>
        <v>-0.14003582340264414</v>
      </c>
      <c r="H29">
        <f t="shared" si="5"/>
        <v>-0.2065401889221069</v>
      </c>
      <c r="I29">
        <f t="shared" si="5"/>
        <v>-0.32444128414109785</v>
      </c>
      <c r="K29">
        <f t="shared" si="1"/>
        <v>-0.23268859433499103</v>
      </c>
      <c r="L29">
        <f t="shared" si="6"/>
        <v>-0.33022465953321978</v>
      </c>
      <c r="M29">
        <f t="shared" si="6"/>
        <v>-0.63106082349099279</v>
      </c>
      <c r="O29">
        <f t="shared" si="3"/>
        <v>-0.11071796857952339</v>
      </c>
      <c r="P29">
        <f t="shared" si="7"/>
        <v>-0.20801621751549398</v>
      </c>
      <c r="Q29">
        <f t="shared" si="7"/>
        <v>-0.37842553170548354</v>
      </c>
    </row>
    <row r="30" spans="3:17" x14ac:dyDescent="0.2">
      <c r="C30" s="8"/>
      <c r="D30">
        <f>0.5*Foglio1!E32+0.5*Foglio1!I32</f>
        <v>-1.3628810294369104E-2</v>
      </c>
      <c r="F30" s="63">
        <v>24</v>
      </c>
      <c r="G30">
        <f t="shared" si="5"/>
        <v>-0.14304769105401555</v>
      </c>
      <c r="H30">
        <f t="shared" si="5"/>
        <v>-0.21098242162090708</v>
      </c>
      <c r="I30">
        <f t="shared" si="5"/>
        <v>-0.33141931436743727</v>
      </c>
      <c r="K30">
        <f t="shared" si="1"/>
        <v>-0.2379182044768425</v>
      </c>
      <c r="L30">
        <f t="shared" si="6"/>
        <v>-0.3373270776542851</v>
      </c>
      <c r="M30">
        <f t="shared" si="6"/>
        <v>-0.64463357676324173</v>
      </c>
      <c r="O30">
        <f t="shared" si="3"/>
        <v>-0.11320632351167401</v>
      </c>
      <c r="P30">
        <f t="shared" si="7"/>
        <v>-0.21249019639655595</v>
      </c>
      <c r="Q30">
        <f t="shared" si="7"/>
        <v>-0.3865646463241737</v>
      </c>
    </row>
    <row r="31" spans="3:17" x14ac:dyDescent="0.2">
      <c r="C31" s="8"/>
      <c r="D31">
        <f>0.5*Foglio1!E33+0.5*Foglio1!I33</f>
        <v>2.9123957963516606E-2</v>
      </c>
      <c r="F31" s="63">
        <v>25</v>
      </c>
      <c r="G31">
        <f t="shared" si="5"/>
        <v>-0.14599743831901171</v>
      </c>
      <c r="H31">
        <f t="shared" si="5"/>
        <v>-0.21533303236165324</v>
      </c>
      <c r="I31">
        <f t="shared" si="5"/>
        <v>-0.33825342129302965</v>
      </c>
      <c r="K31">
        <f t="shared" si="1"/>
        <v>-0.24303531041676904</v>
      </c>
      <c r="L31">
        <f t="shared" si="6"/>
        <v>-0.34428300694883168</v>
      </c>
      <c r="M31">
        <f t="shared" si="6"/>
        <v>-0.65792638922299718</v>
      </c>
      <c r="O31">
        <f t="shared" si="3"/>
        <v>-0.11564114665500019</v>
      </c>
      <c r="P31">
        <f t="shared" si="7"/>
        <v>-0.21687189854806121</v>
      </c>
      <c r="Q31">
        <f t="shared" si="7"/>
        <v>-0.39453589003902939</v>
      </c>
    </row>
    <row r="32" spans="3:17" x14ac:dyDescent="0.2">
      <c r="C32" s="8"/>
      <c r="D32">
        <f>0.5*Foglio1!E34+0.5*Foglio1!I34</f>
        <v>3.1314201099294572E-3</v>
      </c>
      <c r="F32" s="63">
        <v>26</v>
      </c>
      <c r="G32">
        <f t="shared" si="5"/>
        <v>-0.14888875738463994</v>
      </c>
      <c r="H32">
        <f t="shared" si="5"/>
        <v>-0.21959746678663528</v>
      </c>
      <c r="I32">
        <f t="shared" si="5"/>
        <v>-0.34495215914253585</v>
      </c>
      <c r="K32">
        <f t="shared" si="1"/>
        <v>-0.24804687500000061</v>
      </c>
      <c r="L32">
        <f t="shared" si="6"/>
        <v>-0.3511011541260986</v>
      </c>
      <c r="M32">
        <f t="shared" si="6"/>
        <v>-0.67095589943114087</v>
      </c>
      <c r="O32">
        <f t="shared" si="3"/>
        <v>-0.11802575107296176</v>
      </c>
      <c r="P32">
        <f t="shared" si="7"/>
        <v>-0.22116680852929577</v>
      </c>
      <c r="Q32">
        <f t="shared" si="7"/>
        <v>-0.40234924042434156</v>
      </c>
    </row>
    <row r="33" spans="3:17" x14ac:dyDescent="0.2">
      <c r="C33" s="8"/>
      <c r="D33">
        <f>0.5*Foglio1!E35+0.5*Foglio1!I35</f>
        <v>-2.1361702331324853E-2</v>
      </c>
      <c r="F33" s="63">
        <v>27</v>
      </c>
      <c r="G33">
        <f t="shared" si="5"/>
        <v>-0.15172498856605895</v>
      </c>
      <c r="H33">
        <f t="shared" si="5"/>
        <v>-0.22378065155895402</v>
      </c>
      <c r="I33">
        <f t="shared" si="5"/>
        <v>-0.35152326690811664</v>
      </c>
      <c r="K33">
        <f t="shared" si="1"/>
        <v>-0.25295917118214267</v>
      </c>
      <c r="L33">
        <f t="shared" si="6"/>
        <v>-0.3577893961307792</v>
      </c>
      <c r="M33">
        <f t="shared" si="6"/>
        <v>-0.68373716026474074</v>
      </c>
      <c r="O33">
        <f t="shared" si="3"/>
        <v>-0.12036312156549531</v>
      </c>
      <c r="P33">
        <f t="shared" si="7"/>
        <v>-0.22537988821149904</v>
      </c>
      <c r="Q33">
        <f t="shared" si="7"/>
        <v>-0.41001372417420395</v>
      </c>
    </row>
    <row r="34" spans="3:17" x14ac:dyDescent="0.2">
      <c r="C34" s="8"/>
      <c r="D34">
        <f>0.5*Foglio1!E36+0.5*Foglio1!I36</f>
        <v>2.6421818895281592E-2</v>
      </c>
      <c r="F34" s="63">
        <v>28</v>
      </c>
      <c r="G34">
        <f t="shared" si="5"/>
        <v>-0.15450916553783878</v>
      </c>
      <c r="H34">
        <f t="shared" si="5"/>
        <v>-0.22788706107454321</v>
      </c>
      <c r="I34">
        <f t="shared" si="5"/>
        <v>-0.35797377314324663</v>
      </c>
      <c r="K34">
        <f t="shared" si="1"/>
        <v>-0.25777787409521247</v>
      </c>
      <c r="L34">
        <f t="shared" si="6"/>
        <v>-0.3643548868048524</v>
      </c>
      <c r="M34">
        <f t="shared" si="6"/>
        <v>-0.6962838427482948</v>
      </c>
      <c r="O34">
        <f t="shared" si="3"/>
        <v>-0.12265595847590803</v>
      </c>
      <c r="P34">
        <f t="shared" si="7"/>
        <v>-0.22951564396663993</v>
      </c>
      <c r="Q34">
        <f t="shared" si="7"/>
        <v>-0.41753753933311888</v>
      </c>
    </row>
    <row r="35" spans="3:17" x14ac:dyDescent="0.2">
      <c r="C35" s="8"/>
      <c r="D35">
        <f>0.5*Foglio1!E37+0.5*Foglio1!I37</f>
        <v>4.8115250082749082E-3</v>
      </c>
      <c r="F35" s="63">
        <v>29</v>
      </c>
      <c r="G35">
        <f t="shared" si="5"/>
        <v>-0.15724405335346647</v>
      </c>
      <c r="H35">
        <f t="shared" si="5"/>
        <v>-0.23192077353750604</v>
      </c>
      <c r="I35">
        <f t="shared" si="5"/>
        <v>-0.36431008404801279</v>
      </c>
      <c r="K35">
        <f t="shared" si="1"/>
        <v>-0.26250813789469052</v>
      </c>
      <c r="L35">
        <f t="shared" si="6"/>
        <v>-0.37080414654305843</v>
      </c>
      <c r="M35">
        <f t="shared" si="6"/>
        <v>-0.70860840738575248</v>
      </c>
      <c r="O35">
        <f t="shared" si="3"/>
        <v>-0.12490671425626865</v>
      </c>
      <c r="P35">
        <f t="shared" si="7"/>
        <v>-0.23357818314349274</v>
      </c>
      <c r="Q35">
        <f t="shared" si="7"/>
        <v>-0.42492815803793388</v>
      </c>
    </row>
    <row r="36" spans="3:17" x14ac:dyDescent="0.2">
      <c r="C36" s="8"/>
      <c r="D36">
        <f>0.5*Foglio1!E38+0.5*Foglio1!I38</f>
        <v>-5.1960413661433077E-3</v>
      </c>
      <c r="F36" s="63">
        <v>30</v>
      </c>
      <c r="G36">
        <f t="shared" si="5"/>
        <v>-0.15993218061058367</v>
      </c>
      <c r="H36">
        <f t="shared" si="5"/>
        <v>-0.23588551840093483</v>
      </c>
      <c r="I36">
        <f t="shared" si="5"/>
        <v>-0.37053805799098122</v>
      </c>
      <c r="K36">
        <f t="shared" si="1"/>
        <v>-0.26715466035393892</v>
      </c>
      <c r="L36">
        <f t="shared" si="6"/>
        <v>-0.37714313814316591</v>
      </c>
      <c r="M36">
        <f t="shared" si="6"/>
        <v>-0.7207222491107188</v>
      </c>
      <c r="O36">
        <f t="shared" si="3"/>
        <v>-0.12711762420274622</v>
      </c>
      <c r="P36">
        <f t="shared" si="7"/>
        <v>-0.23757126184749003</v>
      </c>
      <c r="Q36">
        <f t="shared" si="7"/>
        <v>-0.43219241343950832</v>
      </c>
    </row>
    <row r="37" spans="3:17" x14ac:dyDescent="0.2">
      <c r="C37" s="7"/>
      <c r="D37">
        <f>0.5*Foglio1!E39+0.5*Foglio1!I39</f>
        <v>1.6264855134513166E-3</v>
      </c>
      <c r="F37" s="63">
        <v>31</v>
      </c>
      <c r="G37">
        <f t="shared" si="5"/>
        <v>-0.16257586682741351</v>
      </c>
      <c r="H37">
        <f t="shared" si="5"/>
        <v>-0.23978471674466734</v>
      </c>
      <c r="I37">
        <f t="shared" si="5"/>
        <v>-0.376663068936132</v>
      </c>
      <c r="K37">
        <f t="shared" si="1"/>
        <v>-0.2717217375123292</v>
      </c>
      <c r="L37">
        <f t="shared" si="6"/>
        <v>-0.38337733136353314</v>
      </c>
      <c r="M37">
        <f t="shared" si="6"/>
        <v>-0.73263582065624755</v>
      </c>
      <c r="O37">
        <f t="shared" si="3"/>
        <v>-0.12929073245830144</v>
      </c>
      <c r="P37">
        <f t="shared" si="7"/>
        <v>-0.24149832560703663</v>
      </c>
      <c r="Q37">
        <f t="shared" si="7"/>
        <v>-0.43933657368334639</v>
      </c>
    </row>
    <row r="38" spans="3:17" x14ac:dyDescent="0.2">
      <c r="C38" s="7"/>
      <c r="D38">
        <f>0.5*Foglio1!E40+0.5*Foglio1!I40</f>
        <v>2.9897706747795735E-2</v>
      </c>
      <c r="F38" s="63">
        <v>32</v>
      </c>
      <c r="G38">
        <f t="shared" si="5"/>
        <v>-0.16517724587398064</v>
      </c>
      <c r="H38">
        <f t="shared" si="5"/>
        <v>-0.24362151583421968</v>
      </c>
      <c r="I38">
        <f t="shared" si="5"/>
        <v>-0.38269006072936224</v>
      </c>
      <c r="K38">
        <f t="shared" si="1"/>
        <v>-0.2762133101872713</v>
      </c>
      <c r="L38">
        <f t="shared" si="6"/>
        <v>-0.38951175817730266</v>
      </c>
      <c r="M38">
        <f t="shared" si="6"/>
        <v>-0.74435873814585796</v>
      </c>
      <c r="O38">
        <f t="shared" si="3"/>
        <v>-0.13142791414405675</v>
      </c>
      <c r="P38">
        <f t="shared" si="7"/>
        <v>-0.24536254417941611</v>
      </c>
      <c r="Q38">
        <f t="shared" si="7"/>
        <v>-0.44636640522890836</v>
      </c>
    </row>
    <row r="39" spans="3:17" x14ac:dyDescent="0.2">
      <c r="C39" s="7"/>
      <c r="D39">
        <f>0.5*Foglio1!E41+0.5*Foglio1!I41</f>
        <v>-2.6011092408270514E-2</v>
      </c>
      <c r="F39" s="63">
        <v>33</v>
      </c>
      <c r="G39">
        <f t="shared" si="5"/>
        <v>-0.16773828613152691</v>
      </c>
      <c r="H39">
        <f t="shared" si="5"/>
        <v>-0.24739881885410353</v>
      </c>
      <c r="I39">
        <f t="shared" si="5"/>
        <v>-0.38862359380472583</v>
      </c>
      <c r="K39">
        <f t="shared" si="1"/>
        <v>-0.28063300378341177</v>
      </c>
      <c r="L39">
        <f t="shared" si="6"/>
        <v>-0.39555106031121018</v>
      </c>
      <c r="M39">
        <f t="shared" si="6"/>
        <v>-0.75589987194041397</v>
      </c>
      <c r="O39">
        <f t="shared" si="3"/>
        <v>-0.13353089430132273</v>
      </c>
      <c r="P39">
        <f t="shared" si="7"/>
        <v>-0.24916684149659546</v>
      </c>
      <c r="Q39">
        <f t="shared" si="7"/>
        <v>-0.45328722732736865</v>
      </c>
    </row>
    <row r="40" spans="3:17" x14ac:dyDescent="0.2">
      <c r="C40" s="7"/>
      <c r="D40">
        <f>0.5*Foglio1!E42+0.5*Foglio1!I42</f>
        <v>-9.2959797434871757E-3</v>
      </c>
      <c r="F40" s="63">
        <v>34</v>
      </c>
      <c r="G40">
        <f t="shared" si="5"/>
        <v>-0.17026080792176027</v>
      </c>
      <c r="H40">
        <f t="shared" si="5"/>
        <v>-0.2511193106143933</v>
      </c>
      <c r="I40">
        <f t="shared" si="5"/>
        <v>-0.39446788556529944</v>
      </c>
      <c r="K40">
        <f t="shared" ref="K40:K71" si="8">K$7*SQRT($F39)</f>
        <v>-0.28498416254309822</v>
      </c>
      <c r="L40">
        <f t="shared" si="6"/>
        <v>-0.40149953034626557</v>
      </c>
      <c r="M40">
        <f t="shared" si="6"/>
        <v>-0.76726742518171254</v>
      </c>
      <c r="O40">
        <f t="shared" ref="O40:O71" si="9">O$7*SQRT($F39)</f>
        <v>-0.13560126418866636</v>
      </c>
      <c r="P40">
        <f t="shared" si="7"/>
        <v>-0.25291392155550307</v>
      </c>
      <c r="Q40">
        <f t="shared" si="7"/>
        <v>-0.46010395912151109</v>
      </c>
    </row>
    <row r="41" spans="3:17" x14ac:dyDescent="0.2">
      <c r="C41" s="7"/>
      <c r="D41">
        <f>0.5*Foglio1!E43+0.5*Foglio1!I43</f>
        <v>-2.5927490548471738E-2</v>
      </c>
      <c r="F41" s="63">
        <v>35</v>
      </c>
      <c r="G41">
        <f t="shared" si="5"/>
        <v>-0.17274649864468769</v>
      </c>
      <c r="H41">
        <f t="shared" si="5"/>
        <v>-0.25478547987766242</v>
      </c>
      <c r="I41">
        <f t="shared" si="5"/>
        <v>-0.40022684545519399</v>
      </c>
      <c r="K41">
        <f t="shared" si="8"/>
        <v>-0.28926987915834179</v>
      </c>
      <c r="L41">
        <f t="shared" si="6"/>
        <v>-0.40736114741494556</v>
      </c>
      <c r="M41">
        <f t="shared" si="6"/>
        <v>-0.77846900200998059</v>
      </c>
      <c r="O41">
        <f t="shared" si="9"/>
        <v>-0.13764049537188525</v>
      </c>
      <c r="P41">
        <f t="shared" si="7"/>
        <v>-0.25660629090452319</v>
      </c>
      <c r="Q41">
        <f t="shared" si="7"/>
        <v>-0.46682116055342299</v>
      </c>
    </row>
    <row r="42" spans="3:17" x14ac:dyDescent="0.2">
      <c r="C42" s="7"/>
      <c r="D42">
        <f>0.5*Foglio1!E44+0.5*Foglio1!I44</f>
        <v>7.5662735579067201E-3</v>
      </c>
      <c r="F42" s="63">
        <v>36</v>
      </c>
      <c r="G42">
        <f t="shared" si="5"/>
        <v>-0.17519692598281406</v>
      </c>
      <c r="H42">
        <f t="shared" si="5"/>
        <v>-0.25839963883398387</v>
      </c>
      <c r="I42">
        <f t="shared" si="5"/>
        <v>-0.40590410555163559</v>
      </c>
      <c r="K42">
        <f t="shared" si="8"/>
        <v>-0.29349302048970827</v>
      </c>
      <c r="L42">
        <f t="shared" si="6"/>
        <v>-0.41313960833859797</v>
      </c>
      <c r="M42">
        <f t="shared" si="6"/>
        <v>-0.78951166706759668</v>
      </c>
      <c r="O42">
        <f t="shared" si="9"/>
        <v>-0.13964995196157939</v>
      </c>
      <c r="P42">
        <f t="shared" si="7"/>
        <v>-0.26024627825767344</v>
      </c>
      <c r="Q42">
        <f t="shared" si="7"/>
        <v>-0.47344306804683522</v>
      </c>
    </row>
    <row r="43" spans="3:17" x14ac:dyDescent="0.2">
      <c r="C43" s="7"/>
      <c r="D43">
        <f>0.5*Foglio1!E45+0.5*Foglio1!I45</f>
        <v>4.8838497232499875E-2</v>
      </c>
      <c r="F43" s="63">
        <v>37</v>
      </c>
      <c r="G43">
        <f t="shared" si="5"/>
        <v>-0.17761354946528199</v>
      </c>
      <c r="H43">
        <f t="shared" si="5"/>
        <v>-0.26196394015699165</v>
      </c>
      <c r="I43">
        <f t="shared" si="5"/>
        <v>-0.41150304735728371</v>
      </c>
      <c r="K43">
        <f t="shared" si="8"/>
        <v>-0.29765625000000073</v>
      </c>
      <c r="L43">
        <f t="shared" si="6"/>
        <v>-0.41883835489735094</v>
      </c>
      <c r="M43">
        <f t="shared" si="6"/>
        <v>-0.80040199761200992</v>
      </c>
      <c r="O43">
        <f t="shared" si="9"/>
        <v>-0.14163090128755412</v>
      </c>
      <c r="P43">
        <f t="shared" si="7"/>
        <v>-0.26383605167255669</v>
      </c>
      <c r="Q43">
        <f t="shared" si="7"/>
        <v>-0.47997362575745328</v>
      </c>
    </row>
    <row r="44" spans="3:17" x14ac:dyDescent="0.2">
      <c r="C44" s="7"/>
      <c r="D44">
        <f>0.5*Foglio1!E46+0.5*Foglio1!I46</f>
        <v>-6.7650684258605931E-2</v>
      </c>
      <c r="F44" s="63">
        <v>38</v>
      </c>
      <c r="G44">
        <f t="shared" si="5"/>
        <v>-0.17999773063426303</v>
      </c>
      <c r="H44">
        <f t="shared" si="5"/>
        <v>-0.26548039199838935</v>
      </c>
      <c r="I44">
        <f t="shared" si="5"/>
        <v>-0.41702682535418328</v>
      </c>
      <c r="K44">
        <f t="shared" si="8"/>
        <v>-0.30176204740151397</v>
      </c>
      <c r="L44">
        <f t="shared" si="6"/>
        <v>-0.42446059780392864</v>
      </c>
      <c r="M44">
        <f t="shared" si="6"/>
        <v>-0.81114612932981223</v>
      </c>
      <c r="O44">
        <f t="shared" si="9"/>
        <v>-0.14358452324738333</v>
      </c>
      <c r="P44">
        <f t="shared" si="7"/>
        <v>-0.2673776336520271</v>
      </c>
      <c r="Q44">
        <f t="shared" si="7"/>
        <v>-0.48641651304608419</v>
      </c>
    </row>
    <row r="45" spans="3:17" x14ac:dyDescent="0.2">
      <c r="C45" s="7"/>
      <c r="D45">
        <f>0.5*Foglio1!E47+0.5*Foglio1!I47</f>
        <v>-1.8018315496445274E-2</v>
      </c>
      <c r="F45" s="63">
        <v>39</v>
      </c>
      <c r="G45">
        <f t="shared" si="5"/>
        <v>-0.18235074201470436</v>
      </c>
      <c r="H45">
        <f t="shared" si="5"/>
        <v>-0.26895087121751637</v>
      </c>
      <c r="I45">
        <f t="shared" si="5"/>
        <v>-0.42247838778527608</v>
      </c>
      <c r="K45">
        <f t="shared" si="8"/>
        <v>-0.30581272592853981</v>
      </c>
      <c r="L45">
        <f t="shared" si="6"/>
        <v>-0.43000933785560713</v>
      </c>
      <c r="M45">
        <f t="shared" si="6"/>
        <v>-0.82174979675822069</v>
      </c>
      <c r="O45">
        <f t="shared" si="9"/>
        <v>-0.14551191852501924</v>
      </c>
      <c r="P45">
        <f t="shared" si="7"/>
        <v>-0.27087291446830053</v>
      </c>
      <c r="Q45">
        <f t="shared" si="7"/>
        <v>-0.4927751687180138</v>
      </c>
    </row>
    <row r="46" spans="3:17" x14ac:dyDescent="0.2">
      <c r="C46" s="7"/>
      <c r="D46">
        <f>0.5*Foglio1!E48+0.5*Foglio1!I48</f>
        <v>-3.6917577433335114E-3</v>
      </c>
      <c r="F46" s="63">
        <v>40</v>
      </c>
      <c r="G46">
        <f t="shared" si="5"/>
        <v>-0.18467377505520866</v>
      </c>
      <c r="H46">
        <f t="shared" si="5"/>
        <v>-0.27237713509342831</v>
      </c>
      <c r="I46">
        <f t="shared" si="5"/>
        <v>-0.42786049505218837</v>
      </c>
      <c r="K46">
        <f t="shared" si="8"/>
        <v>-0.30981044757679632</v>
      </c>
      <c r="L46">
        <f t="shared" si="6"/>
        <v>-0.43548738465995412</v>
      </c>
      <c r="M46">
        <f t="shared" si="6"/>
        <v>-0.83221836907005209</v>
      </c>
      <c r="O46">
        <f t="shared" si="9"/>
        <v>-0.14741411584202277</v>
      </c>
      <c r="P46">
        <f t="shared" si="7"/>
        <v>-0.27432366395873486</v>
      </c>
      <c r="Q46">
        <f t="shared" si="7"/>
        <v>-0.49905281248202837</v>
      </c>
    </row>
    <row r="47" spans="3:17" x14ac:dyDescent="0.2">
      <c r="C47" s="7"/>
      <c r="D47">
        <f>0.5*Foglio1!E49+0.5*Foglio1!I49</f>
        <v>-4.3066606472330647E-2</v>
      </c>
      <c r="F47" s="63">
        <v>41</v>
      </c>
      <c r="G47">
        <f t="shared" si="5"/>
        <v>-0.18696794718071424</v>
      </c>
      <c r="H47">
        <f t="shared" si="5"/>
        <v>-0.27576083172696275</v>
      </c>
      <c r="I47">
        <f t="shared" si="5"/>
        <v>-0.43317573605519649</v>
      </c>
      <c r="K47">
        <f t="shared" si="8"/>
        <v>-0.31375723659483218</v>
      </c>
      <c r="L47">
        <f t="shared" si="6"/>
        <v>-0.44089737326606515</v>
      </c>
      <c r="M47">
        <f t="shared" si="6"/>
        <v>-0.84255688185609035</v>
      </c>
      <c r="O47">
        <f t="shared" si="9"/>
        <v>-0.14929207837704844</v>
      </c>
      <c r="P47">
        <f t="shared" si="7"/>
        <v>-0.27773154200223371</v>
      </c>
      <c r="Q47">
        <f t="shared" si="7"/>
        <v>-0.50525246400920998</v>
      </c>
    </row>
    <row r="48" spans="3:17" x14ac:dyDescent="0.2">
      <c r="C48" s="7"/>
      <c r="D48">
        <f>0.5*Foglio1!E50+0.5*Foglio1!I50</f>
        <v>-9.0179598992641639E-3</v>
      </c>
      <c r="F48" s="63">
        <v>42</v>
      </c>
      <c r="G48">
        <f t="shared" ref="G48:I67" si="10">G$7*SQRT($F48)</f>
        <v>-0.1892343080754621</v>
      </c>
      <c r="H48">
        <f t="shared" si="10"/>
        <v>-0.27910350930754863</v>
      </c>
      <c r="I48">
        <f t="shared" si="10"/>
        <v>-0.43842654274988746</v>
      </c>
      <c r="K48">
        <f t="shared" si="8"/>
        <v>-0.31765499146639598</v>
      </c>
      <c r="L48">
        <f t="shared" ref="L48:M67" si="11">L$7*SQRT($F48)</f>
        <v>-0.44624177898070594</v>
      </c>
      <c r="M48">
        <f t="shared" si="11"/>
        <v>-0.85277006543880174</v>
      </c>
      <c r="O48">
        <f t="shared" si="9"/>
        <v>-0.15114670946729949</v>
      </c>
      <c r="P48">
        <f t="shared" ref="P48:Q67" si="12">P$7*SQRT($F48)</f>
        <v>-0.28109810785228018</v>
      </c>
      <c r="Q48">
        <f t="shared" si="12"/>
        <v>-0.51137695991170118</v>
      </c>
    </row>
    <row r="49" spans="3:17" x14ac:dyDescent="0.2">
      <c r="C49" s="7"/>
      <c r="D49">
        <f>0.5*Foglio1!E51+0.5*Foglio1!I51</f>
        <v>-2.4657946906158915E-2</v>
      </c>
      <c r="F49" s="63">
        <v>43</v>
      </c>
      <c r="G49">
        <f t="shared" si="10"/>
        <v>-0.1914738452964985</v>
      </c>
      <c r="H49">
        <f t="shared" si="10"/>
        <v>-0.28240662439261488</v>
      </c>
      <c r="I49">
        <f t="shared" si="10"/>
        <v>-0.44361520315277342</v>
      </c>
      <c r="K49">
        <f t="shared" si="8"/>
        <v>-0.32150549558507824</v>
      </c>
      <c r="L49">
        <f t="shared" si="11"/>
        <v>-0.45152293060576043</v>
      </c>
      <c r="M49">
        <f t="shared" si="11"/>
        <v>-0.8628623701691589</v>
      </c>
      <c r="O49">
        <f t="shared" si="9"/>
        <v>-0.15297885768773969</v>
      </c>
      <c r="P49">
        <f t="shared" si="12"/>
        <v>-0.28442482847551431</v>
      </c>
      <c r="Q49">
        <f t="shared" si="12"/>
        <v>-0.5174289689123418</v>
      </c>
    </row>
    <row r="50" spans="3:17" x14ac:dyDescent="0.2">
      <c r="C50" s="8"/>
      <c r="D50">
        <f>0.5*Foglio1!E52+0.5*Foglio1!I52</f>
        <v>-1.553527979295827E-3</v>
      </c>
      <c r="F50" s="63">
        <v>44</v>
      </c>
      <c r="G50">
        <f t="shared" si="10"/>
        <v>-0.19368748930288707</v>
      </c>
      <c r="H50">
        <f t="shared" si="10"/>
        <v>-0.28567154932522426</v>
      </c>
      <c r="I50">
        <f t="shared" si="10"/>
        <v>-0.44874387299319646</v>
      </c>
      <c r="K50">
        <f t="shared" si="8"/>
        <v>-0.32531042679154537</v>
      </c>
      <c r="L50">
        <f t="shared" si="11"/>
        <v>-0.4567430222978382</v>
      </c>
      <c r="M50">
        <f t="shared" si="11"/>
        <v>-0.87283798909040333</v>
      </c>
      <c r="O50">
        <f t="shared" si="9"/>
        <v>-0.15478932138910353</v>
      </c>
      <c r="P50">
        <f t="shared" si="12"/>
        <v>-0.28771308602237644</v>
      </c>
      <c r="Q50">
        <f t="shared" si="12"/>
        <v>-0.5234110054353508</v>
      </c>
    </row>
    <row r="51" spans="3:17" x14ac:dyDescent="0.2">
      <c r="C51" s="8"/>
      <c r="D51">
        <f>0.5*Foglio1!E53+0.5*Foglio1!I53</f>
        <v>-2.9584505418807229E-2</v>
      </c>
      <c r="F51" s="63">
        <v>45</v>
      </c>
      <c r="G51">
        <f t="shared" si="10"/>
        <v>-0.19587611797328569</v>
      </c>
      <c r="H51">
        <f t="shared" si="10"/>
        <v>-0.28889957889709122</v>
      </c>
      <c r="I51">
        <f t="shared" si="10"/>
        <v>-0.45381458617985349</v>
      </c>
      <c r="K51">
        <f t="shared" si="8"/>
        <v>-0.32907136591807562</v>
      </c>
      <c r="L51">
        <f t="shared" si="11"/>
        <v>-0.46190412422137206</v>
      </c>
      <c r="M51">
        <f t="shared" si="11"/>
        <v>-0.88270087829616417</v>
      </c>
      <c r="O51">
        <f t="shared" si="9"/>
        <v>-0.15657885276356018</v>
      </c>
      <c r="P51">
        <f t="shared" si="12"/>
        <v>-0.2909641845377417</v>
      </c>
      <c r="Q51">
        <f t="shared" si="12"/>
        <v>-0.52932544181439112</v>
      </c>
    </row>
    <row r="52" spans="3:17" x14ac:dyDescent="0.2">
      <c r="C52" s="8"/>
      <c r="D52">
        <f>0.5*Foglio1!E54+0.5*Foglio1!I54</f>
        <v>-9.2495874089281484E-3</v>
      </c>
      <c r="F52" s="63">
        <v>46</v>
      </c>
      <c r="G52">
        <f t="shared" si="10"/>
        <v>-0.19804056067410303</v>
      </c>
      <c r="H52">
        <f t="shared" si="10"/>
        <v>-0.29209193634874486</v>
      </c>
      <c r="I52">
        <f t="shared" si="10"/>
        <v>-0.45882926422608361</v>
      </c>
      <c r="K52">
        <f t="shared" si="8"/>
        <v>-0.33278980446383671</v>
      </c>
      <c r="L52">
        <f t="shared" si="11"/>
        <v>-0.46700819214191719</v>
      </c>
      <c r="M52">
        <f t="shared" si="11"/>
        <v>-0.89245477526329586</v>
      </c>
      <c r="O52">
        <f t="shared" si="9"/>
        <v>-0.15834816149676675</v>
      </c>
      <c r="P52">
        <f t="shared" si="12"/>
        <v>-0.29417935600396339</v>
      </c>
      <c r="Q52">
        <f t="shared" si="12"/>
        <v>-0.53517451928614457</v>
      </c>
    </row>
    <row r="53" spans="3:17" x14ac:dyDescent="0.2">
      <c r="C53" s="8"/>
      <c r="D53">
        <f>0.5*Foglio1!E55+0.5*Foglio1!I55</f>
        <v>-2.5785018459774326E-3</v>
      </c>
      <c r="F53" s="63">
        <v>47</v>
      </c>
      <c r="G53">
        <f t="shared" si="10"/>
        <v>-0.20018160193170007</v>
      </c>
      <c r="H53">
        <f t="shared" si="10"/>
        <v>-0.29524977878569497</v>
      </c>
      <c r="I53">
        <f t="shared" si="10"/>
        <v>-0.46378972475779023</v>
      </c>
      <c r="K53">
        <f t="shared" si="8"/>
        <v>-0.33646715150660594</v>
      </c>
      <c r="L53">
        <f t="shared" si="11"/>
        <v>-0.4720570760857325</v>
      </c>
      <c r="M53">
        <f t="shared" si="11"/>
        <v>-0.90210321540037774</v>
      </c>
      <c r="O53">
        <f t="shared" si="9"/>
        <v>-0.16009791805660556</v>
      </c>
      <c r="P53">
        <f t="shared" si="12"/>
        <v>-0.29735976579574486</v>
      </c>
      <c r="Q53">
        <f t="shared" si="12"/>
        <v>-0.54096035791387842</v>
      </c>
    </row>
    <row r="54" spans="3:17" x14ac:dyDescent="0.2">
      <c r="C54" s="8"/>
      <c r="D54">
        <f>0.5*Foglio1!E56+0.5*Foglio1!I56</f>
        <v>-7.9136406622732289E-3</v>
      </c>
      <c r="F54" s="63">
        <v>48</v>
      </c>
      <c r="G54">
        <f t="shared" si="10"/>
        <v>-0.20229998475474525</v>
      </c>
      <c r="H54">
        <f t="shared" si="10"/>
        <v>-0.29837420207860532</v>
      </c>
      <c r="I54">
        <f t="shared" si="10"/>
        <v>-0.46869768921082211</v>
      </c>
      <c r="K54">
        <f t="shared" si="8"/>
        <v>-0.34010473994177137</v>
      </c>
      <c r="L54">
        <f t="shared" si="11"/>
        <v>-0.47705252817437221</v>
      </c>
      <c r="M54">
        <f t="shared" si="11"/>
        <v>-0.91164954701965417</v>
      </c>
      <c r="O54">
        <f t="shared" si="9"/>
        <v>-0.16182875666182775</v>
      </c>
      <c r="P54">
        <f t="shared" si="12"/>
        <v>-0.30050651761533204</v>
      </c>
      <c r="Q54">
        <f t="shared" si="12"/>
        <v>-0.5466849655656052</v>
      </c>
    </row>
    <row r="55" spans="3:17" x14ac:dyDescent="0.2">
      <c r="C55" s="8"/>
      <c r="D55">
        <f>0.5*Foglio1!E57+0.5*Foglio1!I57</f>
        <v>1.2418888398731637E-2</v>
      </c>
      <c r="F55" s="63">
        <v>49</v>
      </c>
      <c r="G55">
        <f t="shared" si="10"/>
        <v>-0.2043964136466164</v>
      </c>
      <c r="H55">
        <f t="shared" si="10"/>
        <v>-0.30146624530631455</v>
      </c>
      <c r="I55">
        <f t="shared" si="10"/>
        <v>-0.47355478981024152</v>
      </c>
      <c r="K55">
        <f t="shared" si="8"/>
        <v>-0.34370383212694994</v>
      </c>
      <c r="L55">
        <f t="shared" si="11"/>
        <v>-0.48199620972836432</v>
      </c>
      <c r="M55">
        <f t="shared" si="11"/>
        <v>-0.92109694491219618</v>
      </c>
      <c r="O55">
        <f t="shared" si="9"/>
        <v>-0.16354127796787735</v>
      </c>
      <c r="P55">
        <f t="shared" si="12"/>
        <v>-0.30362065796728571</v>
      </c>
      <c r="Q55">
        <f t="shared" si="12"/>
        <v>-0.55235024605464111</v>
      </c>
    </row>
    <row r="56" spans="3:17" x14ac:dyDescent="0.2">
      <c r="C56" s="8"/>
      <c r="D56">
        <f>0.5*Foglio1!E58+0.5*Foglio1!I58</f>
        <v>-1.8746312684365777E-2</v>
      </c>
      <c r="F56" s="63">
        <v>50</v>
      </c>
      <c r="G56">
        <f t="shared" si="10"/>
        <v>-0.20647155734247577</v>
      </c>
      <c r="H56">
        <f t="shared" si="10"/>
        <v>-0.30452689479277462</v>
      </c>
      <c r="I56">
        <f t="shared" si="10"/>
        <v>-0.47836257591170278</v>
      </c>
      <c r="K56">
        <f t="shared" si="8"/>
        <v>-0.34726562500000085</v>
      </c>
      <c r="L56">
        <f t="shared" si="11"/>
        <v>-0.48688969772162827</v>
      </c>
      <c r="M56">
        <f t="shared" si="11"/>
        <v>-0.93044842268232242</v>
      </c>
      <c r="O56">
        <f t="shared" si="9"/>
        <v>-0.16523605150214646</v>
      </c>
      <c r="P56">
        <f t="shared" si="12"/>
        <v>-0.30670318022427012</v>
      </c>
      <c r="Q56">
        <f t="shared" si="12"/>
        <v>-0.55795800653613548</v>
      </c>
    </row>
    <row r="57" spans="3:17" x14ac:dyDescent="0.2">
      <c r="C57" s="7"/>
      <c r="D57">
        <f>0.5*Foglio1!E59+0.5*Foglio1!I59</f>
        <v>-8.7592465492259027E-3</v>
      </c>
      <c r="F57" s="63">
        <v>51</v>
      </c>
      <c r="G57">
        <f t="shared" si="10"/>
        <v>-0.20852605130116431</v>
      </c>
      <c r="H57">
        <f t="shared" si="10"/>
        <v>-0.30755708778236962</v>
      </c>
      <c r="I57">
        <f t="shared" si="10"/>
        <v>-0.48312251977478471</v>
      </c>
      <c r="K57">
        <f t="shared" si="8"/>
        <v>-0.3507912547292647</v>
      </c>
      <c r="L57">
        <f t="shared" si="11"/>
        <v>-0.49173449065772046</v>
      </c>
      <c r="M57">
        <f t="shared" si="11"/>
        <v>-0.93970684397713222</v>
      </c>
      <c r="O57">
        <f t="shared" si="9"/>
        <v>-0.1669136178766534</v>
      </c>
      <c r="P57">
        <f t="shared" si="12"/>
        <v>-0.30975502832863705</v>
      </c>
      <c r="Q57">
        <f t="shared" si="12"/>
        <v>-0.56350996424103605</v>
      </c>
    </row>
    <row r="58" spans="3:17" x14ac:dyDescent="0.2">
      <c r="C58" s="7"/>
      <c r="D58">
        <f>0.5*Foglio1!E60+0.5*Foglio1!I60</f>
        <v>-3.4654773985043241E-2</v>
      </c>
      <c r="F58" s="63">
        <v>52</v>
      </c>
      <c r="G58">
        <f t="shared" si="10"/>
        <v>-0.21056049997823512</v>
      </c>
      <c r="H58">
        <f t="shared" si="10"/>
        <v>-0.31055771579243491</v>
      </c>
      <c r="I58">
        <f t="shared" si="10"/>
        <v>-0.48783602182925645</v>
      </c>
      <c r="K58">
        <f t="shared" si="8"/>
        <v>-0.35428180094724382</v>
      </c>
      <c r="L58">
        <f t="shared" si="11"/>
        <v>-0.49653201392997498</v>
      </c>
      <c r="M58">
        <f t="shared" si="11"/>
        <v>-0.94887493272975787</v>
      </c>
      <c r="O58">
        <f t="shared" si="9"/>
        <v>-0.16857449080251419</v>
      </c>
      <c r="P58">
        <f t="shared" si="12"/>
        <v>-0.31277710016890359</v>
      </c>
      <c r="Q58">
        <f t="shared" si="12"/>
        <v>-0.56900775261861702</v>
      </c>
    </row>
    <row r="59" spans="3:17" x14ac:dyDescent="0.2">
      <c r="C59" s="7"/>
      <c r="D59">
        <f>0.5*Foglio1!E61+0.5*Foglio1!I61</f>
        <v>4.2685662284114266E-3</v>
      </c>
      <c r="F59" s="63">
        <v>53</v>
      </c>
      <c r="G59">
        <f t="shared" si="10"/>
        <v>-0.21257547890317194</v>
      </c>
      <c r="H59">
        <f t="shared" si="10"/>
        <v>-0.31352962767696668</v>
      </c>
      <c r="I59">
        <f t="shared" si="10"/>
        <v>-0.49250441548767093</v>
      </c>
      <c r="K59">
        <f t="shared" si="8"/>
        <v>-0.35773829061244355</v>
      </c>
      <c r="L59">
        <f t="shared" si="11"/>
        <v>-0.50128362471988452</v>
      </c>
      <c r="M59">
        <f t="shared" si="11"/>
        <v>-0.95795528252019313</v>
      </c>
      <c r="O59">
        <f t="shared" si="9"/>
        <v>-0.17021915892748501</v>
      </c>
      <c r="P59">
        <f t="shared" si="12"/>
        <v>-0.3157702506653563</v>
      </c>
      <c r="Q59">
        <f t="shared" si="12"/>
        <v>-0.57445292694984573</v>
      </c>
    </row>
    <row r="60" spans="3:17" x14ac:dyDescent="0.2">
      <c r="C60" s="7"/>
      <c r="D60">
        <f>0.5*Foglio1!E62+0.5*Foglio1!I62</f>
        <v>6.8244942792183329E-3</v>
      </c>
      <c r="F60" s="63">
        <v>54</v>
      </c>
      <c r="G60">
        <f t="shared" si="10"/>
        <v>-0.21457153658102335</v>
      </c>
      <c r="H60">
        <f t="shared" si="10"/>
        <v>-0.31647363243136067</v>
      </c>
      <c r="I60">
        <f t="shared" si="10"/>
        <v>-0.49712897155115593</v>
      </c>
      <c r="K60">
        <f t="shared" si="8"/>
        <v>-0.36116170153852661</v>
      </c>
      <c r="L60">
        <f t="shared" si="11"/>
        <v>-0.50599061648142774</v>
      </c>
      <c r="M60">
        <f t="shared" si="11"/>
        <v>-0.96695036514486277</v>
      </c>
      <c r="O60">
        <f t="shared" si="9"/>
        <v>-0.17184808751520592</v>
      </c>
      <c r="P60">
        <f t="shared" si="12"/>
        <v>-0.31873529459483396</v>
      </c>
      <c r="Q60">
        <f t="shared" si="12"/>
        <v>-0.57984696948626058</v>
      </c>
    </row>
    <row r="61" spans="3:17" x14ac:dyDescent="0.2">
      <c r="C61" s="7"/>
      <c r="D61">
        <f>0.5*Foglio1!E63+0.5*Foglio1!I63</f>
        <v>2.11517175182507E-4</v>
      </c>
      <c r="F61" s="63">
        <v>55</v>
      </c>
      <c r="G61">
        <f t="shared" si="10"/>
        <v>-0.2165491962362594</v>
      </c>
      <c r="H61">
        <f t="shared" si="10"/>
        <v>-0.31939050176444284</v>
      </c>
      <c r="I61">
        <f t="shared" si="10"/>
        <v>-0.50171090224965964</v>
      </c>
      <c r="K61">
        <f t="shared" si="8"/>
        <v>-0.3645529656251536</v>
      </c>
      <c r="L61">
        <f t="shared" si="11"/>
        <v>-0.51065422305333419</v>
      </c>
      <c r="M61">
        <f t="shared" si="11"/>
        <v>-0.9758625384751809</v>
      </c>
      <c r="O61">
        <f t="shared" si="9"/>
        <v>-0.17346171998250032</v>
      </c>
      <c r="P61">
        <f t="shared" si="12"/>
        <v>-0.32167300918113911</v>
      </c>
      <c r="Q61">
        <f t="shared" si="12"/>
        <v>-0.58519129416247806</v>
      </c>
    </row>
    <row r="62" spans="3:17" x14ac:dyDescent="0.2">
      <c r="C62" s="7"/>
      <c r="D62">
        <f>0.5*Foglio1!E64+0.5*Foglio1!I64</f>
        <v>-4.804910214291953E-3</v>
      </c>
      <c r="F62" s="63">
        <v>56</v>
      </c>
      <c r="G62">
        <f t="shared" si="10"/>
        <v>-0.21850895741456122</v>
      </c>
      <c r="H62">
        <f t="shared" si="10"/>
        <v>-0.32228097246096482</v>
      </c>
      <c r="I62">
        <f t="shared" si="10"/>
        <v>-0.5062513649530489</v>
      </c>
      <c r="K62">
        <f t="shared" si="8"/>
        <v>-0.36791297182076232</v>
      </c>
      <c r="L62">
        <f t="shared" si="11"/>
        <v>-0.51527562243633607</v>
      </c>
      <c r="M62">
        <f t="shared" si="11"/>
        <v>-0.98469405367589391</v>
      </c>
      <c r="O62">
        <f t="shared" si="9"/>
        <v>-0.17506047930912566</v>
      </c>
      <c r="P62">
        <f t="shared" si="12"/>
        <v>-0.32458413647441681</v>
      </c>
      <c r="Q62">
        <f t="shared" si="12"/>
        <v>-0.59048725092478627</v>
      </c>
    </row>
    <row r="63" spans="3:17" x14ac:dyDescent="0.2">
      <c r="C63" s="7"/>
      <c r="D63">
        <f>0.5*Foglio1!E65+0.5*Foglio1!I65</f>
        <v>-3.1076876075188282E-3</v>
      </c>
      <c r="F63" s="63">
        <v>57</v>
      </c>
      <c r="G63">
        <f t="shared" si="10"/>
        <v>-0.22045129745643838</v>
      </c>
      <c r="H63">
        <f t="shared" si="10"/>
        <v>-0.32514574855505607</v>
      </c>
      <c r="I63">
        <f t="shared" si="10"/>
        <v>-0.51075146558525186</v>
      </c>
      <c r="K63">
        <f t="shared" si="8"/>
        <v>-0.37124256884397788</v>
      </c>
      <c r="L63">
        <f t="shared" si="11"/>
        <v>-0.51985594026816961</v>
      </c>
      <c r="M63">
        <f t="shared" si="11"/>
        <v>-0.99344706184582621</v>
      </c>
      <c r="O63">
        <f t="shared" si="9"/>
        <v>-0.17664476933267592</v>
      </c>
      <c r="P63">
        <f t="shared" si="12"/>
        <v>-0.32746938554013943</v>
      </c>
      <c r="Q63">
        <f t="shared" si="12"/>
        <v>-0.59573612971337164</v>
      </c>
    </row>
    <row r="64" spans="3:17" x14ac:dyDescent="0.2">
      <c r="C64" s="7"/>
      <c r="D64">
        <f>0.5*Foglio1!E66+0.5*Foglio1!I66</f>
        <v>5.1942598339369157E-3</v>
      </c>
      <c r="F64" s="63">
        <v>58</v>
      </c>
      <c r="G64">
        <f t="shared" si="10"/>
        <v>-0.22237667285499085</v>
      </c>
      <c r="H64">
        <f t="shared" si="10"/>
        <v>-0.3279855033328003</v>
      </c>
      <c r="I64">
        <f t="shared" si="10"/>
        <v>-0.51521226176998192</v>
      </c>
      <c r="K64">
        <f t="shared" si="8"/>
        <v>-0.3745425676872608</v>
      </c>
      <c r="L64">
        <f t="shared" si="11"/>
        <v>-0.52439625302537385</v>
      </c>
      <c r="M64">
        <f t="shared" si="11"/>
        <v>-1.0021236201365304</v>
      </c>
      <c r="O64">
        <f t="shared" si="9"/>
        <v>-0.17821497593986807</v>
      </c>
      <c r="P64">
        <f t="shared" si="12"/>
        <v>-0.33032943447599411</v>
      </c>
      <c r="Q64">
        <f t="shared" si="12"/>
        <v>-0.60093916413146409</v>
      </c>
    </row>
    <row r="65" spans="3:17" x14ac:dyDescent="0.2">
      <c r="C65" s="7"/>
      <c r="D65">
        <f>0.5*Foglio1!E67+0.5*Foglio1!I67</f>
        <v>-5.314740236257917E-3</v>
      </c>
      <c r="F65" s="63">
        <v>59</v>
      </c>
      <c r="G65">
        <f t="shared" si="10"/>
        <v>-0.22428552050875725</v>
      </c>
      <c r="H65">
        <f t="shared" si="10"/>
        <v>-0.33080088118007323</v>
      </c>
      <c r="I65">
        <f t="shared" si="10"/>
        <v>-0.51963476573339273</v>
      </c>
      <c r="K65">
        <f t="shared" si="8"/>
        <v>-0.37781374392371825</v>
      </c>
      <c r="L65">
        <f t="shared" si="11"/>
        <v>-0.52889759097768729</v>
      </c>
      <c r="M65">
        <f t="shared" si="11"/>
        <v>-1.0107256973981544</v>
      </c>
      <c r="O65">
        <f t="shared" si="9"/>
        <v>-0.17977146816417011</v>
      </c>
      <c r="P65">
        <f t="shared" si="12"/>
        <v>-0.33316493227292648</v>
      </c>
      <c r="Q65">
        <f t="shared" si="12"/>
        <v>-0.6060975348309694</v>
      </c>
    </row>
    <row r="66" spans="3:17" x14ac:dyDescent="0.2">
      <c r="C66" s="7"/>
      <c r="D66">
        <f>0.5*Foglio1!E68+0.5*Foglio1!I68</f>
        <v>1.3018657068344194E-2</v>
      </c>
      <c r="F66" s="63">
        <v>60</v>
      </c>
      <c r="G66">
        <f t="shared" si="10"/>
        <v>-0.22617825887939078</v>
      </c>
      <c r="H66">
        <f t="shared" si="10"/>
        <v>-0.33359249929001028</v>
      </c>
      <c r="I66">
        <f t="shared" si="10"/>
        <v>-0.52401994698623411</v>
      </c>
      <c r="K66">
        <f t="shared" si="8"/>
        <v>-0.38105683983567018</v>
      </c>
      <c r="L66">
        <f t="shared" si="11"/>
        <v>-0.533360940918015</v>
      </c>
      <c r="M66">
        <f t="shared" si="11"/>
        <v>-1.0192551793964189</v>
      </c>
      <c r="O66">
        <f t="shared" si="9"/>
        <v>-0.18131459919861581</v>
      </c>
      <c r="P66">
        <f t="shared" si="12"/>
        <v>-0.33597650053481021</v>
      </c>
      <c r="Q66">
        <f t="shared" si="12"/>
        <v>-0.61121237264091266</v>
      </c>
    </row>
    <row r="67" spans="3:17" x14ac:dyDescent="0.2">
      <c r="C67" s="7"/>
      <c r="D67">
        <f>0.5*Foglio1!E69+0.5*Foglio1!I69</f>
        <v>1.4235491627453165E-2</v>
      </c>
      <c r="F67" s="63">
        <v>61</v>
      </c>
      <c r="G67">
        <f t="shared" si="10"/>
        <v>-0.22805528906285258</v>
      </c>
      <c r="H67">
        <f t="shared" si="10"/>
        <v>-0.33636094924291987</v>
      </c>
      <c r="I67">
        <f t="shared" si="10"/>
        <v>-0.52836873480564039</v>
      </c>
      <c r="K67">
        <f t="shared" si="8"/>
        <v>-0.38427256638151808</v>
      </c>
      <c r="L67">
        <f t="shared" si="11"/>
        <v>-0.53778724868845618</v>
      </c>
      <c r="M67">
        <f t="shared" si="11"/>
        <v>-1.0277138736398699</v>
      </c>
      <c r="O67">
        <f t="shared" si="9"/>
        <v>-0.18284470733168123</v>
      </c>
      <c r="P67">
        <f t="shared" si="12"/>
        <v>-0.33876473506965116</v>
      </c>
      <c r="Q67">
        <f t="shared" si="12"/>
        <v>-0.61628476146217448</v>
      </c>
    </row>
    <row r="68" spans="3:17" x14ac:dyDescent="0.2">
      <c r="C68" s="7"/>
      <c r="D68">
        <f>0.5*Foglio1!E70+0.5*Foglio1!I70</f>
        <v>-1.0270819821359563E-3</v>
      </c>
      <c r="F68" s="63">
        <v>62</v>
      </c>
      <c r="G68">
        <f t="shared" ref="G68:I87" si="13">G$7*SQRT($F68)</f>
        <v>-0.2299169957818904</v>
      </c>
      <c r="H68">
        <f t="shared" si="13"/>
        <v>-0.33910679847009956</v>
      </c>
      <c r="I68">
        <f t="shared" si="13"/>
        <v>-0.53268202053454994</v>
      </c>
      <c r="K68">
        <f t="shared" si="8"/>
        <v>-0.38746160501568261</v>
      </c>
      <c r="L68">
        <f t="shared" ref="L68:M87" si="14">L$7*SQRT($F68)</f>
        <v>-0.54217742152071269</v>
      </c>
      <c r="M68">
        <f t="shared" si="14"/>
        <v>-1.036103513852408</v>
      </c>
      <c r="O68">
        <f t="shared" si="9"/>
        <v>-0.18436211681324779</v>
      </c>
      <c r="P68">
        <f t="shared" ref="P68:Q87" si="15">P$7*SQRT($F68)</f>
        <v>-0.34153020736386491</v>
      </c>
      <c r="Q68">
        <f t="shared" si="15"/>
        <v>-0.62131574094951503</v>
      </c>
    </row>
    <row r="69" spans="3:17" x14ac:dyDescent="0.2">
      <c r="C69" s="8"/>
      <c r="D69">
        <f>0.5*Foglio1!E71+0.5*Foglio1!I71</f>
        <v>2.0758804524945757E-3</v>
      </c>
      <c r="F69" s="63">
        <v>63</v>
      </c>
      <c r="G69">
        <f t="shared" si="13"/>
        <v>-0.23176374830675817</v>
      </c>
      <c r="H69">
        <f t="shared" si="13"/>
        <v>-0.34183059161181478</v>
      </c>
      <c r="I69">
        <f t="shared" si="13"/>
        <v>-0.53696065971486995</v>
      </c>
      <c r="K69">
        <f t="shared" si="8"/>
        <v>-0.39062460937480564</v>
      </c>
      <c r="L69">
        <f t="shared" si="14"/>
        <v>-0.54653233020727854</v>
      </c>
      <c r="M69">
        <f t="shared" si="14"/>
        <v>-1.0444257641224424</v>
      </c>
      <c r="O69">
        <f t="shared" si="9"/>
        <v>-0.18586713865693177</v>
      </c>
      <c r="P69">
        <f t="shared" si="15"/>
        <v>-0.34427346594995989</v>
      </c>
      <c r="Q69">
        <f t="shared" si="15"/>
        <v>-0.62630630899967832</v>
      </c>
    </row>
    <row r="70" spans="3:17" x14ac:dyDescent="0.2">
      <c r="C70" s="8"/>
      <c r="D70">
        <f>0.5*Foglio1!E72+0.5*Foglio1!I72</f>
        <v>2.1399199064765905E-3</v>
      </c>
      <c r="F70" s="63">
        <v>64</v>
      </c>
      <c r="G70">
        <f t="shared" si="13"/>
        <v>-0.23359590131041874</v>
      </c>
      <c r="H70">
        <f t="shared" si="13"/>
        <v>-0.34453285177864518</v>
      </c>
      <c r="I70">
        <f t="shared" si="13"/>
        <v>-0.54120547406884745</v>
      </c>
      <c r="K70">
        <f t="shared" si="8"/>
        <v>-0.39376220684203578</v>
      </c>
      <c r="L70">
        <f t="shared" si="14"/>
        <v>-0.55085281111813067</v>
      </c>
      <c r="M70">
        <f t="shared" si="14"/>
        <v>-1.0526822227567956</v>
      </c>
      <c r="O70">
        <f t="shared" si="9"/>
        <v>-0.18736007138440297</v>
      </c>
      <c r="P70">
        <f t="shared" si="15"/>
        <v>-0.34699503767689793</v>
      </c>
      <c r="Q70">
        <f t="shared" si="15"/>
        <v>-0.631257424062447</v>
      </c>
    </row>
    <row r="71" spans="3:17" x14ac:dyDescent="0.2">
      <c r="C71" s="8"/>
      <c r="D71">
        <f>0.5*Foglio1!E73+0.5*Foglio1!I73</f>
        <v>6.3331804077849134E-3</v>
      </c>
      <c r="F71" s="63">
        <v>65</v>
      </c>
      <c r="G71">
        <f t="shared" si="13"/>
        <v>-0.23541379566383833</v>
      </c>
      <c r="H71">
        <f t="shared" si="13"/>
        <v>-0.34721408172447221</v>
      </c>
      <c r="I71">
        <f t="shared" si="13"/>
        <v>-0.54541725334164437</v>
      </c>
      <c r="K71">
        <f t="shared" si="8"/>
        <v>-0.39687500000000098</v>
      </c>
      <c r="L71">
        <f t="shared" si="14"/>
        <v>-0.55513966807614823</v>
      </c>
      <c r="M71">
        <f t="shared" si="14"/>
        <v>-1.0608744258646392</v>
      </c>
      <c r="O71">
        <f t="shared" si="9"/>
        <v>-0.18884120171673882</v>
      </c>
      <c r="P71">
        <f t="shared" si="15"/>
        <v>-0.34969542889146465</v>
      </c>
      <c r="Q71">
        <f t="shared" si="15"/>
        <v>-0.63617000728980577</v>
      </c>
    </row>
    <row r="72" spans="3:17" x14ac:dyDescent="0.2">
      <c r="C72" s="8"/>
      <c r="D72">
        <f>0.5*Foglio1!E74+0.5*Foglio1!I74</f>
        <v>-1.0432782682383303E-3</v>
      </c>
      <c r="F72" s="63">
        <v>66</v>
      </c>
      <c r="G72">
        <f t="shared" si="13"/>
        <v>-0.23721775917642421</v>
      </c>
      <c r="H72">
        <f t="shared" si="13"/>
        <v>-0.34987476493855779</v>
      </c>
      <c r="I72">
        <f t="shared" si="13"/>
        <v>-0.54959675701681598</v>
      </c>
      <c r="K72">
        <f t="shared" ref="K72:K106" si="16">K$7*SQRT($F71)</f>
        <v>-0.39996356798199934</v>
      </c>
      <c r="L72">
        <f t="shared" si="14"/>
        <v>-0.55939367410317153</v>
      </c>
      <c r="M72">
        <f t="shared" si="14"/>
        <v>-1.0690038506942194</v>
      </c>
      <c r="O72">
        <f t="shared" ref="O72:O106" si="17">O$7*SQRT($F71)</f>
        <v>-0.19031080521734836</v>
      </c>
      <c r="P72">
        <f t="shared" si="15"/>
        <v>-0.35237512653815262</v>
      </c>
      <c r="Q72">
        <f t="shared" si="15"/>
        <v>-0.64104494453686101</v>
      </c>
    </row>
    <row r="73" spans="3:17" x14ac:dyDescent="0.2">
      <c r="C73" s="8"/>
      <c r="D73">
        <f>0.5*Foglio1!E75+0.5*Foglio1!I75</f>
        <v>-5.6617361823800127E-4</v>
      </c>
      <c r="F73" s="63">
        <v>67</v>
      </c>
      <c r="G73">
        <f t="shared" si="13"/>
        <v>-0.23900810728615993</v>
      </c>
      <c r="H73">
        <f t="shared" si="13"/>
        <v>-0.3525153666634317</v>
      </c>
      <c r="I73">
        <f t="shared" si="13"/>
        <v>-0.55374471591524799</v>
      </c>
      <c r="K73">
        <f t="shared" si="16"/>
        <v>-0.40302846772998813</v>
      </c>
      <c r="L73">
        <f t="shared" si="14"/>
        <v>-0.56361557304744025</v>
      </c>
      <c r="M73">
        <f t="shared" si="14"/>
        <v>-1.0770719187428985</v>
      </c>
      <c r="O73">
        <f t="shared" si="17"/>
        <v>-0.19176914689054905</v>
      </c>
      <c r="P73">
        <f t="shared" si="15"/>
        <v>-0.35503459918432273</v>
      </c>
      <c r="Q73">
        <f t="shared" si="15"/>
        <v>-0.64588308822682672</v>
      </c>
    </row>
    <row r="74" spans="3:17" x14ac:dyDescent="0.2">
      <c r="C74" s="8"/>
      <c r="D74">
        <f>0.5*Foglio1!E76+0.5*Foglio1!I76</f>
        <v>1.4846222962364556E-3</v>
      </c>
      <c r="F74" s="63">
        <v>68</v>
      </c>
      <c r="G74">
        <f t="shared" si="13"/>
        <v>-0.24078514370355383</v>
      </c>
      <c r="H74">
        <f t="shared" si="13"/>
        <v>-0.3551363348446569</v>
      </c>
      <c r="I74">
        <f t="shared" si="13"/>
        <v>-0.55786183368708442</v>
      </c>
      <c r="K74">
        <f t="shared" si="16"/>
        <v>-0.40607023516711083</v>
      </c>
      <c r="L74">
        <f t="shared" si="14"/>
        <v>-0.56780608110211683</v>
      </c>
      <c r="M74">
        <f t="shared" si="14"/>
        <v>-1.0850799986590618</v>
      </c>
      <c r="O74">
        <f t="shared" si="17"/>
        <v>-0.19321648173947908</v>
      </c>
      <c r="P74">
        <f t="shared" si="15"/>
        <v>-0.35767429797675748</v>
      </c>
      <c r="Q74">
        <f t="shared" si="15"/>
        <v>-0.65068525909119712</v>
      </c>
    </row>
    <row r="75" spans="3:17" x14ac:dyDescent="0.2">
      <c r="C75" s="8"/>
      <c r="D75">
        <f>0.5*Foglio1!E77+0.5*Foglio1!I77</f>
        <v>1.7163381362469841E-2</v>
      </c>
      <c r="F75" s="63">
        <v>69</v>
      </c>
      <c r="G75">
        <f t="shared" si="13"/>
        <v>-0.24254916101312249</v>
      </c>
      <c r="H75">
        <f t="shared" si="13"/>
        <v>-0.35773810101796377</v>
      </c>
      <c r="I75">
        <f t="shared" si="13"/>
        <v>-0.56194878820527217</v>
      </c>
      <c r="K75">
        <f t="shared" si="16"/>
        <v>-0.40908938629175329</v>
      </c>
      <c r="L75">
        <f t="shared" si="14"/>
        <v>-0.57196588822367089</v>
      </c>
      <c r="M75">
        <f t="shared" si="14"/>
        <v>-1.0930294089526549</v>
      </c>
      <c r="O75">
        <f t="shared" si="17"/>
        <v>-0.19465305528667132</v>
      </c>
      <c r="P75">
        <f t="shared" si="15"/>
        <v>-0.36029465753513462</v>
      </c>
      <c r="Q75">
        <f t="shared" si="15"/>
        <v>-0.65545224779516464</v>
      </c>
    </row>
    <row r="76" spans="3:17" x14ac:dyDescent="0.2">
      <c r="C76" s="8"/>
      <c r="D76">
        <f>0.5*Foglio1!E78+0.5*Foglio1!I78</f>
        <v>-1.2169914126477501E-2</v>
      </c>
      <c r="F76" s="63">
        <v>70</v>
      </c>
      <c r="G76">
        <f t="shared" si="13"/>
        <v>-0.24430044123578279</v>
      </c>
      <c r="H76">
        <f t="shared" si="13"/>
        <v>-0.36032108113872752</v>
      </c>
      <c r="I76">
        <f t="shared" si="13"/>
        <v>-0.56600623286853602</v>
      </c>
      <c r="K76">
        <f t="shared" si="16"/>
        <v>-0.41208641819945241</v>
      </c>
      <c r="L76">
        <f t="shared" si="14"/>
        <v>-0.57609565945808161</v>
      </c>
      <c r="M76">
        <f t="shared" si="14"/>
        <v>-1.1009214205295628</v>
      </c>
      <c r="O76">
        <f t="shared" si="17"/>
        <v>-0.19607910406029855</v>
      </c>
      <c r="P76">
        <f t="shared" si="15"/>
        <v>-0.36289609678743245</v>
      </c>
      <c r="Q76">
        <f t="shared" si="15"/>
        <v>-0.6601848164573989</v>
      </c>
    </row>
    <row r="77" spans="3:17" x14ac:dyDescent="0.2">
      <c r="C77" s="8"/>
      <c r="D77">
        <f>0.5*Foglio1!E79+0.5*Foglio1!I79</f>
        <v>-5.5467030925959674E-3</v>
      </c>
      <c r="F77" s="63">
        <v>71</v>
      </c>
      <c r="G77">
        <f t="shared" si="13"/>
        <v>-0.24603925635521401</v>
      </c>
      <c r="H77">
        <f t="shared" si="13"/>
        <v>-0.36288567635830438</v>
      </c>
      <c r="I77">
        <f t="shared" si="13"/>
        <v>-0.57003479782087785</v>
      </c>
      <c r="K77">
        <f t="shared" si="16"/>
        <v>-0.41506181003839004</v>
      </c>
      <c r="L77">
        <f t="shared" si="14"/>
        <v>-0.5801960361820746</v>
      </c>
      <c r="M77">
        <f t="shared" si="14"/>
        <v>-1.1087572590636199</v>
      </c>
      <c r="O77">
        <f t="shared" si="17"/>
        <v>-0.19749485604881678</v>
      </c>
      <c r="P77">
        <f t="shared" si="15"/>
        <v>-0.36547901975181446</v>
      </c>
      <c r="Q77">
        <f t="shared" si="15"/>
        <v>-0.66488370007246012</v>
      </c>
    </row>
    <row r="78" spans="3:17" x14ac:dyDescent="0.2">
      <c r="C78" s="8"/>
      <c r="D78">
        <f>0.5*Foglio1!E80+0.5*Foglio1!I80</f>
        <v>7.0185286172164182E-3</v>
      </c>
      <c r="F78" s="63">
        <v>72</v>
      </c>
      <c r="G78">
        <f t="shared" si="13"/>
        <v>-0.2477658688109709</v>
      </c>
      <c r="H78">
        <f t="shared" si="13"/>
        <v>-0.36543227375132947</v>
      </c>
      <c r="I78">
        <f t="shared" si="13"/>
        <v>-0.57403509109404327</v>
      </c>
      <c r="K78">
        <f t="shared" si="16"/>
        <v>-0.41801602390367198</v>
      </c>
      <c r="L78">
        <f t="shared" si="14"/>
        <v>-0.58426763726595388</v>
      </c>
      <c r="M78">
        <f t="shared" si="14"/>
        <v>-1.1165381072187868</v>
      </c>
      <c r="O78">
        <f t="shared" si="17"/>
        <v>-0.19890053112648123</v>
      </c>
      <c r="P78">
        <f t="shared" si="15"/>
        <v>-0.36804381626912408</v>
      </c>
      <c r="Q78">
        <f t="shared" si="15"/>
        <v>-0.66954960784336248</v>
      </c>
    </row>
    <row r="79" spans="3:17" x14ac:dyDescent="0.2">
      <c r="C79" s="7"/>
      <c r="D79">
        <f>0.5*Foglio1!E81+0.5*Foglio1!I81</f>
        <v>-1.6499304973247163E-2</v>
      </c>
      <c r="F79" s="63">
        <v>73</v>
      </c>
      <c r="G79">
        <f t="shared" si="13"/>
        <v>-0.24948053196088024</v>
      </c>
      <c r="H79">
        <f t="shared" si="13"/>
        <v>-0.36796124699770927</v>
      </c>
      <c r="I79">
        <f t="shared" si="13"/>
        <v>-0.57800769967882282</v>
      </c>
      <c r="K79">
        <f t="shared" si="16"/>
        <v>-0.42094950567511757</v>
      </c>
      <c r="L79">
        <f t="shared" si="14"/>
        <v>-0.58831106016399981</v>
      </c>
      <c r="M79">
        <f t="shared" si="14"/>
        <v>-1.1242651067329055</v>
      </c>
      <c r="O79">
        <f t="shared" si="17"/>
        <v>-0.20029634145198405</v>
      </c>
      <c r="P79">
        <f t="shared" si="15"/>
        <v>-0.37059086268975167</v>
      </c>
      <c r="Q79">
        <f t="shared" si="15"/>
        <v>-0.67418322443113043</v>
      </c>
    </row>
    <row r="80" spans="3:17" x14ac:dyDescent="0.2">
      <c r="C80" s="7"/>
      <c r="D80">
        <f>0.5*Foglio1!E82+0.5*Foglio1!I82</f>
        <v>-7.3562112645970583E-3</v>
      </c>
      <c r="F80" s="63">
        <v>74</v>
      </c>
      <c r="G80">
        <f t="shared" si="13"/>
        <v>-0.25118349051502636</v>
      </c>
      <c r="H80">
        <f t="shared" si="13"/>
        <v>-0.37047295702271144</v>
      </c>
      <c r="I80">
        <f t="shared" si="13"/>
        <v>-0.58195319053052874</v>
      </c>
      <c r="K80">
        <f t="shared" si="16"/>
        <v>-0.4238626858028629</v>
      </c>
      <c r="L80">
        <f t="shared" si="14"/>
        <v>-0.59232688193786942</v>
      </c>
      <c r="M80">
        <f t="shared" si="14"/>
        <v>-1.1319393603734222</v>
      </c>
      <c r="O80">
        <f t="shared" si="17"/>
        <v>-0.20168249184225998</v>
      </c>
      <c r="P80">
        <f t="shared" si="15"/>
        <v>-0.37312052251829841</v>
      </c>
      <c r="Q80">
        <f t="shared" si="15"/>
        <v>-0.67878521112757872</v>
      </c>
    </row>
    <row r="81" spans="3:17" x14ac:dyDescent="0.2">
      <c r="C81" s="7"/>
      <c r="D81">
        <f>0.5*Foglio1!E83+0.5*Foglio1!I83</f>
        <v>-4.2748141893889473E-3</v>
      </c>
      <c r="F81" s="63">
        <v>75</v>
      </c>
      <c r="G81">
        <f t="shared" si="13"/>
        <v>-0.25287498094343164</v>
      </c>
      <c r="H81">
        <f t="shared" si="13"/>
        <v>-0.37296775259825671</v>
      </c>
      <c r="I81">
        <f t="shared" si="13"/>
        <v>-0.58587211151352769</v>
      </c>
      <c r="K81">
        <f t="shared" si="16"/>
        <v>-0.42675598004469384</v>
      </c>
      <c r="L81">
        <f t="shared" si="14"/>
        <v>-0.59631566021796534</v>
      </c>
      <c r="M81">
        <f t="shared" si="14"/>
        <v>-1.1395619337745679</v>
      </c>
      <c r="O81">
        <f t="shared" si="17"/>
        <v>-0.20305918012332447</v>
      </c>
      <c r="P81">
        <f t="shared" si="15"/>
        <v>-0.37563314701916506</v>
      </c>
      <c r="Q81">
        <f t="shared" si="15"/>
        <v>-0.68335620695700672</v>
      </c>
    </row>
    <row r="82" spans="3:17" x14ac:dyDescent="0.2">
      <c r="C82" s="7"/>
      <c r="D82">
        <f>0.5*Foglio1!E84+0.5*Foglio1!I84</f>
        <v>1.7654336314251403E-3</v>
      </c>
      <c r="F82" s="63">
        <v>76</v>
      </c>
      <c r="G82">
        <f t="shared" si="13"/>
        <v>-0.25455523185935397</v>
      </c>
      <c r="H82">
        <f t="shared" si="13"/>
        <v>-0.37544597090824799</v>
      </c>
      <c r="I82">
        <f t="shared" si="13"/>
        <v>-0.58976499228928214</v>
      </c>
      <c r="K82">
        <f t="shared" si="16"/>
        <v>-0.42962979015868746</v>
      </c>
      <c r="L82">
        <f t="shared" si="14"/>
        <v>-0.60027793410730756</v>
      </c>
      <c r="M82">
        <f t="shared" si="14"/>
        <v>-1.1471338571646612</v>
      </c>
      <c r="O82">
        <f t="shared" si="17"/>
        <v>-0.20442659745984673</v>
      </c>
      <c r="P82">
        <f t="shared" si="15"/>
        <v>-0.3781290757859217</v>
      </c>
      <c r="Q82">
        <f t="shared" si="15"/>
        <v>-0.68789682971200183</v>
      </c>
    </row>
    <row r="83" spans="3:17" x14ac:dyDescent="0.2">
      <c r="C83" s="7"/>
      <c r="D83">
        <f>0.5*Foglio1!E85+0.5*Foglio1!I85</f>
        <v>1.4935841699059588E-2</v>
      </c>
      <c r="F83" s="63">
        <v>77</v>
      </c>
      <c r="G83">
        <f t="shared" si="13"/>
        <v>-0.25622446437996116</v>
      </c>
      <c r="H83">
        <f t="shared" si="13"/>
        <v>-0.37790793808053252</v>
      </c>
      <c r="I83">
        <f t="shared" si="13"/>
        <v>-0.59363234515197594</v>
      </c>
      <c r="K83">
        <f t="shared" si="16"/>
        <v>-0.43248450455442733</v>
      </c>
      <c r="L83">
        <f t="shared" si="14"/>
        <v>-0.60421422503205446</v>
      </c>
      <c r="M83">
        <f t="shared" si="14"/>
        <v>-1.1546561269914579</v>
      </c>
      <c r="O83">
        <f t="shared" si="17"/>
        <v>-0.20578492866501105</v>
      </c>
      <c r="P83">
        <f t="shared" si="15"/>
        <v>-0.38060863727707089</v>
      </c>
      <c r="Q83">
        <f t="shared" si="15"/>
        <v>-0.69240767692810745</v>
      </c>
    </row>
    <row r="84" spans="3:17" x14ac:dyDescent="0.2">
      <c r="C84" s="7"/>
      <c r="D84">
        <f>0.5*Foglio1!E86+0.5*Foglio1!I86</f>
        <v>1.0692968070694616E-3</v>
      </c>
      <c r="F84" s="63">
        <v>78</v>
      </c>
      <c r="G84">
        <f t="shared" si="13"/>
        <v>-0.25788289246599227</v>
      </c>
      <c r="H84">
        <f t="shared" si="13"/>
        <v>-0.38035396968787138</v>
      </c>
      <c r="I84">
        <f t="shared" si="13"/>
        <v>-0.59747466581545716</v>
      </c>
      <c r="K84">
        <f t="shared" si="16"/>
        <v>-0.43532049890578217</v>
      </c>
      <c r="L84">
        <f t="shared" si="14"/>
        <v>-0.60812503754247405</v>
      </c>
      <c r="M84">
        <f t="shared" si="14"/>
        <v>-1.1621297074528101</v>
      </c>
      <c r="O84">
        <f t="shared" si="17"/>
        <v>-0.20713435249208942</v>
      </c>
      <c r="P84">
        <f t="shared" si="15"/>
        <v>-0.38307214932059802</v>
      </c>
      <c r="Q84">
        <f t="shared" si="15"/>
        <v>-0.69688932680170534</v>
      </c>
    </row>
    <row r="85" spans="3:17" x14ac:dyDescent="0.2">
      <c r="C85" s="7"/>
      <c r="D85">
        <f>0.5*Foglio1!E87+0.5*Foglio1!I87</f>
        <v>-1.9638581968799435E-2</v>
      </c>
      <c r="F85" s="63">
        <v>79</v>
      </c>
      <c r="G85">
        <f t="shared" si="13"/>
        <v>-0.25953072324188337</v>
      </c>
      <c r="H85">
        <f t="shared" si="13"/>
        <v>-0.38278437122009668</v>
      </c>
      <c r="I85">
        <f t="shared" si="13"/>
        <v>-0.60129243415492084</v>
      </c>
      <c r="K85">
        <f t="shared" si="16"/>
        <v>-0.43813813672798413</v>
      </c>
      <c r="L85">
        <f t="shared" si="14"/>
        <v>-0.61201086006784589</v>
      </c>
      <c r="M85">
        <f t="shared" si="14"/>
        <v>-1.1695555319392894</v>
      </c>
      <c r="O85">
        <f t="shared" si="17"/>
        <v>-0.20847504190902713</v>
      </c>
      <c r="P85">
        <f t="shared" si="15"/>
        <v>-0.38551991958950205</v>
      </c>
      <c r="Q85">
        <f t="shared" si="15"/>
        <v>-0.70134233905510757</v>
      </c>
    </row>
    <row r="86" spans="3:17" x14ac:dyDescent="0.2">
      <c r="C86" s="7"/>
      <c r="D86">
        <f>0.5*Foglio1!E88+0.5*Foglio1!I88</f>
        <v>-6.1293314038757358E-3</v>
      </c>
      <c r="F86" s="63">
        <v>80</v>
      </c>
      <c r="G86">
        <f t="shared" si="13"/>
        <v>-0.26116815729771425</v>
      </c>
      <c r="H86">
        <f t="shared" si="13"/>
        <v>-0.38519943852945498</v>
      </c>
      <c r="I86">
        <f t="shared" si="13"/>
        <v>-0.60508611490647135</v>
      </c>
      <c r="K86">
        <f t="shared" si="16"/>
        <v>-0.44093776992151662</v>
      </c>
      <c r="L86">
        <f t="shared" si="14"/>
        <v>-0.61587216562849612</v>
      </c>
      <c r="M86">
        <f t="shared" si="14"/>
        <v>-1.1769345043948856</v>
      </c>
      <c r="O86">
        <f t="shared" si="17"/>
        <v>-0.20980716435723562</v>
      </c>
      <c r="P86">
        <f t="shared" si="15"/>
        <v>-0.38795224605032225</v>
      </c>
      <c r="Q86">
        <f t="shared" si="15"/>
        <v>-0.70576725575252153</v>
      </c>
    </row>
    <row r="87" spans="3:17" x14ac:dyDescent="0.2">
      <c r="C87" s="7"/>
      <c r="D87">
        <f>0.5*Foglio1!E89+0.5*Foglio1!I89</f>
        <v>1.2575335223494105E-2</v>
      </c>
      <c r="F87" s="63">
        <v>81</v>
      </c>
      <c r="G87">
        <f t="shared" si="13"/>
        <v>-0.26279538897422106</v>
      </c>
      <c r="H87">
        <f t="shared" si="13"/>
        <v>-0.3875994582509758</v>
      </c>
      <c r="I87">
        <f t="shared" si="13"/>
        <v>-0.60885615832745343</v>
      </c>
      <c r="K87">
        <f t="shared" si="16"/>
        <v>-0.44371973928511566</v>
      </c>
      <c r="L87">
        <f t="shared" si="14"/>
        <v>-0.61970941250789702</v>
      </c>
      <c r="M87">
        <f t="shared" si="14"/>
        <v>-1.184267500601395</v>
      </c>
      <c r="O87">
        <f t="shared" si="17"/>
        <v>-0.211130881995689</v>
      </c>
      <c r="P87">
        <f t="shared" si="15"/>
        <v>-0.39036941738651015</v>
      </c>
      <c r="Q87">
        <f t="shared" si="15"/>
        <v>-0.71016460207025289</v>
      </c>
    </row>
    <row r="88" spans="3:17" x14ac:dyDescent="0.2">
      <c r="C88" s="7"/>
      <c r="D88">
        <f>0.5*Foglio1!E90+0.5*Foglio1!I90</f>
        <v>2.8043505737999734E-2</v>
      </c>
      <c r="F88" s="63">
        <v>82</v>
      </c>
      <c r="G88">
        <f t="shared" ref="G88:I106" si="18">G$7*SQRT($F88)</f>
        <v>-0.2644126066320226</v>
      </c>
      <c r="H88">
        <f t="shared" si="18"/>
        <v>-0.38998470819955566</v>
      </c>
      <c r="I88">
        <f t="shared" si="18"/>
        <v>-0.61260300082020702</v>
      </c>
      <c r="K88">
        <f t="shared" si="16"/>
        <v>-0.4464843750000011</v>
      </c>
      <c r="L88">
        <f t="shared" ref="L88:M106" si="19">L$7*SQRT($F88)</f>
        <v>-0.62352304488754229</v>
      </c>
      <c r="M88">
        <f t="shared" si="19"/>
        <v>-1.1915553693916685</v>
      </c>
      <c r="O88">
        <f t="shared" si="17"/>
        <v>-0.21244635193133118</v>
      </c>
      <c r="P88">
        <f t="shared" ref="P88:Q106" si="20">P$7*SQRT($F88)</f>
        <v>-0.39277171339835182</v>
      </c>
      <c r="Q88">
        <f t="shared" si="20"/>
        <v>-0.71453488702424894</v>
      </c>
    </row>
    <row r="89" spans="3:17" x14ac:dyDescent="0.2">
      <c r="C89" s="7"/>
      <c r="D89">
        <f>0.5*Foglio1!E91+0.5*Foglio1!I91</f>
        <v>-3.463972085513993E-2</v>
      </c>
      <c r="F89" s="63">
        <v>83</v>
      </c>
      <c r="G89">
        <f t="shared" si="18"/>
        <v>-0.26601999290611461</v>
      </c>
      <c r="H89">
        <f t="shared" si="18"/>
        <v>-0.39235545774531433</v>
      </c>
      <c r="I89">
        <f t="shared" si="18"/>
        <v>-0.61632706552169214</v>
      </c>
      <c r="K89">
        <f t="shared" si="16"/>
        <v>-0.44923199708728706</v>
      </c>
      <c r="L89">
        <f t="shared" si="19"/>
        <v>-0.62731349344708121</v>
      </c>
      <c r="M89">
        <f t="shared" si="19"/>
        <v>-1.1987989337964713</v>
      </c>
      <c r="O89">
        <f t="shared" si="17"/>
        <v>-0.21375372643672086</v>
      </c>
      <c r="P89">
        <f t="shared" si="20"/>
        <v>-0.39515940538100652</v>
      </c>
      <c r="Q89">
        <f t="shared" si="20"/>
        <v>-0.71887860415783122</v>
      </c>
    </row>
    <row r="90" spans="3:17" x14ac:dyDescent="0.2">
      <c r="C90" s="8"/>
      <c r="D90">
        <f>0.5*Foglio1!E92+0.5*Foglio1!I92</f>
        <v>1.075987297393597E-2</v>
      </c>
      <c r="F90" s="63">
        <v>84</v>
      </c>
      <c r="G90">
        <f t="shared" si="18"/>
        <v>-0.26761772494660696</v>
      </c>
      <c r="H90">
        <f t="shared" si="18"/>
        <v>-0.39471196816866055</v>
      </c>
      <c r="I90">
        <f t="shared" si="18"/>
        <v>-0.62002876286123831</v>
      </c>
      <c r="K90">
        <f t="shared" si="16"/>
        <v>-0.45196291584036286</v>
      </c>
      <c r="L90">
        <f t="shared" si="19"/>
        <v>-0.63108117593201141</v>
      </c>
      <c r="M90">
        <f t="shared" si="19"/>
        <v>-1.2059989921293452</v>
      </c>
      <c r="O90">
        <f t="shared" si="17"/>
        <v>-0.21505315315576742</v>
      </c>
      <c r="P90">
        <f t="shared" si="20"/>
        <v>-0.39753275648210962</v>
      </c>
      <c r="Q90">
        <f t="shared" si="20"/>
        <v>-0.72319623219225038</v>
      </c>
    </row>
    <row r="91" spans="3:17" x14ac:dyDescent="0.2">
      <c r="C91" s="8"/>
      <c r="D91">
        <f>0.5*Foglio1!E93+0.5*Foglio1!I93</f>
        <v>2.1285720460550137E-2</v>
      </c>
      <c r="F91" s="63">
        <v>85</v>
      </c>
      <c r="G91">
        <f t="shared" si="18"/>
        <v>-0.2692059746466009</v>
      </c>
      <c r="H91">
        <f t="shared" si="18"/>
        <v>-0.39705449299639001</v>
      </c>
      <c r="I91">
        <f t="shared" si="18"/>
        <v>-0.62370849108850146</v>
      </c>
      <c r="K91">
        <f t="shared" si="16"/>
        <v>-0.45467743223390084</v>
      </c>
      <c r="L91">
        <f t="shared" si="19"/>
        <v>-0.63482649769104593</v>
      </c>
      <c r="M91">
        <f t="shared" si="19"/>
        <v>-1.2131563190135213</v>
      </c>
      <c r="O91">
        <f t="shared" si="17"/>
        <v>-0.21634477529834509</v>
      </c>
      <c r="P91">
        <f t="shared" si="20"/>
        <v>-0.39989202204027263</v>
      </c>
      <c r="Q91">
        <f t="shared" si="20"/>
        <v>-0.72748823564248988</v>
      </c>
    </row>
    <row r="92" spans="3:17" x14ac:dyDescent="0.2">
      <c r="C92" s="8"/>
      <c r="D92">
        <f>0.5*Foglio1!E94+0.5*Foglio1!I94</f>
        <v>-8.3871811461269687E-3</v>
      </c>
      <c r="F92" s="63">
        <v>86</v>
      </c>
      <c r="G92">
        <f t="shared" si="18"/>
        <v>-0.27078490885803602</v>
      </c>
      <c r="H92">
        <f t="shared" si="18"/>
        <v>-0.3993832783200405</v>
      </c>
      <c r="I92">
        <f t="shared" si="18"/>
        <v>-0.62736663677354798</v>
      </c>
      <c r="K92">
        <f t="shared" si="16"/>
        <v>-0.45737583831101547</v>
      </c>
      <c r="L92">
        <f t="shared" si="19"/>
        <v>-0.63854985218511229</v>
      </c>
      <c r="M92">
        <f t="shared" si="19"/>
        <v>-1.2202716663546185</v>
      </c>
      <c r="O92">
        <f t="shared" si="17"/>
        <v>-0.21762873182451092</v>
      </c>
      <c r="P92">
        <f t="shared" si="20"/>
        <v>-0.40223744990571364</v>
      </c>
      <c r="Q92">
        <f t="shared" si="20"/>
        <v>-0.73175506540056046</v>
      </c>
    </row>
    <row r="93" spans="3:17" x14ac:dyDescent="0.2">
      <c r="C93" s="8"/>
      <c r="D93">
        <f>0.5*Foglio1!E95+0.5*Foglio1!I95</f>
        <v>3.202518622957911E-2</v>
      </c>
      <c r="F93" s="63">
        <v>87</v>
      </c>
      <c r="G93">
        <f t="shared" si="18"/>
        <v>-0.27235468959627523</v>
      </c>
      <c r="H93">
        <f t="shared" si="18"/>
        <v>-0.40169856309763607</v>
      </c>
      <c r="I93">
        <f t="shared" si="18"/>
        <v>-0.63100357528084627</v>
      </c>
      <c r="K93">
        <f t="shared" si="16"/>
        <v>-0.46005841754998333</v>
      </c>
      <c r="L93">
        <f t="shared" si="19"/>
        <v>-0.64225162146979276</v>
      </c>
      <c r="M93">
        <f t="shared" si="19"/>
        <v>-1.2273457642625887</v>
      </c>
      <c r="O93">
        <f t="shared" si="17"/>
        <v>-0.21890515761899804</v>
      </c>
      <c r="P93">
        <f t="shared" si="20"/>
        <v>-0.40456928074415777</v>
      </c>
      <c r="Q93">
        <f t="shared" si="20"/>
        <v>-0.73599715928835896</v>
      </c>
    </row>
    <row r="94" spans="3:17" x14ac:dyDescent="0.2">
      <c r="C94" s="8"/>
      <c r="D94">
        <f>0.5*Foglio1!E96+0.5*Foglio1!I96</f>
        <v>-1.2040485528295375E-2</v>
      </c>
      <c r="F94" s="63">
        <v>88</v>
      </c>
      <c r="G94">
        <f t="shared" si="18"/>
        <v>-0.27391547423413665</v>
      </c>
      <c r="H94">
        <f t="shared" si="18"/>
        <v>-0.40400057943986678</v>
      </c>
      <c r="I94">
        <f t="shared" si="18"/>
        <v>-0.63461967121880813</v>
      </c>
      <c r="K94">
        <f t="shared" si="16"/>
        <v>-0.46272544521182912</v>
      </c>
      <c r="L94">
        <f t="shared" si="19"/>
        <v>-0.64593217665287972</v>
      </c>
      <c r="M94">
        <f t="shared" si="19"/>
        <v>-1.2343793219261081</v>
      </c>
      <c r="O94">
        <f t="shared" si="17"/>
        <v>-0.22017418365660368</v>
      </c>
      <c r="P94">
        <f t="shared" si="20"/>
        <v>-0.40688774832506169</v>
      </c>
      <c r="Q94">
        <f t="shared" si="20"/>
        <v>-0.74021494258201082</v>
      </c>
    </row>
    <row r="95" spans="3:17" x14ac:dyDescent="0.2">
      <c r="C95" s="8"/>
      <c r="D95">
        <f>0.5*Foglio1!E97+0.5*Foglio1!I97</f>
        <v>-1.8488637323646119E-2</v>
      </c>
      <c r="F95" s="63">
        <v>89</v>
      </c>
      <c r="G95">
        <f t="shared" si="18"/>
        <v>-0.27546741568603084</v>
      </c>
      <c r="H95">
        <f t="shared" si="18"/>
        <v>-0.40628955288167412</v>
      </c>
      <c r="I95">
        <f t="shared" si="18"/>
        <v>-0.63821527886640705</v>
      </c>
      <c r="K95">
        <f t="shared" si="16"/>
        <v>-0.46537718866998207</v>
      </c>
      <c r="L95">
        <f t="shared" si="19"/>
        <v>-0.6495918783285981</v>
      </c>
      <c r="M95">
        <f t="shared" si="19"/>
        <v>-1.241373028442377</v>
      </c>
      <c r="O95">
        <f t="shared" si="17"/>
        <v>-0.22143593715904678</v>
      </c>
      <c r="P95">
        <f t="shared" si="20"/>
        <v>-0.40919307979514064</v>
      </c>
      <c r="Q95">
        <f t="shared" si="20"/>
        <v>-0.74440882850947232</v>
      </c>
    </row>
    <row r="96" spans="3:17" x14ac:dyDescent="0.2">
      <c r="C96" s="8"/>
      <c r="D96">
        <f>0.5*Foglio1!E98+0.5*Foglio1!I98</f>
        <v>-1.558139882707368E-2</v>
      </c>
      <c r="F96" s="63">
        <v>90</v>
      </c>
      <c r="G96">
        <f t="shared" si="18"/>
        <v>-0.27701066258281298</v>
      </c>
      <c r="H96">
        <f t="shared" si="18"/>
        <v>-0.40856570264014241</v>
      </c>
      <c r="I96">
        <f t="shared" si="18"/>
        <v>-0.6417907425782825</v>
      </c>
      <c r="K96">
        <f t="shared" si="16"/>
        <v>-0.46801390772312168</v>
      </c>
      <c r="L96">
        <f t="shared" si="19"/>
        <v>-0.65323107698993121</v>
      </c>
      <c r="M96">
        <f t="shared" si="19"/>
        <v>-1.2483275536050782</v>
      </c>
      <c r="O96">
        <f t="shared" si="17"/>
        <v>-0.22269054174382613</v>
      </c>
      <c r="P96">
        <f t="shared" si="20"/>
        <v>-0.4114854959381023</v>
      </c>
      <c r="Q96">
        <f t="shared" si="20"/>
        <v>-0.74857921872304245</v>
      </c>
    </row>
    <row r="97" spans="3:17" x14ac:dyDescent="0.2">
      <c r="C97" s="8"/>
      <c r="D97">
        <f>0.5*Foglio1!E99+0.5*Foglio1!I99</f>
        <v>1.3576379967859056E-2</v>
      </c>
      <c r="F97" s="63">
        <v>91</v>
      </c>
      <c r="G97">
        <f t="shared" si="18"/>
        <v>-0.27854535943791564</v>
      </c>
      <c r="H97">
        <f t="shared" si="18"/>
        <v>-0.41082924185952957</v>
      </c>
      <c r="I97">
        <f t="shared" si="18"/>
        <v>-0.6453463971696447</v>
      </c>
      <c r="K97">
        <f t="shared" si="16"/>
        <v>-0.47063585489224824</v>
      </c>
      <c r="L97">
        <f t="shared" si="19"/>
        <v>-0.65685011342038646</v>
      </c>
      <c r="M97">
        <f t="shared" si="19"/>
        <v>-1.2552435486530411</v>
      </c>
      <c r="O97">
        <f t="shared" si="17"/>
        <v>-0.22393811756557266</v>
      </c>
      <c r="P97">
        <f t="shared" si="20"/>
        <v>-0.41376521142142869</v>
      </c>
      <c r="Q97">
        <f t="shared" si="20"/>
        <v>-0.75272650374831107</v>
      </c>
    </row>
    <row r="98" spans="3:17" x14ac:dyDescent="0.2">
      <c r="C98" s="7"/>
      <c r="D98">
        <f>0.5*Foglio1!E100+0.5*Foglio1!I100</f>
        <v>-1.4246954294708444E-2</v>
      </c>
      <c r="F98" s="63">
        <v>92</v>
      </c>
      <c r="G98">
        <f t="shared" si="18"/>
        <v>-0.28007164680528829</v>
      </c>
      <c r="H98">
        <f t="shared" si="18"/>
        <v>-0.41308037784421381</v>
      </c>
      <c r="I98">
        <f t="shared" si="18"/>
        <v>-0.6488825682821957</v>
      </c>
      <c r="K98">
        <f t="shared" si="16"/>
        <v>-0.473243275702939</v>
      </c>
      <c r="L98">
        <f t="shared" si="19"/>
        <v>-0.66044931906643956</v>
      </c>
      <c r="M98">
        <f t="shared" si="19"/>
        <v>-1.2621216469819856</v>
      </c>
      <c r="O98">
        <f t="shared" si="17"/>
        <v>-0.22517878145035272</v>
      </c>
      <c r="P98">
        <f t="shared" si="20"/>
        <v>-0.41603243503098797</v>
      </c>
      <c r="Q98">
        <f t="shared" si="20"/>
        <v>-0.75685106341096708</v>
      </c>
    </row>
    <row r="99" spans="3:17" x14ac:dyDescent="0.2">
      <c r="C99" s="7"/>
      <c r="D99">
        <f>0.5*Foglio1!E101+0.5*Foglio1!I101</f>
        <v>-2.9199487663802343E-2</v>
      </c>
      <c r="F99" s="63">
        <v>93</v>
      </c>
      <c r="G99">
        <f t="shared" si="18"/>
        <v>-0.28158966142963188</v>
      </c>
      <c r="H99">
        <f t="shared" si="18"/>
        <v>-0.41531931228027558</v>
      </c>
      <c r="I99">
        <f t="shared" si="18"/>
        <v>-0.65239957273219917</v>
      </c>
      <c r="K99">
        <f t="shared" si="16"/>
        <v>-0.47583640895368501</v>
      </c>
      <c r="L99">
        <f t="shared" si="19"/>
        <v>-0.66402901639180867</v>
      </c>
      <c r="M99">
        <f t="shared" si="19"/>
        <v>-1.268962464821541</v>
      </c>
      <c r="O99">
        <f t="shared" si="17"/>
        <v>-0.22641264702334801</v>
      </c>
      <c r="P99">
        <f t="shared" si="20"/>
        <v>-0.41828736989419946</v>
      </c>
      <c r="Q99">
        <f t="shared" si="20"/>
        <v>-0.76095326724278367</v>
      </c>
    </row>
    <row r="100" spans="3:17" x14ac:dyDescent="0.2">
      <c r="C100" s="7"/>
      <c r="D100">
        <f>0.5*Foglio1!E102+0.5*Foglio1!I102</f>
        <v>-2.7568207348923242E-2</v>
      </c>
      <c r="F100" s="63">
        <v>94</v>
      </c>
      <c r="G100">
        <f t="shared" si="18"/>
        <v>-0.2830995363893824</v>
      </c>
      <c r="H100">
        <f t="shared" si="18"/>
        <v>-0.41754624144638597</v>
      </c>
      <c r="I100">
        <f t="shared" si="18"/>
        <v>-0.65589771884175185</v>
      </c>
      <c r="K100">
        <f t="shared" si="16"/>
        <v>-0.47841548697113606</v>
      </c>
      <c r="L100">
        <f t="shared" si="19"/>
        <v>-0.66758951921463094</v>
      </c>
      <c r="M100">
        <f t="shared" si="19"/>
        <v>-1.2757666018795919</v>
      </c>
      <c r="O100">
        <f t="shared" si="17"/>
        <v>-0.22763982483030656</v>
      </c>
      <c r="P100">
        <f t="shared" si="20"/>
        <v>-0.4205302136924296</v>
      </c>
      <c r="Q100">
        <f t="shared" si="20"/>
        <v>-0.76503347486801065</v>
      </c>
    </row>
    <row r="101" spans="3:17" x14ac:dyDescent="0.2">
      <c r="C101" s="7"/>
      <c r="D101">
        <f>0.5*Foglio1!E103+0.5*Foglio1!I103</f>
        <v>-6.3553898455430014E-3</v>
      </c>
      <c r="F101" s="63">
        <v>95</v>
      </c>
      <c r="G101">
        <f t="shared" si="18"/>
        <v>-0.28460140123286776</v>
      </c>
      <c r="H101">
        <f t="shared" si="18"/>
        <v>-0.41976135641462542</v>
      </c>
      <c r="I101">
        <f t="shared" si="18"/>
        <v>-0.659377306754237</v>
      </c>
      <c r="K101">
        <f t="shared" si="16"/>
        <v>-0.48098073585302759</v>
      </c>
      <c r="L101">
        <f t="shared" si="19"/>
        <v>-0.67113113302853944</v>
      </c>
      <c r="M101">
        <f t="shared" si="19"/>
        <v>-1.2825346419558581</v>
      </c>
      <c r="O101">
        <f t="shared" si="17"/>
        <v>-0.22886042245313218</v>
      </c>
      <c r="P101">
        <f t="shared" si="20"/>
        <v>-0.42276115886324522</v>
      </c>
      <c r="Q101">
        <f t="shared" si="20"/>
        <v>-0.76909203637131651</v>
      </c>
    </row>
    <row r="102" spans="3:17" x14ac:dyDescent="0.2">
      <c r="C102" s="7"/>
      <c r="D102">
        <f>0.5*Foglio1!E104+0.5*Foglio1!I104</f>
        <v>-2.3319541682077664E-2</v>
      </c>
      <c r="F102" s="63">
        <v>96</v>
      </c>
      <c r="G102">
        <f t="shared" si="18"/>
        <v>-0.28609538210803109</v>
      </c>
      <c r="H102">
        <f t="shared" si="18"/>
        <v>-0.42196484324181416</v>
      </c>
      <c r="I102">
        <f t="shared" si="18"/>
        <v>-0.66283862873487454</v>
      </c>
      <c r="K102">
        <f t="shared" si="16"/>
        <v>-0.48353237569950835</v>
      </c>
      <c r="L102">
        <f t="shared" si="19"/>
        <v>-0.6746541553085702</v>
      </c>
      <c r="M102">
        <f t="shared" si="19"/>
        <v>-1.2892671535264835</v>
      </c>
      <c r="O102">
        <f t="shared" si="17"/>
        <v>-0.23007454461995483</v>
      </c>
      <c r="P102">
        <f t="shared" si="20"/>
        <v>-0.42498039279311189</v>
      </c>
      <c r="Q102">
        <f t="shared" si="20"/>
        <v>-0.7731292926483474</v>
      </c>
    </row>
    <row r="103" spans="3:17" x14ac:dyDescent="0.2">
      <c r="C103" s="7"/>
      <c r="D103">
        <f>0.5*Foglio1!E105+0.5*Foglio1!I105</f>
        <v>2.2421524001834219E-2</v>
      </c>
      <c r="F103" s="63">
        <v>97</v>
      </c>
      <c r="G103">
        <f t="shared" si="18"/>
        <v>-0.28758160188608878</v>
      </c>
      <c r="H103">
        <f t="shared" si="18"/>
        <v>-0.42415688315189626</v>
      </c>
      <c r="I103">
        <f t="shared" si="18"/>
        <v>-0.66628196945721585</v>
      </c>
      <c r="K103">
        <f t="shared" si="16"/>
        <v>-0.48607062083353808</v>
      </c>
      <c r="L103">
        <f t="shared" si="19"/>
        <v>-0.67815887580276457</v>
      </c>
      <c r="M103">
        <f t="shared" si="19"/>
        <v>-1.2959646903012914</v>
      </c>
      <c r="O103">
        <f t="shared" si="17"/>
        <v>-0.23128229331000039</v>
      </c>
      <c r="P103">
        <f t="shared" si="20"/>
        <v>-0.42718809800108115</v>
      </c>
      <c r="Q103">
        <f t="shared" si="20"/>
        <v>-0.77714557573989285</v>
      </c>
    </row>
    <row r="104" spans="3:17" x14ac:dyDescent="0.2">
      <c r="C104" s="7"/>
      <c r="D104">
        <f>0.5*Foglio1!E106+0.5*Foglio1!I106</f>
        <v>2.6283887087951374E-2</v>
      </c>
      <c r="F104" s="63">
        <v>98</v>
      </c>
      <c r="G104">
        <f t="shared" si="18"/>
        <v>-0.28906018027946606</v>
      </c>
      <c r="H104">
        <f t="shared" si="18"/>
        <v>-0.42633765270988444</v>
      </c>
      <c r="I104">
        <f t="shared" si="18"/>
        <v>-0.66970760627638393</v>
      </c>
      <c r="K104">
        <f t="shared" si="16"/>
        <v>-0.4885956800109798</v>
      </c>
      <c r="L104">
        <f t="shared" si="19"/>
        <v>-0.6816455768102796</v>
      </c>
      <c r="M104">
        <f t="shared" si="19"/>
        <v>-1.3026277917552513</v>
      </c>
      <c r="O104">
        <f t="shared" si="17"/>
        <v>-0.23248376785355687</v>
      </c>
      <c r="P104">
        <f t="shared" si="20"/>
        <v>-0.42938445231397815</v>
      </c>
      <c r="Q104">
        <f t="shared" si="20"/>
        <v>-0.7811412091505896</v>
      </c>
    </row>
    <row r="105" spans="3:17" x14ac:dyDescent="0.2">
      <c r="C105" s="7"/>
      <c r="D105">
        <f>0.5*Foglio1!E107+0.5*Foglio1!I107</f>
        <v>-1.9018842255201021E-3</v>
      </c>
      <c r="F105" s="63">
        <v>99</v>
      </c>
      <c r="G105">
        <f t="shared" si="18"/>
        <v>-0.29053123395433056</v>
      </c>
      <c r="H105">
        <f t="shared" si="18"/>
        <v>-0.42850732398783642</v>
      </c>
      <c r="I105">
        <f t="shared" si="18"/>
        <v>-0.67311580948979477</v>
      </c>
      <c r="K105">
        <f t="shared" si="16"/>
        <v>-0.49110775662097056</v>
      </c>
      <c r="L105">
        <f t="shared" si="19"/>
        <v>-0.68511453344675732</v>
      </c>
      <c r="M105">
        <f t="shared" si="19"/>
        <v>-1.3092569836356049</v>
      </c>
      <c r="O105">
        <f t="shared" si="17"/>
        <v>-0.23367906502731475</v>
      </c>
      <c r="P105">
        <f t="shared" si="20"/>
        <v>-0.43156962903356461</v>
      </c>
      <c r="Q105">
        <f t="shared" si="20"/>
        <v>-0.78511650815302614</v>
      </c>
    </row>
    <row r="106" spans="3:17" x14ac:dyDescent="0.2">
      <c r="C106" s="7"/>
      <c r="D106">
        <f>0.5*Foglio1!E108+0.5*Foglio1!I108</f>
        <v>1.7881776845050774E-2</v>
      </c>
      <c r="F106" s="63">
        <v>100</v>
      </c>
      <c r="G106">
        <f t="shared" si="18"/>
        <v>-0.29199487663802343</v>
      </c>
      <c r="H106">
        <f t="shared" si="18"/>
        <v>-0.43066606472330649</v>
      </c>
      <c r="I106">
        <f t="shared" si="18"/>
        <v>-0.67650684258605931</v>
      </c>
      <c r="K106">
        <f t="shared" si="16"/>
        <v>-0.49360704887711343</v>
      </c>
      <c r="L106">
        <f t="shared" si="19"/>
        <v>-0.68856601389766336</v>
      </c>
      <c r="M106">
        <f t="shared" si="19"/>
        <v>-1.3158527784459944</v>
      </c>
      <c r="O106">
        <f t="shared" si="17"/>
        <v>-0.23486827914534025</v>
      </c>
      <c r="P106">
        <f t="shared" si="20"/>
        <v>-0.43374379709612243</v>
      </c>
      <c r="Q106">
        <f t="shared" si="20"/>
        <v>-0.78907178007805878</v>
      </c>
    </row>
    <row r="107" spans="3:17" x14ac:dyDescent="0.2">
      <c r="C107" s="7"/>
      <c r="D107">
        <f>0.5*Foglio1!E109+0.5*Foglio1!I109</f>
        <v>-3.8116092876716912E-2</v>
      </c>
    </row>
    <row r="108" spans="3:17" x14ac:dyDescent="0.2">
      <c r="C108" s="7"/>
      <c r="D108">
        <f>0.5*Foglio1!E110+0.5*Foglio1!I110</f>
        <v>-1.2896556940324265E-2</v>
      </c>
    </row>
    <row r="109" spans="3:17" x14ac:dyDescent="0.2">
      <c r="C109" s="7"/>
      <c r="D109">
        <f>0.5*Foglio1!E111+0.5*Foglio1!I111</f>
        <v>1.1188917806924931E-2</v>
      </c>
    </row>
    <row r="110" spans="3:17" ht="29" x14ac:dyDescent="0.35">
      <c r="C110" s="7"/>
      <c r="D110">
        <f>0.5*Foglio1!E112+0.5*Foglio1!I112</f>
        <v>-1.4885857647664598E-2</v>
      </c>
      <c r="I110" s="80" t="s">
        <v>48</v>
      </c>
      <c r="L110" s="2">
        <f>G106</f>
        <v>-0.29199487663802343</v>
      </c>
      <c r="M110" s="96" t="s">
        <v>49</v>
      </c>
      <c r="N110">
        <f>0.5*O106+0.5*K106</f>
        <v>-0.36423766401122681</v>
      </c>
    </row>
    <row r="111" spans="3:17" x14ac:dyDescent="0.2">
      <c r="C111" s="7"/>
      <c r="D111">
        <f>0.5*Foglio1!E113+0.5*Foglio1!I113</f>
        <v>-1.185138807638988E-2</v>
      </c>
      <c r="L111">
        <f>H106</f>
        <v>-0.43066606472330649</v>
      </c>
      <c r="M111" s="96" t="s">
        <v>49</v>
      </c>
      <c r="N111" s="2">
        <f>0.5*P106+0.5*L106</f>
        <v>-0.56115490549689295</v>
      </c>
      <c r="P111" t="s">
        <v>114</v>
      </c>
    </row>
    <row r="112" spans="3:17" x14ac:dyDescent="0.2">
      <c r="C112" s="7"/>
      <c r="D112">
        <f>0.5*Foglio1!E114+0.5*Foglio1!I114</f>
        <v>-1.308059281404869E-2</v>
      </c>
      <c r="L112">
        <f>I106</f>
        <v>-0.67650684258605931</v>
      </c>
      <c r="M112" s="96" t="s">
        <v>49</v>
      </c>
      <c r="N112">
        <f>0.5*Q106+0.5*M106</f>
        <v>-1.0524622792620266</v>
      </c>
    </row>
    <row r="113" spans="3:4" x14ac:dyDescent="0.2">
      <c r="C113" s="8"/>
      <c r="D113">
        <f>0.5*Foglio1!E115+0.5*Foglio1!I115</f>
        <v>2.2913912038740655E-2</v>
      </c>
    </row>
    <row r="114" spans="3:4" x14ac:dyDescent="0.2">
      <c r="C114" s="8"/>
      <c r="D114">
        <f>0.5*Foglio1!E116+0.5*Foglio1!I116</f>
        <v>4.6926790019929058E-3</v>
      </c>
    </row>
    <row r="115" spans="3:4" x14ac:dyDescent="0.2">
      <c r="C115" s="8"/>
      <c r="D115">
        <f>0.5*Foglio1!E117+0.5*Foglio1!I117</f>
        <v>1.0211283337056449E-2</v>
      </c>
    </row>
    <row r="116" spans="3:4" x14ac:dyDescent="0.2">
      <c r="C116" s="8"/>
      <c r="D116">
        <f>0.5*Foglio1!E118+0.5*Foglio1!I118</f>
        <v>-2.4640506236877927E-2</v>
      </c>
    </row>
    <row r="117" spans="3:4" x14ac:dyDescent="0.2">
      <c r="C117" s="8"/>
      <c r="D117">
        <f>0.5*Foglio1!E119+0.5*Foglio1!I119</f>
        <v>2.5238426378760047E-3</v>
      </c>
    </row>
    <row r="118" spans="3:4" x14ac:dyDescent="0.2">
      <c r="C118" s="8"/>
      <c r="D118">
        <f>0.5*Foglio1!E120+0.5*Foglio1!I120</f>
        <v>2.5528732237335938E-2</v>
      </c>
    </row>
    <row r="119" spans="3:4" x14ac:dyDescent="0.2">
      <c r="C119" s="8"/>
      <c r="D119">
        <f>0.5*Foglio1!E121+0.5*Foglio1!I121</f>
        <v>-3.9745298188204378E-3</v>
      </c>
    </row>
    <row r="120" spans="3:4" x14ac:dyDescent="0.2">
      <c r="C120" s="8"/>
      <c r="D120">
        <f>0.5*Foglio1!E122+0.5*Foglio1!I122</f>
        <v>-8.4892168272447926E-3</v>
      </c>
    </row>
    <row r="121" spans="3:4" x14ac:dyDescent="0.2">
      <c r="C121" s="7"/>
      <c r="D121">
        <f>0.5*Foglio1!E123+0.5*Foglio1!I123</f>
        <v>-2.8833800396303754E-3</v>
      </c>
    </row>
    <row r="122" spans="3:4" x14ac:dyDescent="0.2">
      <c r="C122" s="7"/>
      <c r="D122">
        <f>0.5*Foglio1!E124+0.5*Foglio1!I124</f>
        <v>-1.0839577075200557E-2</v>
      </c>
    </row>
    <row r="123" spans="3:4" x14ac:dyDescent="0.2">
      <c r="C123" s="7"/>
      <c r="D123">
        <f>0.5*Foglio1!E125+0.5*Foglio1!I125</f>
        <v>5.8146723006994937E-2</v>
      </c>
    </row>
    <row r="124" spans="3:4" x14ac:dyDescent="0.2">
      <c r="C124" s="7"/>
      <c r="D124">
        <f>0.5*Foglio1!E126+0.5*Foglio1!I126</f>
        <v>-2.5507242881112394E-2</v>
      </c>
    </row>
    <row r="125" spans="3:4" x14ac:dyDescent="0.2">
      <c r="C125" s="7"/>
      <c r="D125">
        <f>0.5*Foglio1!E127+0.5*Foglio1!I127</f>
        <v>-1.454870184530483E-2</v>
      </c>
    </row>
    <row r="126" spans="3:4" x14ac:dyDescent="0.2">
      <c r="C126" s="7"/>
      <c r="D126">
        <f>0.5*Foglio1!E128+0.5*Foglio1!I128</f>
        <v>-5.0761177081929875E-3</v>
      </c>
    </row>
    <row r="127" spans="3:4" x14ac:dyDescent="0.2">
      <c r="C127" s="7"/>
    </row>
  </sheetData>
  <sortState xmlns:xlrd2="http://schemas.microsoft.com/office/spreadsheetml/2017/richdata2" ref="F3:F126">
    <sortCondition ref="F3:F12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1C07B-F25D-564C-A17E-1454067F8522}">
  <sheetPr codeName="Foglio5"/>
  <dimension ref="A1:AP132"/>
  <sheetViews>
    <sheetView topLeftCell="D75" workbookViewId="0">
      <selection activeCell="AC122" sqref="AC122"/>
    </sheetView>
  </sheetViews>
  <sheetFormatPr baseColWidth="10" defaultRowHeight="16" x14ac:dyDescent="0.2"/>
  <cols>
    <col min="39" max="39" width="15.33203125" customWidth="1"/>
  </cols>
  <sheetData>
    <row r="1" spans="1:37" x14ac:dyDescent="0.2">
      <c r="B1" t="s">
        <v>28</v>
      </c>
      <c r="C1">
        <v>1000000</v>
      </c>
      <c r="D1">
        <v>500000</v>
      </c>
      <c r="E1" t="s">
        <v>111</v>
      </c>
    </row>
    <row r="2" spans="1:37" x14ac:dyDescent="0.2">
      <c r="D2">
        <v>500000</v>
      </c>
      <c r="E2" t="s">
        <v>112</v>
      </c>
      <c r="L2" t="s">
        <v>26</v>
      </c>
      <c r="N2">
        <f>COUNT(L8:L131)</f>
        <v>123</v>
      </c>
    </row>
    <row r="4" spans="1:37" x14ac:dyDescent="0.2">
      <c r="F4" t="s">
        <v>44</v>
      </c>
      <c r="H4" t="s">
        <v>29</v>
      </c>
      <c r="N4">
        <f>'Historical Var'!S3</f>
        <v>117</v>
      </c>
    </row>
    <row r="5" spans="1:37" x14ac:dyDescent="0.2">
      <c r="A5" t="s">
        <v>42</v>
      </c>
      <c r="N5">
        <f>'Historical Var'!S4</f>
        <v>122</v>
      </c>
      <c r="P5" t="s">
        <v>31</v>
      </c>
    </row>
    <row r="6" spans="1:37" ht="19" x14ac:dyDescent="0.25">
      <c r="C6" s="13"/>
      <c r="G6" s="59" t="s">
        <v>43</v>
      </c>
      <c r="K6" s="59" t="s">
        <v>30</v>
      </c>
      <c r="N6">
        <f>'Historical Var'!S5</f>
        <v>123</v>
      </c>
    </row>
    <row r="7" spans="1:37" ht="27" x14ac:dyDescent="0.35">
      <c r="B7" s="77" t="s">
        <v>113</v>
      </c>
      <c r="C7" s="79" t="s">
        <v>112</v>
      </c>
      <c r="D7" s="75" t="s">
        <v>32</v>
      </c>
      <c r="F7" s="77" t="s">
        <v>111</v>
      </c>
      <c r="G7" s="79" t="s">
        <v>112</v>
      </c>
      <c r="H7" s="70" t="s">
        <v>32</v>
      </c>
      <c r="J7" s="77" t="s">
        <v>111</v>
      </c>
      <c r="K7" s="79" t="s">
        <v>112</v>
      </c>
      <c r="L7" s="70" t="s">
        <v>32</v>
      </c>
      <c r="T7" s="40" t="s">
        <v>45</v>
      </c>
      <c r="AF7" s="26" t="s">
        <v>46</v>
      </c>
      <c r="AG7" s="28"/>
    </row>
    <row r="8" spans="1:37" x14ac:dyDescent="0.2">
      <c r="B8" s="15">
        <f>B9</f>
        <v>285838.27571242582</v>
      </c>
      <c r="C8" s="15">
        <f>C9</f>
        <v>417426.68097281852</v>
      </c>
      <c r="D8" s="14">
        <f>D9*(1+'Historical Var'!D3)</f>
        <v>706729.90704175702</v>
      </c>
      <c r="F8">
        <f t="shared" ref="F8:F39" si="0">$B$8*B8/B9</f>
        <v>285838.27571242582</v>
      </c>
      <c r="G8">
        <f t="shared" ref="G8:G39" si="1">$C$8*C8/C9</f>
        <v>417426.68097281852</v>
      </c>
      <c r="H8">
        <f t="shared" ref="H8:H39" si="2">$D$8*D8/D9</f>
        <v>706729.90704175702</v>
      </c>
      <c r="J8" s="13"/>
      <c r="K8" s="13"/>
      <c r="L8" s="13"/>
    </row>
    <row r="9" spans="1:37" x14ac:dyDescent="0.2">
      <c r="B9">
        <f>B10*(1+Foglio1!E6)</f>
        <v>285838.27571242582</v>
      </c>
      <c r="C9">
        <f>C10*(1+Foglio1!I6)</f>
        <v>417426.68097281852</v>
      </c>
      <c r="D9" s="13">
        <f>D10*(1+'Historical Var'!D4)</f>
        <v>706729.90704175702</v>
      </c>
      <c r="F9">
        <f t="shared" si="0"/>
        <v>297506.68043600395</v>
      </c>
      <c r="G9">
        <f t="shared" si="1"/>
        <v>413704.79994089867</v>
      </c>
      <c r="H9">
        <f t="shared" si="2"/>
        <v>718004.1750445005</v>
      </c>
      <c r="J9" s="13">
        <f t="shared" ref="J9:J40" si="3">F9-$B$8</f>
        <v>11668.404723578133</v>
      </c>
      <c r="K9" s="13">
        <f t="shared" ref="K9:K40" si="4">G9-$C$8</f>
        <v>-3721.8810319198528</v>
      </c>
      <c r="L9" s="13">
        <f t="shared" ref="L9:L40" si="5">H9-$D$8</f>
        <v>11274.268002743484</v>
      </c>
    </row>
    <row r="10" spans="1:37" ht="19" x14ac:dyDescent="0.25">
      <c r="B10">
        <f>B11*(1+Foglio1!E7)</f>
        <v>274627.51338058722</v>
      </c>
      <c r="C10">
        <f>C11*(1+Foglio1!I7)</f>
        <v>421182.04577968549</v>
      </c>
      <c r="D10" s="13">
        <f>D11*(1+'Historical Var'!D5)</f>
        <v>695632.67020876927</v>
      </c>
      <c r="F10">
        <f t="shared" si="0"/>
        <v>280881.97020706022</v>
      </c>
      <c r="G10">
        <f t="shared" si="1"/>
        <v>417382.37756791798</v>
      </c>
      <c r="H10">
        <f t="shared" si="2"/>
        <v>700565.21546023572</v>
      </c>
      <c r="J10" s="13">
        <f t="shared" si="3"/>
        <v>-4956.3055053655989</v>
      </c>
      <c r="K10" s="13">
        <f t="shared" si="4"/>
        <v>-44.303404900536407</v>
      </c>
      <c r="L10" s="13">
        <f t="shared" si="5"/>
        <v>-6164.6915815212997</v>
      </c>
      <c r="O10" s="29"/>
      <c r="P10" s="71" t="s">
        <v>12</v>
      </c>
      <c r="Q10" s="30"/>
      <c r="R10" s="30"/>
      <c r="S10" s="30"/>
      <c r="T10" s="76" t="s">
        <v>111</v>
      </c>
      <c r="U10" s="30"/>
      <c r="V10" s="30"/>
      <c r="W10" s="30"/>
      <c r="X10" s="78" t="s">
        <v>112</v>
      </c>
      <c r="Y10" s="31"/>
      <c r="AA10" s="29"/>
      <c r="AB10" s="71" t="s">
        <v>12</v>
      </c>
      <c r="AC10" s="30"/>
      <c r="AD10" s="30"/>
      <c r="AE10" s="30"/>
      <c r="AF10" s="72" t="s">
        <v>111</v>
      </c>
      <c r="AG10" s="30"/>
      <c r="AH10" s="30"/>
      <c r="AI10" s="30"/>
      <c r="AJ10" s="78" t="s">
        <v>112</v>
      </c>
      <c r="AK10" s="31"/>
    </row>
    <row r="11" spans="1:37" ht="27" x14ac:dyDescent="0.35">
      <c r="B11">
        <f>B12*(1+Foglio1!E8)</f>
        <v>279473.45580789808</v>
      </c>
      <c r="C11">
        <f>C12*(1+Foglio1!I8)</f>
        <v>421226.75250357675</v>
      </c>
      <c r="D11" s="13">
        <f>D12*(1+'Historical Var'!D6)</f>
        <v>701753.95737980003</v>
      </c>
      <c r="F11">
        <f t="shared" si="0"/>
        <v>287475.03835315286</v>
      </c>
      <c r="G11">
        <f t="shared" si="1"/>
        <v>424637.67956444563</v>
      </c>
      <c r="H11">
        <f t="shared" si="2"/>
        <v>714857.67939571047</v>
      </c>
      <c r="J11" s="13">
        <f t="shared" si="3"/>
        <v>1636.7626407270436</v>
      </c>
      <c r="K11" s="13">
        <f t="shared" si="4"/>
        <v>7210.9985916271107</v>
      </c>
      <c r="L11" s="13">
        <f t="shared" si="5"/>
        <v>8127.7723539534491</v>
      </c>
      <c r="N11" s="24" t="s">
        <v>6</v>
      </c>
      <c r="O11" s="73">
        <v>0.95</v>
      </c>
      <c r="P11" s="61">
        <v>0.99</v>
      </c>
      <c r="Q11" s="62">
        <v>0.995</v>
      </c>
      <c r="S11" s="60">
        <v>0.95</v>
      </c>
      <c r="T11" s="61">
        <v>0.99</v>
      </c>
      <c r="U11" s="62">
        <v>0.995</v>
      </c>
      <c r="W11" s="60">
        <v>0.95</v>
      </c>
      <c r="X11" s="61">
        <v>0.99</v>
      </c>
      <c r="Y11" s="74">
        <v>0.995</v>
      </c>
      <c r="AA11" s="73">
        <v>0.95</v>
      </c>
      <c r="AB11" s="61">
        <v>0.99</v>
      </c>
      <c r="AC11" s="62">
        <v>0.995</v>
      </c>
      <c r="AE11" s="60">
        <v>0.95</v>
      </c>
      <c r="AF11" s="61">
        <v>0.99</v>
      </c>
      <c r="AG11" s="62">
        <v>0.995</v>
      </c>
      <c r="AI11" s="60">
        <v>0.95</v>
      </c>
      <c r="AJ11" s="61">
        <v>0.99</v>
      </c>
      <c r="AK11" s="74">
        <v>0.995</v>
      </c>
    </row>
    <row r="12" spans="1:37" x14ac:dyDescent="0.2">
      <c r="B12">
        <f>B13*(1+Foglio1!E9)</f>
        <v>277882.25083176617</v>
      </c>
      <c r="C12">
        <f>C13*(1+Foglio1!I9)</f>
        <v>414073.67668097309</v>
      </c>
      <c r="D12" s="13">
        <f>D13*(1+'Historical Var'!D7)</f>
        <v>693775.17142216652</v>
      </c>
      <c r="F12">
        <f t="shared" si="0"/>
        <v>291451.87242227711</v>
      </c>
      <c r="G12">
        <f t="shared" si="1"/>
        <v>416931.51290523511</v>
      </c>
      <c r="H12">
        <f t="shared" si="2"/>
        <v>713250.48911319114</v>
      </c>
      <c r="J12" s="13">
        <f t="shared" si="3"/>
        <v>5613.596709851292</v>
      </c>
      <c r="K12" s="13">
        <f t="shared" si="4"/>
        <v>-495.16806758340681</v>
      </c>
      <c r="L12" s="13">
        <f t="shared" si="5"/>
        <v>6520.5820714341244</v>
      </c>
      <c r="N12" s="39">
        <v>1</v>
      </c>
      <c r="O12" s="32">
        <f>SMALL(L8:L131,1+$N$2-$N$4)</f>
        <v>-20636.151202305919</v>
      </c>
      <c r="P12">
        <f>SMALL(L8:L131,1+$N$2-$N$5)</f>
        <v>-30436.458788794116</v>
      </c>
      <c r="Q12">
        <f>SMALL(L8:L131,1+$N$2-$N$6)</f>
        <v>-47810.761797395884</v>
      </c>
      <c r="S12">
        <f>SMALL(J8:J131,1+$N$2-$N$4)</f>
        <v>-14180.258209171181</v>
      </c>
      <c r="T12">
        <f>SMALL(J8:J131,1+$N$2-$N$5)</f>
        <v>-19681.852212668629</v>
      </c>
      <c r="U12">
        <f>SMALL(J8:J131,1+$N$2-$N$6)</f>
        <v>-37612.108928240777</v>
      </c>
      <c r="W12">
        <f>SMALL(K8:K131,1+$N$2-$N$4)</f>
        <v>-9853.4195079421042</v>
      </c>
      <c r="X12">
        <f>SMALL(K8:K131,1+$N$2-$N$5)</f>
        <v>-18105.623361438222</v>
      </c>
      <c r="Y12" s="33">
        <f>SMALL(K8:K131,1+$N$2-$N$6)</f>
        <v>-32937.961420729815</v>
      </c>
      <c r="AA12" s="32">
        <f t="shared" ref="AA12:AA43" si="6">O12/$D$8</f>
        <v>-2.9199487663802284E-2</v>
      </c>
      <c r="AB12">
        <f t="shared" ref="AB12:AB43" si="7">P12/$D$8</f>
        <v>-4.3066606472330571E-2</v>
      </c>
      <c r="AC12">
        <f t="shared" ref="AC12:AC43" si="8">Q12/$D$8</f>
        <v>-6.7650684258606014E-2</v>
      </c>
      <c r="AE12">
        <f t="shared" ref="AE12:AE43" si="9">S12/$B$8</f>
        <v>-4.9609375000000198E-2</v>
      </c>
      <c r="AF12">
        <f t="shared" ref="AF12:AF43" si="10">T12/$B$8</f>
        <v>-6.885660138976632E-2</v>
      </c>
      <c r="AG12">
        <f t="shared" ref="AG12:AG43" si="11">U12/$B$8</f>
        <v>-0.13158527784459947</v>
      </c>
      <c r="AI12">
        <f t="shared" ref="AI12:AI43" si="12">W12/$C$8</f>
        <v>-2.3605150214592363E-2</v>
      </c>
      <c r="AJ12">
        <f t="shared" ref="AJ12:AJ43" si="13">X12/$C$8</f>
        <v>-4.337437970961229E-2</v>
      </c>
      <c r="AK12" s="33">
        <f t="shared" ref="AK12:AK43" si="14">Y12/$C$8</f>
        <v>-7.8907178007805945E-2</v>
      </c>
    </row>
    <row r="13" spans="1:37" x14ac:dyDescent="0.2">
      <c r="B13">
        <f>B14*(1+Foglio1!E10)</f>
        <v>272530.01591204962</v>
      </c>
      <c r="C13">
        <f>C14*(1+Foglio1!I10)</f>
        <v>414565.45064377703</v>
      </c>
      <c r="D13" s="13">
        <f>D14*(1+'Historical Var'!D8)</f>
        <v>687432.63396382402</v>
      </c>
      <c r="F13">
        <f t="shared" si="0"/>
        <v>287978.24141294666</v>
      </c>
      <c r="G13">
        <f t="shared" si="1"/>
        <v>424662.38208019157</v>
      </c>
      <c r="H13">
        <f t="shared" si="2"/>
        <v>715500.67103987245</v>
      </c>
      <c r="J13" s="13">
        <f t="shared" si="3"/>
        <v>2139.9657005208428</v>
      </c>
      <c r="K13" s="13">
        <f t="shared" si="4"/>
        <v>7235.7011073730537</v>
      </c>
      <c r="L13" s="13">
        <f t="shared" si="5"/>
        <v>8770.7639981154352</v>
      </c>
      <c r="N13" s="39">
        <v>2</v>
      </c>
      <c r="O13" s="32">
        <f t="shared" ref="O13:Q32" si="15">O$12*SQRT($N13)</f>
        <v>-29183.924905482883</v>
      </c>
      <c r="P13">
        <f t="shared" si="15"/>
        <v>-43043.652809722429</v>
      </c>
      <c r="Q13">
        <f t="shared" si="15"/>
        <v>-67614.627761266718</v>
      </c>
      <c r="S13">
        <f t="shared" ref="S13:U32" si="16">S$12*SQRT($N13)</f>
        <v>-20053.913477362301</v>
      </c>
      <c r="T13">
        <f t="shared" si="16"/>
        <v>-27834.342331778887</v>
      </c>
      <c r="U13">
        <f t="shared" si="16"/>
        <v>-53191.554555772287</v>
      </c>
      <c r="W13">
        <f t="shared" ref="W13:Y32" si="17">W$12*SQRT($N13)</f>
        <v>-13934.839503883353</v>
      </c>
      <c r="X13">
        <f t="shared" si="17"/>
        <v>-25605.218112965082</v>
      </c>
      <c r="Y13" s="33">
        <f t="shared" si="17"/>
        <v>-46581.311758117889</v>
      </c>
      <c r="AA13" s="32">
        <f t="shared" si="6"/>
        <v>-4.1294311468495069E-2</v>
      </c>
      <c r="AB13">
        <f t="shared" si="7"/>
        <v>-6.0905378958554815E-2</v>
      </c>
      <c r="AC13">
        <f t="shared" si="8"/>
        <v>-9.5672515182340684E-2</v>
      </c>
      <c r="AE13">
        <f t="shared" si="9"/>
        <v>-7.015825094585304E-2</v>
      </c>
      <c r="AF13">
        <f t="shared" si="10"/>
        <v>-9.7377939544325651E-2</v>
      </c>
      <c r="AG13">
        <f t="shared" si="11"/>
        <v>-0.18608968453646452</v>
      </c>
      <c r="AI13">
        <f t="shared" si="12"/>
        <v>-3.3382723575330696E-2</v>
      </c>
      <c r="AJ13">
        <f t="shared" si="13"/>
        <v>-6.134063604485409E-2</v>
      </c>
      <c r="AK13" s="33">
        <f t="shared" si="14"/>
        <v>-0.1115916013072272</v>
      </c>
    </row>
    <row r="14" spans="1:37" x14ac:dyDescent="0.2">
      <c r="B14">
        <f>B15*(1+Foglio1!E11)</f>
        <v>270504.84594242717</v>
      </c>
      <c r="C14">
        <f>C15*(1+Foglio1!I11)</f>
        <v>407501.78826895589</v>
      </c>
      <c r="D14" s="13">
        <f>D15*(1+'Historical Var'!D9)</f>
        <v>679005.93411414127</v>
      </c>
      <c r="F14">
        <f t="shared" si="0"/>
        <v>275382.57371573226</v>
      </c>
      <c r="G14">
        <f t="shared" si="1"/>
        <v>415104.10179655685</v>
      </c>
      <c r="H14">
        <f t="shared" si="2"/>
        <v>691838.00399954477</v>
      </c>
      <c r="J14" s="13">
        <f t="shared" si="3"/>
        <v>-10455.701996693562</v>
      </c>
      <c r="K14" s="13">
        <f t="shared" si="4"/>
        <v>-2322.5791762616718</v>
      </c>
      <c r="L14" s="13">
        <f t="shared" si="5"/>
        <v>-14891.903042212245</v>
      </c>
      <c r="N14" s="39">
        <v>3</v>
      </c>
      <c r="O14" s="32">
        <f t="shared" si="15"/>
        <v>-35742.862355067424</v>
      </c>
      <c r="P14">
        <f t="shared" si="15"/>
        <v>-52717.493024667696</v>
      </c>
      <c r="Q14">
        <f t="shared" si="15"/>
        <v>-82810.668581662758</v>
      </c>
      <c r="S14">
        <f t="shared" si="16"/>
        <v>-24560.927682730144</v>
      </c>
      <c r="T14">
        <f t="shared" si="16"/>
        <v>-34089.96801940399</v>
      </c>
      <c r="U14">
        <f t="shared" si="16"/>
        <v>-65146.083643528014</v>
      </c>
      <c r="W14">
        <f t="shared" si="17"/>
        <v>-17066.623216046049</v>
      </c>
      <c r="X14">
        <f t="shared" si="17"/>
        <v>-31359.859564717</v>
      </c>
      <c r="Y14" s="33">
        <f t="shared" si="17"/>
        <v>-57050.222678447593</v>
      </c>
      <c r="AA14" s="32">
        <f t="shared" si="6"/>
        <v>-5.0574996188686216E-2</v>
      </c>
      <c r="AB14">
        <f t="shared" si="7"/>
        <v>-7.4593550519651192E-2</v>
      </c>
      <c r="AC14">
        <f t="shared" si="8"/>
        <v>-0.11717442230270567</v>
      </c>
      <c r="AE14">
        <f t="shared" si="9"/>
        <v>-8.5925958031737609E-2</v>
      </c>
      <c r="AF14">
        <f t="shared" si="10"/>
        <v>-0.11926313204359303</v>
      </c>
      <c r="AG14">
        <f t="shared" si="11"/>
        <v>-0.22791238675491357</v>
      </c>
      <c r="AI14">
        <f t="shared" si="12"/>
        <v>-4.0885319491969351E-2</v>
      </c>
      <c r="AJ14">
        <f t="shared" si="13"/>
        <v>-7.5126629403833092E-2</v>
      </c>
      <c r="AK14" s="33">
        <f t="shared" si="14"/>
        <v>-0.13667124139140144</v>
      </c>
    </row>
    <row r="15" spans="1:37" x14ac:dyDescent="0.2">
      <c r="B15">
        <f>B16*(1+Foglio1!E12)</f>
        <v>280775.3507883696</v>
      </c>
      <c r="C15">
        <f>C16*(1+Foglio1!I12)</f>
        <v>409781.83118741086</v>
      </c>
      <c r="D15" s="13">
        <f>D16*(1+'Historical Var'!D10)</f>
        <v>693621.62518265506</v>
      </c>
      <c r="F15">
        <f t="shared" si="0"/>
        <v>276232.06032253843</v>
      </c>
      <c r="G15">
        <f t="shared" si="1"/>
        <v>413770.19117517618</v>
      </c>
      <c r="H15">
        <f t="shared" si="2"/>
        <v>691758.97630627267</v>
      </c>
      <c r="J15" s="13">
        <f t="shared" si="3"/>
        <v>-9606.2153898873948</v>
      </c>
      <c r="K15" s="13">
        <f t="shared" si="4"/>
        <v>-3656.4897976423381</v>
      </c>
      <c r="L15" s="13">
        <f t="shared" si="5"/>
        <v>-14970.930735484348</v>
      </c>
      <c r="N15" s="39">
        <v>4</v>
      </c>
      <c r="O15" s="32">
        <f t="shared" si="15"/>
        <v>-41272.302404611837</v>
      </c>
      <c r="P15">
        <f t="shared" si="15"/>
        <v>-60872.917577588232</v>
      </c>
      <c r="Q15">
        <f t="shared" si="15"/>
        <v>-95621.523594791768</v>
      </c>
      <c r="S15">
        <f t="shared" si="16"/>
        <v>-28360.516418342362</v>
      </c>
      <c r="T15">
        <f t="shared" si="16"/>
        <v>-39363.704425337259</v>
      </c>
      <c r="U15">
        <f t="shared" si="16"/>
        <v>-75224.217856481555</v>
      </c>
      <c r="W15">
        <f t="shared" si="17"/>
        <v>-19706.839015884208</v>
      </c>
      <c r="X15">
        <f t="shared" si="17"/>
        <v>-36211.246722876444</v>
      </c>
      <c r="Y15" s="33">
        <f t="shared" si="17"/>
        <v>-65875.922841459629</v>
      </c>
      <c r="AA15" s="32">
        <f t="shared" si="6"/>
        <v>-5.8398975327604567E-2</v>
      </c>
      <c r="AB15">
        <f t="shared" si="7"/>
        <v>-8.6133212944661142E-2</v>
      </c>
      <c r="AC15">
        <f t="shared" si="8"/>
        <v>-0.13530136851721203</v>
      </c>
      <c r="AE15">
        <f t="shared" si="9"/>
        <v>-9.9218750000000397E-2</v>
      </c>
      <c r="AF15">
        <f t="shared" si="10"/>
        <v>-0.13771320277953264</v>
      </c>
      <c r="AG15">
        <f t="shared" si="11"/>
        <v>-0.26317055568919895</v>
      </c>
      <c r="AI15">
        <f t="shared" si="12"/>
        <v>-4.7210300429184726E-2</v>
      </c>
      <c r="AJ15">
        <f t="shared" si="13"/>
        <v>-8.674875941922458E-2</v>
      </c>
      <c r="AK15" s="33">
        <f t="shared" si="14"/>
        <v>-0.15781435601561189</v>
      </c>
    </row>
    <row r="16" spans="1:37" x14ac:dyDescent="0.2">
      <c r="B16">
        <f>B17*(1+Foglio1!E13)</f>
        <v>290539.56314190646</v>
      </c>
      <c r="C16">
        <f>C17*(1+Foglio1!I13)</f>
        <v>413403.07582260401</v>
      </c>
      <c r="D16" s="13">
        <f>D17*(1+'Historical Var'!D11)</f>
        <v>708632.86705000466</v>
      </c>
      <c r="F16">
        <f t="shared" si="0"/>
        <v>292314.7539554009</v>
      </c>
      <c r="G16">
        <f t="shared" si="1"/>
        <v>418876.23645747721</v>
      </c>
      <c r="H16">
        <f t="shared" si="2"/>
        <v>715963.48881573987</v>
      </c>
      <c r="J16" s="13">
        <f t="shared" si="3"/>
        <v>6476.4782429750776</v>
      </c>
      <c r="K16" s="13">
        <f t="shared" si="4"/>
        <v>1449.5554846586892</v>
      </c>
      <c r="L16" s="13">
        <f t="shared" si="5"/>
        <v>9233.581773982849</v>
      </c>
      <c r="N16" s="39">
        <v>5</v>
      </c>
      <c r="O16" s="32">
        <f t="shared" si="15"/>
        <v>-46143.836882320051</v>
      </c>
      <c r="P16">
        <f t="shared" si="15"/>
        <v>-68057.990846114568</v>
      </c>
      <c r="Q16">
        <f t="shared" si="15"/>
        <v>-106908.11343502723</v>
      </c>
      <c r="S16">
        <f t="shared" si="16"/>
        <v>-31708.021294206195</v>
      </c>
      <c r="T16">
        <f t="shared" si="16"/>
        <v>-44009.959470631708</v>
      </c>
      <c r="U16">
        <f t="shared" si="16"/>
        <v>-84103.232340673145</v>
      </c>
      <c r="W16">
        <f t="shared" si="17"/>
        <v>-22032.915830581074</v>
      </c>
      <c r="X16">
        <f t="shared" si="17"/>
        <v>-40485.404611184109</v>
      </c>
      <c r="Y16" s="33">
        <f t="shared" si="17"/>
        <v>-73651.520777017417</v>
      </c>
      <c r="AA16" s="32">
        <f t="shared" si="6"/>
        <v>-6.5292039324428439E-2</v>
      </c>
      <c r="AB16">
        <f t="shared" si="7"/>
        <v>-9.6299859632363594E-2</v>
      </c>
      <c r="AC16">
        <f t="shared" si="8"/>
        <v>-0.15127152872661803</v>
      </c>
      <c r="AE16">
        <f t="shared" si="9"/>
        <v>-0.11092993482127908</v>
      </c>
      <c r="AF16">
        <f t="shared" si="10"/>
        <v>-0.153968041407124</v>
      </c>
      <c r="AG16">
        <f t="shared" si="11"/>
        <v>-0.29423362609872145</v>
      </c>
      <c r="AI16">
        <f t="shared" si="12"/>
        <v>-5.278272049892227E-2</v>
      </c>
      <c r="AJ16">
        <f t="shared" si="13"/>
        <v>-9.6988061512580673E-2</v>
      </c>
      <c r="AK16" s="33">
        <f t="shared" si="14"/>
        <v>-0.17644181393813052</v>
      </c>
    </row>
    <row r="17" spans="2:37" x14ac:dyDescent="0.2">
      <c r="B17">
        <f>B18*(1+Foglio1!E14)</f>
        <v>284102.41573846363</v>
      </c>
      <c r="C17">
        <f>C18*(1+Foglio1!I14)</f>
        <v>411972.46065808326</v>
      </c>
      <c r="D17" s="13">
        <f>D18*(1+'Historical Var'!D12)</f>
        <v>699493.82626391493</v>
      </c>
      <c r="F17">
        <f t="shared" si="0"/>
        <v>280342.75830172503</v>
      </c>
      <c r="G17">
        <f t="shared" si="1"/>
        <v>412193.19172358792</v>
      </c>
      <c r="H17">
        <f t="shared" si="2"/>
        <v>695505.80891732301</v>
      </c>
      <c r="J17" s="13">
        <f t="shared" si="3"/>
        <v>-5495.5174107007915</v>
      </c>
      <c r="K17" s="13">
        <f t="shared" si="4"/>
        <v>-5233.4892492305953</v>
      </c>
      <c r="L17" s="13">
        <f t="shared" si="5"/>
        <v>-11224.098124434007</v>
      </c>
      <c r="N17" s="39">
        <v>6</v>
      </c>
      <c r="O17" s="32">
        <f t="shared" si="15"/>
        <v>-50548.040700571095</v>
      </c>
      <c r="P17">
        <f t="shared" si="15"/>
        <v>-74553.793609794098</v>
      </c>
      <c r="Q17">
        <f t="shared" si="15"/>
        <v>-117111.97061737103</v>
      </c>
      <c r="S17">
        <f t="shared" si="16"/>
        <v>-34734.397033381763</v>
      </c>
      <c r="T17">
        <f t="shared" si="16"/>
        <v>-48210.495113906203</v>
      </c>
      <c r="U17">
        <f t="shared" si="16"/>
        <v>-92130.475024169369</v>
      </c>
      <c r="W17">
        <f t="shared" si="17"/>
        <v>-24135.850016043853</v>
      </c>
      <c r="X17">
        <f t="shared" si="17"/>
        <v>-44349.538710538407</v>
      </c>
      <c r="Y17" s="33">
        <f t="shared" si="17"/>
        <v>-80681.198648265708</v>
      </c>
      <c r="AA17" s="32">
        <f t="shared" si="6"/>
        <v>-7.1523845527007635E-2</v>
      </c>
      <c r="AB17">
        <f t="shared" si="7"/>
        <v>-0.10549121081045336</v>
      </c>
      <c r="AC17">
        <f t="shared" si="8"/>
        <v>-0.16570965718371883</v>
      </c>
      <c r="AE17">
        <f t="shared" si="9"/>
        <v>-0.1215176552083847</v>
      </c>
      <c r="AF17">
        <f t="shared" si="10"/>
        <v>-0.16866353882714252</v>
      </c>
      <c r="AG17">
        <f t="shared" si="11"/>
        <v>-0.32231678838162092</v>
      </c>
      <c r="AI17">
        <f t="shared" si="12"/>
        <v>-5.7820573327500117E-2</v>
      </c>
      <c r="AJ17">
        <f t="shared" si="13"/>
        <v>-0.1062450981982781</v>
      </c>
      <c r="AK17" s="33">
        <f t="shared" si="14"/>
        <v>-0.19328232316208702</v>
      </c>
    </row>
    <row r="18" spans="2:37" x14ac:dyDescent="0.2">
      <c r="B18">
        <f>B19*(1+Foglio1!E15)</f>
        <v>289671.63315492531</v>
      </c>
      <c r="C18">
        <f>C19*(1+Foglio1!I15)</f>
        <v>417203.14735336223</v>
      </c>
      <c r="D18" s="13">
        <f>D19*(1+'Historical Var'!D13)</f>
        <v>710782.28315781744</v>
      </c>
      <c r="F18">
        <f t="shared" si="0"/>
        <v>287850.71516928973</v>
      </c>
      <c r="G18">
        <f t="shared" si="1"/>
        <v>425311.25525039225</v>
      </c>
      <c r="H18">
        <f t="shared" si="2"/>
        <v>715892.30965102615</v>
      </c>
      <c r="J18" s="13">
        <f t="shared" si="3"/>
        <v>2012.4394568639109</v>
      </c>
      <c r="K18" s="13">
        <f t="shared" si="4"/>
        <v>7884.5742775737308</v>
      </c>
      <c r="L18" s="13">
        <f t="shared" si="5"/>
        <v>9162.4026092691347</v>
      </c>
      <c r="N18" s="39">
        <v>7</v>
      </c>
      <c r="O18" s="32">
        <f t="shared" si="15"/>
        <v>-54598.124098828011</v>
      </c>
      <c r="P18">
        <f t="shared" si="15"/>
        <v>-80527.300744615422</v>
      </c>
      <c r="Q18">
        <f t="shared" si="15"/>
        <v>-126495.385708457</v>
      </c>
      <c r="S18">
        <f t="shared" si="16"/>
        <v>-37517.436748149077</v>
      </c>
      <c r="T18">
        <f t="shared" si="16"/>
        <v>-52073.286295847545</v>
      </c>
      <c r="U18">
        <f t="shared" si="16"/>
        <v>-99512.286508797231</v>
      </c>
      <c r="W18">
        <f t="shared" si="17"/>
        <v>-26069.697581607237</v>
      </c>
      <c r="X18">
        <f t="shared" si="17"/>
        <v>-47902.97674616686</v>
      </c>
      <c r="Y18" s="33">
        <f t="shared" si="17"/>
        <v>-87145.654612690822</v>
      </c>
      <c r="AA18" s="32">
        <f t="shared" si="6"/>
        <v>-7.7254582768919236E-2</v>
      </c>
      <c r="AB18">
        <f t="shared" si="7"/>
        <v>-0.11394353053727141</v>
      </c>
      <c r="AC18">
        <f t="shared" si="8"/>
        <v>-0.17898688657162354</v>
      </c>
      <c r="AE18">
        <f t="shared" si="9"/>
        <v>-0.13125406894734545</v>
      </c>
      <c r="AF18">
        <f t="shared" si="10"/>
        <v>-0.18217744340242617</v>
      </c>
      <c r="AG18">
        <f t="shared" si="11"/>
        <v>-0.34814192137414746</v>
      </c>
      <c r="AI18">
        <f t="shared" si="12"/>
        <v>-6.2453357128134344E-2</v>
      </c>
      <c r="AJ18">
        <f t="shared" si="13"/>
        <v>-0.1147578219833201</v>
      </c>
      <c r="AK18" s="33">
        <f t="shared" si="14"/>
        <v>-0.20876876966655963</v>
      </c>
    </row>
    <row r="19" spans="2:37" x14ac:dyDescent="0.2">
      <c r="B19">
        <f>B20*(1+Foglio1!E16)</f>
        <v>287646.46318530291</v>
      </c>
      <c r="C19">
        <f>C20*(1+Foglio1!I16)</f>
        <v>409468.88412017195</v>
      </c>
      <c r="D19" s="13">
        <f>D20*(1+'Historical Var'!D14)</f>
        <v>701685.28161438403</v>
      </c>
      <c r="F19">
        <f t="shared" si="0"/>
        <v>285479.36275949719</v>
      </c>
      <c r="G19">
        <f t="shared" si="1"/>
        <v>415340.68126344861</v>
      </c>
      <c r="H19">
        <f t="shared" si="2"/>
        <v>704520.33912867599</v>
      </c>
      <c r="J19" s="13">
        <f t="shared" si="3"/>
        <v>-358.91295292862924</v>
      </c>
      <c r="K19" s="13">
        <f t="shared" si="4"/>
        <v>-2085.9997093699058</v>
      </c>
      <c r="L19" s="13">
        <f t="shared" si="5"/>
        <v>-2209.5679130810313</v>
      </c>
      <c r="N19" s="39">
        <v>8</v>
      </c>
      <c r="O19" s="32">
        <f t="shared" si="15"/>
        <v>-58367.849810965767</v>
      </c>
      <c r="P19">
        <f t="shared" si="15"/>
        <v>-86087.305619444858</v>
      </c>
      <c r="Q19">
        <f t="shared" si="15"/>
        <v>-135229.25552253344</v>
      </c>
      <c r="S19">
        <f t="shared" si="16"/>
        <v>-40107.826954724602</v>
      </c>
      <c r="T19">
        <f t="shared" si="16"/>
        <v>-55668.684663557775</v>
      </c>
      <c r="U19">
        <f t="shared" si="16"/>
        <v>-106383.10911154457</v>
      </c>
      <c r="W19">
        <f t="shared" si="17"/>
        <v>-27869.679007766706</v>
      </c>
      <c r="X19">
        <f t="shared" si="17"/>
        <v>-51210.436225930163</v>
      </c>
      <c r="Y19" s="33">
        <f t="shared" si="17"/>
        <v>-93162.623516235777</v>
      </c>
      <c r="AA19" s="32">
        <f t="shared" si="6"/>
        <v>-8.2588622936990139E-2</v>
      </c>
      <c r="AB19">
        <f t="shared" si="7"/>
        <v>-0.12181075791710963</v>
      </c>
      <c r="AC19">
        <f t="shared" si="8"/>
        <v>-0.19134503036468137</v>
      </c>
      <c r="AE19">
        <f t="shared" si="9"/>
        <v>-0.14031650189170608</v>
      </c>
      <c r="AF19">
        <f t="shared" si="10"/>
        <v>-0.1947558790886513</v>
      </c>
      <c r="AG19">
        <f t="shared" si="11"/>
        <v>-0.37217936907292903</v>
      </c>
      <c r="AI19">
        <f t="shared" si="12"/>
        <v>-6.6765447150661392E-2</v>
      </c>
      <c r="AJ19">
        <f t="shared" si="13"/>
        <v>-0.12268127208970818</v>
      </c>
      <c r="AK19" s="33">
        <f t="shared" si="14"/>
        <v>-0.2231832026144544</v>
      </c>
    </row>
    <row r="20" spans="2:37" x14ac:dyDescent="0.2">
      <c r="B20">
        <f>B21*(1+Foglio1!E17)</f>
        <v>288008.10067987832</v>
      </c>
      <c r="C20">
        <f>C21*(1+Foglio1!I17)</f>
        <v>411525.39341917052</v>
      </c>
      <c r="D20" s="13">
        <f>D21*(1+'Historical Var'!D15)</f>
        <v>703885.95801395236</v>
      </c>
      <c r="F20">
        <f t="shared" si="0"/>
        <v>282714.36013086926</v>
      </c>
      <c r="G20">
        <f t="shared" si="1"/>
        <v>410032.29093531042</v>
      </c>
      <c r="H20">
        <f t="shared" si="2"/>
        <v>696608.40878096432</v>
      </c>
      <c r="J20" s="13">
        <f t="shared" si="3"/>
        <v>-3123.9155815565609</v>
      </c>
      <c r="K20" s="13">
        <f t="shared" si="4"/>
        <v>-7394.3900375080993</v>
      </c>
      <c r="L20" s="13">
        <f t="shared" si="5"/>
        <v>-10121.498260792694</v>
      </c>
      <c r="N20" s="39">
        <v>9</v>
      </c>
      <c r="O20" s="32">
        <f t="shared" si="15"/>
        <v>-61908.453606917756</v>
      </c>
      <c r="P20">
        <f t="shared" si="15"/>
        <v>-91309.376366382348</v>
      </c>
      <c r="Q20">
        <f t="shared" si="15"/>
        <v>-143432.28539218765</v>
      </c>
      <c r="S20">
        <f t="shared" si="16"/>
        <v>-42540.774627513543</v>
      </c>
      <c r="T20">
        <f t="shared" si="16"/>
        <v>-59045.556638005888</v>
      </c>
      <c r="U20">
        <f t="shared" si="16"/>
        <v>-112836.32678472233</v>
      </c>
      <c r="W20">
        <f t="shared" si="17"/>
        <v>-29560.258523826313</v>
      </c>
      <c r="X20">
        <f t="shared" si="17"/>
        <v>-54316.870084314665</v>
      </c>
      <c r="Y20" s="33">
        <f t="shared" si="17"/>
        <v>-98813.884262189444</v>
      </c>
      <c r="AA20" s="32">
        <f t="shared" si="6"/>
        <v>-8.7598462991406847E-2</v>
      </c>
      <c r="AB20">
        <f t="shared" si="7"/>
        <v>-0.12919981941699171</v>
      </c>
      <c r="AC20">
        <f t="shared" si="8"/>
        <v>-0.20295205277581804</v>
      </c>
      <c r="AE20">
        <f t="shared" si="9"/>
        <v>-0.14882812500000059</v>
      </c>
      <c r="AF20">
        <f t="shared" si="10"/>
        <v>-0.20656980416929896</v>
      </c>
      <c r="AG20">
        <f t="shared" si="11"/>
        <v>-0.39475583353379839</v>
      </c>
      <c r="AI20">
        <f t="shared" si="12"/>
        <v>-7.0815450643777089E-2</v>
      </c>
      <c r="AJ20">
        <f t="shared" si="13"/>
        <v>-0.13012313912883686</v>
      </c>
      <c r="AK20" s="33">
        <f t="shared" si="14"/>
        <v>-0.23672153402341783</v>
      </c>
    </row>
    <row r="21" spans="2:37" x14ac:dyDescent="0.2">
      <c r="B21">
        <f>B22*(1+Foglio1!E18)</f>
        <v>291190.51063214213</v>
      </c>
      <c r="C21">
        <f>C22*(1+Foglio1!I18)</f>
        <v>418946.70958512189</v>
      </c>
      <c r="D21" s="13">
        <f>D22*(1+'Historical Var'!D16)</f>
        <v>714113.1967466888</v>
      </c>
      <c r="F21">
        <f t="shared" si="0"/>
        <v>272246.24982688105</v>
      </c>
      <c r="G21">
        <f t="shared" si="1"/>
        <v>414156.21253533958</v>
      </c>
      <c r="H21">
        <f t="shared" si="2"/>
        <v>687158.33389415732</v>
      </c>
      <c r="J21" s="13">
        <f t="shared" si="3"/>
        <v>-13592.025885544776</v>
      </c>
      <c r="K21" s="13">
        <f t="shared" si="4"/>
        <v>-3270.4684374789358</v>
      </c>
      <c r="L21" s="13">
        <f t="shared" si="5"/>
        <v>-19571.573147599702</v>
      </c>
      <c r="N21" s="39">
        <v>10</v>
      </c>
      <c r="O21" s="32">
        <f t="shared" si="15"/>
        <v>-65257.239938908853</v>
      </c>
      <c r="P21">
        <f t="shared" si="15"/>
        <v>-96248.533682439171</v>
      </c>
      <c r="Q21">
        <f t="shared" si="15"/>
        <v>-151190.9039475368</v>
      </c>
      <c r="S21">
        <f t="shared" si="16"/>
        <v>-44841.913750281296</v>
      </c>
      <c r="T21">
        <f t="shared" si="16"/>
        <v>-62239.481562857596</v>
      </c>
      <c r="U21">
        <f t="shared" si="16"/>
        <v>-118939.93181559547</v>
      </c>
      <c r="W21">
        <f t="shared" si="17"/>
        <v>-31159.248386232623</v>
      </c>
      <c r="X21">
        <f t="shared" si="17"/>
        <v>-57255.008279298811</v>
      </c>
      <c r="Y21" s="33">
        <f t="shared" si="17"/>
        <v>-104158.97957226183</v>
      </c>
      <c r="AA21" s="32">
        <f t="shared" si="6"/>
        <v>-9.2336887527604147E-2</v>
      </c>
      <c r="AB21">
        <f t="shared" si="7"/>
        <v>-0.13618856754671391</v>
      </c>
      <c r="AC21">
        <f t="shared" si="8"/>
        <v>-0.21393024752609446</v>
      </c>
      <c r="AE21">
        <f t="shared" si="9"/>
        <v>-0.15687861829741631</v>
      </c>
      <c r="AF21">
        <f t="shared" si="10"/>
        <v>-0.21774369232997703</v>
      </c>
      <c r="AG21">
        <f t="shared" si="11"/>
        <v>-0.4161091845350261</v>
      </c>
      <c r="AI21">
        <f t="shared" si="12"/>
        <v>-7.4646039188524249E-2</v>
      </c>
      <c r="AJ21">
        <f t="shared" si="13"/>
        <v>-0.1371618319793676</v>
      </c>
      <c r="AK21" s="33">
        <f t="shared" si="14"/>
        <v>-0.24952640624101441</v>
      </c>
    </row>
    <row r="22" spans="2:37" x14ac:dyDescent="0.2">
      <c r="B22">
        <f>B23*(1+Foglio1!E19)</f>
        <v>305728.33791407477</v>
      </c>
      <c r="C22">
        <f>C23*(1+Foglio1!I19)</f>
        <v>422255.00715307612</v>
      </c>
      <c r="D22" s="13">
        <f>D23*(1+'Historical Var'!D17)</f>
        <v>734452.49553186062</v>
      </c>
      <c r="F22">
        <f t="shared" si="0"/>
        <v>288087.36085751647</v>
      </c>
      <c r="G22">
        <f t="shared" si="1"/>
        <v>411544.36344345211</v>
      </c>
      <c r="H22">
        <f t="shared" si="2"/>
        <v>704530.74921742966</v>
      </c>
      <c r="J22" s="13">
        <f t="shared" si="3"/>
        <v>2249.0851450906484</v>
      </c>
      <c r="K22" s="13">
        <f t="shared" si="4"/>
        <v>-5882.3175293664099</v>
      </c>
      <c r="L22" s="13">
        <f t="shared" si="5"/>
        <v>-2199.1578243273543</v>
      </c>
      <c r="N22" s="39">
        <v>11</v>
      </c>
      <c r="O22" s="32">
        <f t="shared" si="15"/>
        <v>-68442.370655090199</v>
      </c>
      <c r="P22">
        <f t="shared" si="15"/>
        <v>-100946.31374954505</v>
      </c>
      <c r="Q22">
        <f t="shared" si="15"/>
        <v>-158570.35782302008</v>
      </c>
      <c r="S22">
        <f t="shared" si="16"/>
        <v>-47030.595910177806</v>
      </c>
      <c r="T22">
        <f t="shared" si="16"/>
        <v>-65277.318968648055</v>
      </c>
      <c r="U22">
        <f t="shared" si="16"/>
        <v>-124745.25288895103</v>
      </c>
      <c r="W22">
        <f t="shared" si="17"/>
        <v>-32680.095409812289</v>
      </c>
      <c r="X22">
        <f t="shared" si="17"/>
        <v>-60049.559285383868</v>
      </c>
      <c r="Y22" s="33">
        <f t="shared" si="17"/>
        <v>-109242.85939176226</v>
      </c>
      <c r="AA22" s="32">
        <f t="shared" si="6"/>
        <v>-9.6843744651443325E-2</v>
      </c>
      <c r="AB22">
        <f t="shared" si="7"/>
        <v>-0.14283577466261188</v>
      </c>
      <c r="AC22">
        <f t="shared" si="8"/>
        <v>-0.22437193649659851</v>
      </c>
      <c r="AE22">
        <f t="shared" si="9"/>
        <v>-0.16453568295903806</v>
      </c>
      <c r="AF22">
        <f t="shared" si="10"/>
        <v>-0.22837151114891907</v>
      </c>
      <c r="AG22">
        <f t="shared" si="11"/>
        <v>-0.43641899454520172</v>
      </c>
      <c r="AI22">
        <f t="shared" si="12"/>
        <v>-7.8289426381780117E-2</v>
      </c>
      <c r="AJ22">
        <f t="shared" si="13"/>
        <v>-0.14385654301118836</v>
      </c>
      <c r="AK22" s="33">
        <f t="shared" si="14"/>
        <v>-0.26170550271767562</v>
      </c>
    </row>
    <row r="23" spans="2:37" x14ac:dyDescent="0.2">
      <c r="B23">
        <f>B24*(1+Foglio1!E20)</f>
        <v>303341.53044987685</v>
      </c>
      <c r="C23">
        <f>C24*(1+Foglio1!I20)</f>
        <v>428290.41487839801</v>
      </c>
      <c r="D23" s="13">
        <f>D24*(1+'Historical Var'!D18)</f>
        <v>736745.05260469206</v>
      </c>
      <c r="F23">
        <f t="shared" si="0"/>
        <v>296954.60201583197</v>
      </c>
      <c r="G23">
        <f t="shared" si="1"/>
        <v>422097.06604597863</v>
      </c>
      <c r="H23">
        <f t="shared" si="2"/>
        <v>724425.99315749062</v>
      </c>
      <c r="J23" s="13">
        <f t="shared" si="3"/>
        <v>11116.326303406153</v>
      </c>
      <c r="K23" s="13">
        <f t="shared" si="4"/>
        <v>4670.3850731601124</v>
      </c>
      <c r="L23" s="13">
        <f t="shared" si="5"/>
        <v>17696.086115733604</v>
      </c>
      <c r="N23" s="39">
        <v>12</v>
      </c>
      <c r="O23" s="32">
        <f t="shared" si="15"/>
        <v>-71485.724710134848</v>
      </c>
      <c r="P23">
        <f t="shared" si="15"/>
        <v>-105434.98604933539</v>
      </c>
      <c r="Q23">
        <f t="shared" si="15"/>
        <v>-165621.33716332552</v>
      </c>
      <c r="S23">
        <f t="shared" si="16"/>
        <v>-49121.855365460287</v>
      </c>
      <c r="T23">
        <f t="shared" si="16"/>
        <v>-68179.93603880798</v>
      </c>
      <c r="U23">
        <f t="shared" si="16"/>
        <v>-130292.16728705603</v>
      </c>
      <c r="W23">
        <f t="shared" si="17"/>
        <v>-34133.246432092099</v>
      </c>
      <c r="X23">
        <f t="shared" si="17"/>
        <v>-62719.719129434001</v>
      </c>
      <c r="Y23" s="33">
        <f t="shared" si="17"/>
        <v>-114100.44535689519</v>
      </c>
      <c r="AA23" s="32">
        <f t="shared" si="6"/>
        <v>-0.10114999237737243</v>
      </c>
      <c r="AB23">
        <f t="shared" si="7"/>
        <v>-0.14918710103930238</v>
      </c>
      <c r="AC23">
        <f t="shared" si="8"/>
        <v>-0.23434884460541133</v>
      </c>
      <c r="AE23">
        <f t="shared" si="9"/>
        <v>-0.17185191606347522</v>
      </c>
      <c r="AF23">
        <f t="shared" si="10"/>
        <v>-0.23852626408718605</v>
      </c>
      <c r="AG23">
        <f t="shared" si="11"/>
        <v>-0.45582477350982714</v>
      </c>
      <c r="AI23">
        <f t="shared" si="12"/>
        <v>-8.1770638983938701E-2</v>
      </c>
      <c r="AJ23">
        <f t="shared" si="13"/>
        <v>-0.15025325880766618</v>
      </c>
      <c r="AK23" s="33">
        <f t="shared" si="14"/>
        <v>-0.27334248278280288</v>
      </c>
    </row>
    <row r="24" spans="2:37" x14ac:dyDescent="0.2">
      <c r="B24">
        <f>B25*(1+Foglio1!E21)</f>
        <v>291986.11312020815</v>
      </c>
      <c r="C24">
        <f>C25*(1+Foglio1!I21)</f>
        <v>423551.50214592303</v>
      </c>
      <c r="D24" s="13">
        <f>D25*(1+'Historical Var'!D19)</f>
        <v>718748.03977056127</v>
      </c>
      <c r="F24">
        <f t="shared" si="0"/>
        <v>288843.33393017849</v>
      </c>
      <c r="G24">
        <f t="shared" si="1"/>
        <v>399464.68439762451</v>
      </c>
      <c r="H24">
        <f t="shared" si="2"/>
        <v>695239.48174309835</v>
      </c>
      <c r="J24" s="13">
        <f t="shared" si="3"/>
        <v>3005.0582177526667</v>
      </c>
      <c r="K24" s="13">
        <f t="shared" si="4"/>
        <v>-17961.996575194004</v>
      </c>
      <c r="L24" s="13">
        <f t="shared" si="5"/>
        <v>-11490.425298658665</v>
      </c>
      <c r="N24" s="39">
        <v>13</v>
      </c>
      <c r="O24" s="32">
        <f t="shared" si="15"/>
        <v>-74404.701288141834</v>
      </c>
      <c r="P24">
        <f t="shared" si="15"/>
        <v>-109740.21280654377</v>
      </c>
      <c r="Q24">
        <f t="shared" si="15"/>
        <v>-172384.15317950569</v>
      </c>
      <c r="S24">
        <f t="shared" si="16"/>
        <v>-51127.648072485856</v>
      </c>
      <c r="T24">
        <f t="shared" si="16"/>
        <v>-70963.927348881116</v>
      </c>
      <c r="U24">
        <f t="shared" si="16"/>
        <v>-135612.38731910902</v>
      </c>
      <c r="W24">
        <f t="shared" si="17"/>
        <v>-35527.009274542404</v>
      </c>
      <c r="X24">
        <f t="shared" si="17"/>
        <v>-65280.753403904178</v>
      </c>
      <c r="Y24" s="33">
        <f t="shared" si="17"/>
        <v>-118759.50881169605</v>
      </c>
      <c r="AA24" s="32">
        <f t="shared" si="6"/>
        <v>-0.10528024998911734</v>
      </c>
      <c r="AB24">
        <f t="shared" si="7"/>
        <v>-0.15527885789621718</v>
      </c>
      <c r="AC24">
        <f t="shared" si="8"/>
        <v>-0.24391801091462853</v>
      </c>
      <c r="AE24">
        <f t="shared" si="9"/>
        <v>-0.17886914530622205</v>
      </c>
      <c r="AF24">
        <f t="shared" si="10"/>
        <v>-0.24826600696498746</v>
      </c>
      <c r="AG24">
        <f t="shared" si="11"/>
        <v>-0.47443746636487893</v>
      </c>
      <c r="AI24">
        <f t="shared" si="12"/>
        <v>-8.5109579463742535E-2</v>
      </c>
      <c r="AJ24">
        <f t="shared" si="13"/>
        <v>-0.15638855008445196</v>
      </c>
      <c r="AK24" s="33">
        <f t="shared" si="14"/>
        <v>-0.28450387630930879</v>
      </c>
    </row>
    <row r="25" spans="2:37" x14ac:dyDescent="0.2">
      <c r="B25">
        <f>B26*(1+Foglio1!E22)</f>
        <v>288948.35816577449</v>
      </c>
      <c r="C25">
        <f>C26*(1+Foglio1!I22)</f>
        <v>442596.56652360549</v>
      </c>
      <c r="D25" s="13">
        <f>D26*(1+'Historical Var'!D20)</f>
        <v>730626.99785107013</v>
      </c>
      <c r="F25">
        <f t="shared" si="0"/>
        <v>284982.25891468459</v>
      </c>
      <c r="G25">
        <f t="shared" si="1"/>
        <v>413004.61139625259</v>
      </c>
      <c r="H25">
        <f t="shared" si="2"/>
        <v>701928.24165248242</v>
      </c>
      <c r="J25" s="13">
        <f t="shared" si="3"/>
        <v>-856.01679774123477</v>
      </c>
      <c r="K25" s="13">
        <f t="shared" si="4"/>
        <v>-4422.0695765659329</v>
      </c>
      <c r="L25" s="13">
        <f t="shared" si="5"/>
        <v>-4801.6653892745962</v>
      </c>
      <c r="N25" s="39">
        <v>14</v>
      </c>
      <c r="O25" s="32">
        <f t="shared" si="15"/>
        <v>-77213.407580691885</v>
      </c>
      <c r="P25">
        <f t="shared" si="15"/>
        <v>-113882.80085433215</v>
      </c>
      <c r="Q25">
        <f t="shared" si="15"/>
        <v>-178891.49004651568</v>
      </c>
      <c r="S25">
        <f t="shared" si="16"/>
        <v>-53057.667874707171</v>
      </c>
      <c r="T25">
        <f t="shared" si="16"/>
        <v>-73642.747716924612</v>
      </c>
      <c r="U25">
        <f t="shared" si="16"/>
        <v>-140731.6252034982</v>
      </c>
      <c r="W25">
        <f t="shared" si="17"/>
        <v>-36868.119886874032</v>
      </c>
      <c r="X25">
        <f t="shared" si="17"/>
        <v>-67745.039392472157</v>
      </c>
      <c r="Y25" s="33">
        <f t="shared" si="17"/>
        <v>-123242.56665514881</v>
      </c>
      <c r="AA25" s="32">
        <f t="shared" si="6"/>
        <v>-0.10925447870728038</v>
      </c>
      <c r="AB25">
        <f t="shared" si="7"/>
        <v>-0.16114048623048211</v>
      </c>
      <c r="AC25">
        <f t="shared" si="8"/>
        <v>-0.25312568247652478</v>
      </c>
      <c r="AE25">
        <f t="shared" si="9"/>
        <v>-0.18562128442198925</v>
      </c>
      <c r="AF25">
        <f t="shared" si="10"/>
        <v>-0.25763781121816798</v>
      </c>
      <c r="AG25">
        <f t="shared" si="11"/>
        <v>-0.49234702683794695</v>
      </c>
      <c r="AI25">
        <f t="shared" si="12"/>
        <v>-8.8322384666338002E-2</v>
      </c>
      <c r="AJ25">
        <f t="shared" si="13"/>
        <v>-0.16229206823720857</v>
      </c>
      <c r="AK25" s="33">
        <f t="shared" si="14"/>
        <v>-0.29524362546239341</v>
      </c>
    </row>
    <row r="26" spans="2:37" x14ac:dyDescent="0.2">
      <c r="B26">
        <f>B27*(1+Foglio1!E23)</f>
        <v>289816.28815275553</v>
      </c>
      <c r="C26">
        <f>C27*(1+Foglio1!I23)</f>
        <v>447335.47925608046</v>
      </c>
      <c r="D26" s="13">
        <f>D27*(1+'Historical Var'!D21)</f>
        <v>735624.98220313445</v>
      </c>
      <c r="F26">
        <f t="shared" si="0"/>
        <v>288429.60734819702</v>
      </c>
      <c r="G26">
        <f t="shared" si="1"/>
        <v>413951.57282596844</v>
      </c>
      <c r="H26">
        <f t="shared" si="2"/>
        <v>706991.6275671192</v>
      </c>
      <c r="J26" s="13">
        <f t="shared" si="3"/>
        <v>2591.3316357712029</v>
      </c>
      <c r="K26" s="13">
        <f t="shared" si="4"/>
        <v>-3475.1081468500779</v>
      </c>
      <c r="L26" s="13">
        <f t="shared" si="5"/>
        <v>261.72052536217961</v>
      </c>
      <c r="N26" s="39">
        <v>15</v>
      </c>
      <c r="O26" s="32">
        <f t="shared" si="15"/>
        <v>-79923.469936348993</v>
      </c>
      <c r="P26">
        <f t="shared" si="15"/>
        <v>-117879.89800652798</v>
      </c>
      <c r="Q26">
        <f t="shared" si="15"/>
        <v>-185170.28421080406</v>
      </c>
      <c r="S26">
        <f t="shared" si="16"/>
        <v>-54919.903889040994</v>
      </c>
      <c r="T26">
        <f t="shared" si="16"/>
        <v>-76227.48584218121</v>
      </c>
      <c r="U26">
        <f t="shared" si="16"/>
        <v>-145671.07149481584</v>
      </c>
      <c r="W26">
        <f t="shared" si="17"/>
        <v>-38162.129657455051</v>
      </c>
      <c r="X26">
        <f t="shared" si="17"/>
        <v>-70122.777751554182</v>
      </c>
      <c r="Y26" s="33">
        <f t="shared" si="17"/>
        <v>-127568.17604050896</v>
      </c>
      <c r="AA26" s="32">
        <f t="shared" si="6"/>
        <v>-0.11308912943969517</v>
      </c>
      <c r="AB26">
        <f t="shared" si="7"/>
        <v>-0.16679624964500486</v>
      </c>
      <c r="AC26">
        <f t="shared" si="8"/>
        <v>-0.26200997349311739</v>
      </c>
      <c r="AE26">
        <f t="shared" si="9"/>
        <v>-0.19213628319075934</v>
      </c>
      <c r="AF26">
        <f t="shared" si="10"/>
        <v>-0.2666804704590075</v>
      </c>
      <c r="AG26">
        <f t="shared" si="11"/>
        <v>-0.50962758969820954</v>
      </c>
      <c r="AI26">
        <f t="shared" si="12"/>
        <v>-9.1422353665840644E-2</v>
      </c>
      <c r="AJ26">
        <f t="shared" si="13"/>
        <v>-0.1679882502674053</v>
      </c>
      <c r="AK26" s="33">
        <f t="shared" si="14"/>
        <v>-0.30560618632045655</v>
      </c>
    </row>
    <row r="27" spans="2:37" x14ac:dyDescent="0.2">
      <c r="B27">
        <f>B28*(1+Foglio1!E24)</f>
        <v>287212.49819181237</v>
      </c>
      <c r="C27">
        <f>C28*(1+Foglio1!I24)</f>
        <v>451090.84406294744</v>
      </c>
      <c r="D27" s="13">
        <f>D28*(1+'Historical Var'!D22)</f>
        <v>735352.66192478233</v>
      </c>
      <c r="F27">
        <f t="shared" si="0"/>
        <v>290075.08123026905</v>
      </c>
      <c r="G27">
        <f t="shared" si="1"/>
        <v>423129.91872772132</v>
      </c>
      <c r="H27">
        <f t="shared" si="2"/>
        <v>716795.59114445397</v>
      </c>
      <c r="J27" s="13">
        <f t="shared" si="3"/>
        <v>4236.805517843226</v>
      </c>
      <c r="K27" s="13">
        <f t="shared" si="4"/>
        <v>5703.2377549028024</v>
      </c>
      <c r="L27" s="13">
        <f t="shared" si="5"/>
        <v>10065.684102696949</v>
      </c>
      <c r="N27" s="39">
        <v>16</v>
      </c>
      <c r="O27" s="32">
        <f t="shared" si="15"/>
        <v>-82544.604809223674</v>
      </c>
      <c r="P27">
        <f t="shared" si="15"/>
        <v>-121745.83515517646</v>
      </c>
      <c r="Q27">
        <f t="shared" si="15"/>
        <v>-191243.04718958354</v>
      </c>
      <c r="S27">
        <f t="shared" si="16"/>
        <v>-56721.032836684724</v>
      </c>
      <c r="T27">
        <f t="shared" si="16"/>
        <v>-78727.408850674517</v>
      </c>
      <c r="U27">
        <f t="shared" si="16"/>
        <v>-150448.43571296311</v>
      </c>
      <c r="W27">
        <f t="shared" si="17"/>
        <v>-39413.678031768417</v>
      </c>
      <c r="X27">
        <f t="shared" si="17"/>
        <v>-72422.493445752887</v>
      </c>
      <c r="Y27" s="33">
        <f t="shared" si="17"/>
        <v>-131751.84568291926</v>
      </c>
      <c r="AA27" s="32">
        <f t="shared" si="6"/>
        <v>-0.11679795065520913</v>
      </c>
      <c r="AB27">
        <f t="shared" si="7"/>
        <v>-0.17226642588932228</v>
      </c>
      <c r="AC27">
        <f t="shared" si="8"/>
        <v>-0.27060273703442406</v>
      </c>
      <c r="AE27">
        <f t="shared" si="9"/>
        <v>-0.19843750000000079</v>
      </c>
      <c r="AF27">
        <f t="shared" si="10"/>
        <v>-0.27542640555906528</v>
      </c>
      <c r="AG27">
        <f t="shared" si="11"/>
        <v>-0.5263411113783979</v>
      </c>
      <c r="AI27">
        <f t="shared" si="12"/>
        <v>-9.4420600858369452E-2</v>
      </c>
      <c r="AJ27">
        <f t="shared" si="13"/>
        <v>-0.17349751883844916</v>
      </c>
      <c r="AK27" s="33">
        <f t="shared" si="14"/>
        <v>-0.31562871203122378</v>
      </c>
    </row>
    <row r="28" spans="2:37" x14ac:dyDescent="0.2">
      <c r="B28">
        <f>B29*(1+Foglio1!E25)</f>
        <v>283017.50325473736</v>
      </c>
      <c r="C28">
        <f>C29*(1+Foglio1!I25)</f>
        <v>445010.72961373429</v>
      </c>
      <c r="D28" s="13">
        <f>D29*(1+'Historical Var'!D23)</f>
        <v>725026.38803239667</v>
      </c>
      <c r="F28">
        <f t="shared" si="0"/>
        <v>289762.99815096433</v>
      </c>
      <c r="G28">
        <f t="shared" si="1"/>
        <v>413686.2985268255</v>
      </c>
      <c r="H28">
        <f t="shared" si="2"/>
        <v>708415.45662319777</v>
      </c>
      <c r="J28" s="13">
        <f t="shared" si="3"/>
        <v>3924.7224385385052</v>
      </c>
      <c r="K28" s="13">
        <f t="shared" si="4"/>
        <v>-3740.3824459930183</v>
      </c>
      <c r="L28" s="13">
        <f t="shared" si="5"/>
        <v>1685.5495814407477</v>
      </c>
      <c r="N28" s="39">
        <v>17</v>
      </c>
      <c r="O28" s="32">
        <f t="shared" si="15"/>
        <v>-85085.031113324178</v>
      </c>
      <c r="P28">
        <f t="shared" si="15"/>
        <v>-125492.73445595711</v>
      </c>
      <c r="Q28">
        <f t="shared" si="15"/>
        <v>-197128.82093190891</v>
      </c>
      <c r="S28">
        <f t="shared" si="16"/>
        <v>-58466.70239494471</v>
      </c>
      <c r="T28">
        <f t="shared" si="16"/>
        <v>-81150.355580629432</v>
      </c>
      <c r="U28">
        <f t="shared" si="16"/>
        <v>-155078.69791337379</v>
      </c>
      <c r="W28">
        <f t="shared" si="17"/>
        <v>-40626.68940476689</v>
      </c>
      <c r="X28">
        <f t="shared" si="17"/>
        <v>-74651.397536860473</v>
      </c>
      <c r="Y28" s="33">
        <f t="shared" si="17"/>
        <v>-135806.69403018858</v>
      </c>
      <c r="AA28" s="32">
        <f t="shared" si="6"/>
        <v>-0.12039257185177667</v>
      </c>
      <c r="AB28">
        <f t="shared" si="7"/>
        <v>-0.17756816742232814</v>
      </c>
      <c r="AC28">
        <f t="shared" si="8"/>
        <v>-0.2789309168435426</v>
      </c>
      <c r="AE28">
        <f t="shared" si="9"/>
        <v>-0.20454469314587695</v>
      </c>
      <c r="AF28">
        <f t="shared" si="10"/>
        <v>-0.28390304055105836</v>
      </c>
      <c r="AG28">
        <f t="shared" si="11"/>
        <v>-0.54253999932953101</v>
      </c>
      <c r="AI28">
        <f t="shared" si="12"/>
        <v>-9.7326527643335686E-2</v>
      </c>
      <c r="AJ28">
        <f t="shared" si="13"/>
        <v>-0.17883714898837894</v>
      </c>
      <c r="AK28" s="33">
        <f t="shared" si="14"/>
        <v>-0.32534262954559884</v>
      </c>
    </row>
    <row r="29" spans="2:37" x14ac:dyDescent="0.2">
      <c r="B29">
        <f>B30*(1+Foglio1!E26)</f>
        <v>279184.14581223769</v>
      </c>
      <c r="C29">
        <f>C30*(1+Foglio1!I26)</f>
        <v>449034.33476394892</v>
      </c>
      <c r="D29" s="13">
        <f>D30*(1+'Historical Var'!D24)</f>
        <v>723301.31567061238</v>
      </c>
      <c r="F29">
        <f t="shared" si="0"/>
        <v>273170.52345876797</v>
      </c>
      <c r="G29">
        <f t="shared" si="1"/>
        <v>414455.67256731796</v>
      </c>
      <c r="H29">
        <f t="shared" si="2"/>
        <v>688554.46115191584</v>
      </c>
      <c r="J29" s="13">
        <f t="shared" si="3"/>
        <v>-12667.752253657847</v>
      </c>
      <c r="K29" s="13">
        <f t="shared" si="4"/>
        <v>-2971.0084055005573</v>
      </c>
      <c r="L29" s="13">
        <f t="shared" si="5"/>
        <v>-18175.445889841183</v>
      </c>
      <c r="N29" s="39">
        <v>18</v>
      </c>
      <c r="O29" s="32">
        <f t="shared" si="15"/>
        <v>-87551.774716448635</v>
      </c>
      <c r="P29">
        <f t="shared" si="15"/>
        <v>-129130.95842916727</v>
      </c>
      <c r="Q29">
        <f t="shared" si="15"/>
        <v>-202843.88328380013</v>
      </c>
      <c r="S29">
        <f t="shared" si="16"/>
        <v>-60161.740432086895</v>
      </c>
      <c r="T29">
        <f t="shared" si="16"/>
        <v>-83503.026995336651</v>
      </c>
      <c r="U29">
        <f t="shared" si="16"/>
        <v>-159574.66366731684</v>
      </c>
      <c r="W29">
        <f t="shared" si="17"/>
        <v>-41804.518511650051</v>
      </c>
      <c r="X29">
        <f t="shared" si="17"/>
        <v>-76815.654338895227</v>
      </c>
      <c r="Y29" s="33">
        <f t="shared" si="17"/>
        <v>-139743.93527435363</v>
      </c>
      <c r="AA29" s="32">
        <f t="shared" si="6"/>
        <v>-0.1238829344054852</v>
      </c>
      <c r="AB29">
        <f t="shared" si="7"/>
        <v>-0.18271613687566443</v>
      </c>
      <c r="AC29">
        <f t="shared" si="8"/>
        <v>-0.28701754554702202</v>
      </c>
      <c r="AE29">
        <f t="shared" si="9"/>
        <v>-0.21047475283755909</v>
      </c>
      <c r="AF29">
        <f t="shared" si="10"/>
        <v>-0.29213381863297688</v>
      </c>
      <c r="AG29">
        <f t="shared" si="11"/>
        <v>-0.5582690536093935</v>
      </c>
      <c r="AI29">
        <f t="shared" si="12"/>
        <v>-0.10014817072599207</v>
      </c>
      <c r="AJ29">
        <f t="shared" si="13"/>
        <v>-0.18402190813456223</v>
      </c>
      <c r="AK29" s="33">
        <f t="shared" si="14"/>
        <v>-0.33477480392168152</v>
      </c>
    </row>
    <row r="30" spans="2:37" x14ac:dyDescent="0.2">
      <c r="B30">
        <f>B31*(1+Foglio1!E27)</f>
        <v>292130.76811803831</v>
      </c>
      <c r="C30">
        <f>C31*(1+Foglio1!I27)</f>
        <v>452253.21888412064</v>
      </c>
      <c r="D30" s="13">
        <f>D31*(1+'Historical Var'!D25)</f>
        <v>742393.95781692723</v>
      </c>
      <c r="F30">
        <f t="shared" si="0"/>
        <v>278595.75183457724</v>
      </c>
      <c r="G30">
        <f t="shared" si="1"/>
        <v>416110.39660238789</v>
      </c>
      <c r="H30">
        <f t="shared" si="2"/>
        <v>696662.12659366452</v>
      </c>
      <c r="J30" s="13">
        <f t="shared" si="3"/>
        <v>-7242.52387784858</v>
      </c>
      <c r="K30" s="13">
        <f t="shared" si="4"/>
        <v>-1316.2843704306288</v>
      </c>
      <c r="L30" s="13">
        <f t="shared" si="5"/>
        <v>-10067.780448092497</v>
      </c>
      <c r="N30" s="39">
        <v>19</v>
      </c>
      <c r="O30" s="32">
        <f t="shared" si="15"/>
        <v>-89950.897674476873</v>
      </c>
      <c r="P30">
        <f t="shared" si="15"/>
        <v>-132669.44805959394</v>
      </c>
      <c r="Q30">
        <f t="shared" si="15"/>
        <v>-208402.27908854373</v>
      </c>
      <c r="S30">
        <f t="shared" si="16"/>
        <v>-61810.312527090231</v>
      </c>
      <c r="T30">
        <f t="shared" si="16"/>
        <v>-85791.20481672496</v>
      </c>
      <c r="U30">
        <f t="shared" si="16"/>
        <v>-163947.38187164548</v>
      </c>
      <c r="W30">
        <f t="shared" si="17"/>
        <v>-42950.059883431903</v>
      </c>
      <c r="X30">
        <f t="shared" si="17"/>
        <v>-78920.582542318414</v>
      </c>
      <c r="Y30" s="33">
        <f t="shared" si="17"/>
        <v>-143573.24523920266</v>
      </c>
      <c r="AA30" s="32">
        <f t="shared" si="6"/>
        <v>-0.12727761592967671</v>
      </c>
      <c r="AB30">
        <f t="shared" si="7"/>
        <v>-0.18772298545412369</v>
      </c>
      <c r="AC30">
        <f t="shared" si="8"/>
        <v>-0.29488249614464146</v>
      </c>
      <c r="AE30">
        <f t="shared" si="9"/>
        <v>-0.216242252277214</v>
      </c>
      <c r="AF30">
        <f t="shared" si="10"/>
        <v>-0.30013896705365373</v>
      </c>
      <c r="AG30">
        <f t="shared" si="11"/>
        <v>-0.57356692858233072</v>
      </c>
      <c r="AI30">
        <f t="shared" si="12"/>
        <v>-0.10289246433250555</v>
      </c>
      <c r="AJ30">
        <f t="shared" si="13"/>
        <v>-0.18906453789296107</v>
      </c>
      <c r="AK30" s="33">
        <f t="shared" si="14"/>
        <v>-0.34394841485600125</v>
      </c>
    </row>
    <row r="31" spans="2:37" x14ac:dyDescent="0.2">
      <c r="B31">
        <f>B32*(1+Foglio1!E28)</f>
        <v>299725.15550412243</v>
      </c>
      <c r="C31">
        <f>C32*(1+Foglio1!I28)</f>
        <v>453683.83404864138</v>
      </c>
      <c r="D31" s="13">
        <f>D32*(1+'Historical Var'!D26)</f>
        <v>753122.62970531697</v>
      </c>
      <c r="F31">
        <f t="shared" si="0"/>
        <v>306075.92107294378</v>
      </c>
      <c r="G31">
        <f t="shared" si="1"/>
        <v>421748.90068818815</v>
      </c>
      <c r="H31">
        <f t="shared" si="2"/>
        <v>735407.40735870705</v>
      </c>
      <c r="J31" s="13">
        <f t="shared" si="3"/>
        <v>20237.645360517956</v>
      </c>
      <c r="K31" s="13">
        <f t="shared" si="4"/>
        <v>4322.2197153696325</v>
      </c>
      <c r="L31" s="13">
        <f t="shared" si="5"/>
        <v>28677.500316950027</v>
      </c>
      <c r="N31" s="39">
        <v>20</v>
      </c>
      <c r="O31" s="32">
        <f t="shared" si="15"/>
        <v>-92287.673764640102</v>
      </c>
      <c r="P31">
        <f t="shared" si="15"/>
        <v>-136115.98169222914</v>
      </c>
      <c r="Q31">
        <f t="shared" si="15"/>
        <v>-213816.22687005447</v>
      </c>
      <c r="S31">
        <f t="shared" si="16"/>
        <v>-63416.042588412391</v>
      </c>
      <c r="T31">
        <f t="shared" si="16"/>
        <v>-88019.918941263415</v>
      </c>
      <c r="U31">
        <f t="shared" si="16"/>
        <v>-168206.46468134629</v>
      </c>
      <c r="W31">
        <f t="shared" si="17"/>
        <v>-44065.831661162149</v>
      </c>
      <c r="X31">
        <f t="shared" si="17"/>
        <v>-80970.809222368218</v>
      </c>
      <c r="Y31" s="33">
        <f t="shared" si="17"/>
        <v>-147303.04155403483</v>
      </c>
      <c r="AA31" s="32">
        <f t="shared" si="6"/>
        <v>-0.13058407864885688</v>
      </c>
      <c r="AB31">
        <f t="shared" si="7"/>
        <v>-0.19259971926472719</v>
      </c>
      <c r="AC31">
        <f t="shared" si="8"/>
        <v>-0.30254305745323606</v>
      </c>
      <c r="AE31">
        <f t="shared" si="9"/>
        <v>-0.22185986964255816</v>
      </c>
      <c r="AF31">
        <f t="shared" si="10"/>
        <v>-0.307936082814248</v>
      </c>
      <c r="AG31">
        <f t="shared" si="11"/>
        <v>-0.58846725219744289</v>
      </c>
      <c r="AI31">
        <f t="shared" si="12"/>
        <v>-0.10556544099784454</v>
      </c>
      <c r="AJ31">
        <f t="shared" si="13"/>
        <v>-0.19397612302516135</v>
      </c>
      <c r="AK31" s="33">
        <f t="shared" si="14"/>
        <v>-0.35288362787626104</v>
      </c>
    </row>
    <row r="32" spans="2:37" x14ac:dyDescent="0.2">
      <c r="B32">
        <f>B33*(1+Foglio1!E29)</f>
        <v>279907.42080138851</v>
      </c>
      <c r="C32">
        <f>C33*(1+Foglio1!I29)</f>
        <v>449034.33476394898</v>
      </c>
      <c r="D32" s="13">
        <f>D33*(1+'Historical Var'!D27)</f>
        <v>723754.31734408205</v>
      </c>
      <c r="F32">
        <f t="shared" si="0"/>
        <v>282228.37785612646</v>
      </c>
      <c r="G32">
        <f t="shared" si="1"/>
        <v>402750.58440835628</v>
      </c>
      <c r="H32">
        <f t="shared" si="2"/>
        <v>689843.42161246564</v>
      </c>
      <c r="J32" s="13">
        <f t="shared" si="3"/>
        <v>-3609.897856299358</v>
      </c>
      <c r="K32" s="13">
        <f t="shared" si="4"/>
        <v>-14676.096564462234</v>
      </c>
      <c r="L32" s="13">
        <f t="shared" si="5"/>
        <v>-16886.485429291381</v>
      </c>
      <c r="N32" s="39">
        <v>21</v>
      </c>
      <c r="O32" s="32">
        <f t="shared" si="15"/>
        <v>-94566.724937120831</v>
      </c>
      <c r="P32">
        <f t="shared" si="15"/>
        <v>-139477.37628605298</v>
      </c>
      <c r="Q32">
        <f t="shared" si="15"/>
        <v>-219096.43497006956</v>
      </c>
      <c r="S32">
        <f t="shared" si="16"/>
        <v>-64982.106617545876</v>
      </c>
      <c r="T32">
        <f t="shared" si="16"/>
        <v>-90193.577581488076</v>
      </c>
      <c r="U32">
        <f t="shared" si="16"/>
        <v>-172360.33621058773</v>
      </c>
      <c r="W32">
        <f t="shared" si="17"/>
        <v>-45154.040749299216</v>
      </c>
      <c r="X32">
        <f t="shared" si="17"/>
        <v>-82970.389558151452</v>
      </c>
      <c r="Y32" s="33">
        <f t="shared" si="17"/>
        <v>-150940.70144802958</v>
      </c>
      <c r="AA32" s="32">
        <f t="shared" si="6"/>
        <v>-0.1338088624733032</v>
      </c>
      <c r="AB32">
        <f t="shared" si="7"/>
        <v>-0.19735598408432994</v>
      </c>
      <c r="AC32">
        <f t="shared" si="8"/>
        <v>-0.31001438143061955</v>
      </c>
      <c r="AE32">
        <f t="shared" si="9"/>
        <v>-0.22733871611695078</v>
      </c>
      <c r="AF32">
        <f t="shared" si="10"/>
        <v>-0.31554058796600565</v>
      </c>
      <c r="AG32">
        <f t="shared" si="11"/>
        <v>-0.60299949606467262</v>
      </c>
      <c r="AI32">
        <f t="shared" si="12"/>
        <v>-0.10817238764917259</v>
      </c>
      <c r="AJ32">
        <f t="shared" si="13"/>
        <v>-0.19876637824105503</v>
      </c>
      <c r="AK32" s="33">
        <f t="shared" si="14"/>
        <v>-0.36159811609612552</v>
      </c>
    </row>
    <row r="33" spans="2:37" x14ac:dyDescent="0.2">
      <c r="B33">
        <f>B34*(1+Foglio1!E30)</f>
        <v>283487.63199768536</v>
      </c>
      <c r="C33">
        <f>C34*(1+Foglio1!I30)</f>
        <v>465396.99570815504</v>
      </c>
      <c r="D33" s="13">
        <f>D34*(1+'Historical Var'!D28)</f>
        <v>741470.89816709002</v>
      </c>
      <c r="F33">
        <f t="shared" si="0"/>
        <v>301248.48659716401</v>
      </c>
      <c r="G33">
        <f t="shared" si="1"/>
        <v>399321.0576113803</v>
      </c>
      <c r="H33">
        <f t="shared" si="2"/>
        <v>710453.65360639628</v>
      </c>
      <c r="J33" s="13">
        <f t="shared" si="3"/>
        <v>15410.21088473819</v>
      </c>
      <c r="K33" s="13">
        <f t="shared" si="4"/>
        <v>-18105.623361438222</v>
      </c>
      <c r="L33" s="13">
        <f t="shared" si="5"/>
        <v>3723.7465646392666</v>
      </c>
      <c r="N33" s="39">
        <v>22</v>
      </c>
      <c r="O33" s="32">
        <f t="shared" ref="O33:Q52" si="18">O$12*SQRT($N33)</f>
        <v>-96792.128821394901</v>
      </c>
      <c r="P33">
        <f t="shared" si="18"/>
        <v>-142759.64597617625</v>
      </c>
      <c r="Q33">
        <f t="shared" si="18"/>
        <v>-224252.35062366963</v>
      </c>
      <c r="S33">
        <f t="shared" ref="S33:U52" si="19">S$12*SQRT($N33)</f>
        <v>-66511.306582662073</v>
      </c>
      <c r="T33">
        <f t="shared" si="19"/>
        <v>-92316.069800816578</v>
      </c>
      <c r="U33">
        <f t="shared" si="19"/>
        <v>-176416.42847721608</v>
      </c>
      <c r="W33">
        <f t="shared" ref="W33:Y52" si="20">W$12*SQRT($N33)</f>
        <v>-46216.634148203273</v>
      </c>
      <c r="X33">
        <f t="shared" si="20"/>
        <v>-84922.90115591709</v>
      </c>
      <c r="Y33" s="33">
        <f t="shared" si="20"/>
        <v>-154492.73334424724</v>
      </c>
      <c r="AA33" s="32">
        <f t="shared" si="6"/>
        <v>-0.13695773711706805</v>
      </c>
      <c r="AB33">
        <f t="shared" si="7"/>
        <v>-0.20200028971993303</v>
      </c>
      <c r="AC33">
        <f t="shared" si="8"/>
        <v>-0.31730983560940446</v>
      </c>
      <c r="AE33">
        <f t="shared" si="9"/>
        <v>-0.23268859433499139</v>
      </c>
      <c r="AF33">
        <f t="shared" si="10"/>
        <v>-0.3229660883264398</v>
      </c>
      <c r="AG33">
        <f t="shared" si="11"/>
        <v>-0.61718966096305405</v>
      </c>
      <c r="AI33">
        <f t="shared" si="12"/>
        <v>-0.11071796857952343</v>
      </c>
      <c r="AJ33">
        <f t="shared" si="13"/>
        <v>-0.20344387416253107</v>
      </c>
      <c r="AK33" s="33">
        <f t="shared" si="14"/>
        <v>-0.37010747129100574</v>
      </c>
    </row>
    <row r="34" spans="2:37" x14ac:dyDescent="0.2">
      <c r="B34">
        <f>B35*(1+Foglio1!E31)</f>
        <v>268985.96846521029</v>
      </c>
      <c r="C34">
        <f>C35*(1+Foglio1!I31)</f>
        <v>486498.56938483607</v>
      </c>
      <c r="D34" s="13">
        <f>D35*(1+'Historical Var'!D29)</f>
        <v>737584.57891767228</v>
      </c>
      <c r="F34">
        <f t="shared" si="0"/>
        <v>277844.36679940193</v>
      </c>
      <c r="G34">
        <f t="shared" si="1"/>
        <v>411751.01000237587</v>
      </c>
      <c r="H34">
        <f t="shared" si="2"/>
        <v>692042.87439575489</v>
      </c>
      <c r="J34" s="13">
        <f t="shared" si="3"/>
        <v>-7993.9089130238863</v>
      </c>
      <c r="K34" s="13">
        <f t="shared" si="4"/>
        <v>-5675.6709704426466</v>
      </c>
      <c r="L34" s="13">
        <f t="shared" si="5"/>
        <v>-14687.032646002132</v>
      </c>
      <c r="N34" s="39">
        <v>23</v>
      </c>
      <c r="O34" s="32">
        <f t="shared" si="18"/>
        <v>-98967.504455866394</v>
      </c>
      <c r="P34">
        <f t="shared" si="18"/>
        <v>-145968.12851730728</v>
      </c>
      <c r="Q34">
        <f t="shared" si="18"/>
        <v>-229292.35858154666</v>
      </c>
      <c r="S34">
        <f t="shared" si="19"/>
        <v>-68006.129328257113</v>
      </c>
      <c r="T34">
        <f t="shared" si="19"/>
        <v>-94390.847278698406</v>
      </c>
      <c r="U34">
        <f t="shared" si="19"/>
        <v>-180381.33765632889</v>
      </c>
      <c r="W34">
        <f t="shared" si="20"/>
        <v>-47255.339888613242</v>
      </c>
      <c r="X34">
        <f t="shared" si="20"/>
        <v>-86831.519266012619</v>
      </c>
      <c r="Y34" s="33">
        <f t="shared" si="20"/>
        <v>-157964.91369519423</v>
      </c>
      <c r="AA34" s="32">
        <f t="shared" si="6"/>
        <v>-0.14003582340264387</v>
      </c>
      <c r="AB34">
        <f t="shared" si="7"/>
        <v>-0.20654018892210654</v>
      </c>
      <c r="AC34">
        <f t="shared" si="8"/>
        <v>-0.3244412841410983</v>
      </c>
      <c r="AE34">
        <f t="shared" si="9"/>
        <v>-0.23791820447684286</v>
      </c>
      <c r="AF34">
        <f t="shared" si="10"/>
        <v>-0.33022465953321972</v>
      </c>
      <c r="AG34">
        <f t="shared" si="11"/>
        <v>-0.63106082349099279</v>
      </c>
      <c r="AI34">
        <f t="shared" si="12"/>
        <v>-0.11320632351167403</v>
      </c>
      <c r="AJ34">
        <f t="shared" si="13"/>
        <v>-0.20801621751549421</v>
      </c>
      <c r="AK34" s="33">
        <f t="shared" si="14"/>
        <v>-0.37842553170548388</v>
      </c>
    </row>
    <row r="35" spans="2:37" x14ac:dyDescent="0.2">
      <c r="B35">
        <f>B36*(1+Foglio1!E32)</f>
        <v>276725.01084912464</v>
      </c>
      <c r="C35">
        <f>C36*(1+Foglio1!I32)</f>
        <v>493204.5779685271</v>
      </c>
      <c r="D35" s="13">
        <f>D36*(1+'Historical Var'!D30)</f>
        <v>753238.13043962128</v>
      </c>
      <c r="F35">
        <f t="shared" si="0"/>
        <v>278770.64564765262</v>
      </c>
      <c r="G35">
        <f t="shared" si="1"/>
        <v>416369.90456529241</v>
      </c>
      <c r="H35">
        <f t="shared" si="2"/>
        <v>697098.01920932776</v>
      </c>
      <c r="J35" s="13">
        <f t="shared" si="3"/>
        <v>-7067.6300647731987</v>
      </c>
      <c r="K35" s="13">
        <f t="shared" si="4"/>
        <v>-1056.7764075261075</v>
      </c>
      <c r="L35" s="13">
        <f t="shared" si="5"/>
        <v>-9631.88783242926</v>
      </c>
      <c r="N35" s="39">
        <v>24</v>
      </c>
      <c r="O35" s="32">
        <f t="shared" si="18"/>
        <v>-101096.08140114219</v>
      </c>
      <c r="P35">
        <f t="shared" si="18"/>
        <v>-149107.5872195882</v>
      </c>
      <c r="Q35">
        <f t="shared" si="18"/>
        <v>-234223.94123474206</v>
      </c>
      <c r="S35">
        <f t="shared" si="19"/>
        <v>-69468.794066763527</v>
      </c>
      <c r="T35">
        <f t="shared" si="19"/>
        <v>-96420.990227812406</v>
      </c>
      <c r="U35">
        <f t="shared" si="19"/>
        <v>-184260.95004833874</v>
      </c>
      <c r="W35">
        <f t="shared" si="20"/>
        <v>-48271.700032087705</v>
      </c>
      <c r="X35">
        <f t="shared" si="20"/>
        <v>-88699.077421076814</v>
      </c>
      <c r="Y35" s="33">
        <f t="shared" si="20"/>
        <v>-161362.39729653142</v>
      </c>
      <c r="AA35" s="32">
        <f t="shared" si="6"/>
        <v>-0.14304769105401527</v>
      </c>
      <c r="AB35">
        <f t="shared" si="7"/>
        <v>-0.21098242162090672</v>
      </c>
      <c r="AC35">
        <f t="shared" si="8"/>
        <v>-0.33141931436743766</v>
      </c>
      <c r="AE35">
        <f t="shared" si="9"/>
        <v>-0.2430353104167694</v>
      </c>
      <c r="AF35">
        <f t="shared" si="10"/>
        <v>-0.33732707765428505</v>
      </c>
      <c r="AG35">
        <f t="shared" si="11"/>
        <v>-0.64463357676324184</v>
      </c>
      <c r="AI35">
        <f t="shared" si="12"/>
        <v>-0.11564114665500023</v>
      </c>
      <c r="AJ35">
        <f t="shared" si="13"/>
        <v>-0.2124901963965562</v>
      </c>
      <c r="AK35" s="33">
        <f t="shared" si="14"/>
        <v>-0.38656464632417403</v>
      </c>
    </row>
    <row r="36" spans="2:37" x14ac:dyDescent="0.2">
      <c r="B36">
        <f>B37*(1+Foglio1!E33)</f>
        <v>283740.77824388811</v>
      </c>
      <c r="C36">
        <f>C37*(1+Foglio1!I33)</f>
        <v>494456.36623748275</v>
      </c>
      <c r="D36" s="13">
        <f>D37*(1+'Historical Var'!D31)</f>
        <v>763645.71299412649</v>
      </c>
      <c r="F36">
        <f t="shared" si="0"/>
        <v>306965.11240619933</v>
      </c>
      <c r="G36">
        <f t="shared" si="1"/>
        <v>410888.1355962418</v>
      </c>
      <c r="H36">
        <f t="shared" si="2"/>
        <v>727312.67914600112</v>
      </c>
      <c r="J36" s="13">
        <f t="shared" si="3"/>
        <v>21126.836693773512</v>
      </c>
      <c r="K36" s="13">
        <f t="shared" si="4"/>
        <v>-6538.5453765767161</v>
      </c>
      <c r="L36" s="13">
        <f t="shared" si="5"/>
        <v>20582.772104244097</v>
      </c>
      <c r="N36" s="39">
        <v>25</v>
      </c>
      <c r="O36" s="32">
        <f t="shared" si="18"/>
        <v>-103180.75601152959</v>
      </c>
      <c r="P36">
        <f t="shared" si="18"/>
        <v>-152182.29394397058</v>
      </c>
      <c r="Q36">
        <f t="shared" si="18"/>
        <v>-239053.80898697942</v>
      </c>
      <c r="S36">
        <f t="shared" si="19"/>
        <v>-70901.291045855905</v>
      </c>
      <c r="T36">
        <f t="shared" si="19"/>
        <v>-98409.261063343147</v>
      </c>
      <c r="U36">
        <f t="shared" si="19"/>
        <v>-188060.54464120389</v>
      </c>
      <c r="W36">
        <f t="shared" si="20"/>
        <v>-49267.097539710521</v>
      </c>
      <c r="X36">
        <f t="shared" si="20"/>
        <v>-90528.116807191109</v>
      </c>
      <c r="Y36" s="33">
        <f t="shared" si="20"/>
        <v>-164689.80710364907</v>
      </c>
      <c r="AA36" s="32">
        <f t="shared" si="6"/>
        <v>-0.14599743831901141</v>
      </c>
      <c r="AB36">
        <f t="shared" si="7"/>
        <v>-0.21533303236165285</v>
      </c>
      <c r="AC36">
        <f t="shared" si="8"/>
        <v>-0.3382534212930301</v>
      </c>
      <c r="AE36">
        <f t="shared" si="9"/>
        <v>-0.248046875000001</v>
      </c>
      <c r="AF36">
        <f t="shared" si="10"/>
        <v>-0.34428300694883163</v>
      </c>
      <c r="AG36">
        <f t="shared" si="11"/>
        <v>-0.65792638922299729</v>
      </c>
      <c r="AI36">
        <f t="shared" si="12"/>
        <v>-0.1180257510729618</v>
      </c>
      <c r="AJ36">
        <f t="shared" si="13"/>
        <v>-0.21687189854806144</v>
      </c>
      <c r="AK36" s="33">
        <f t="shared" si="14"/>
        <v>-0.39453589003902972</v>
      </c>
    </row>
    <row r="37" spans="2:37" x14ac:dyDescent="0.2">
      <c r="B37">
        <f>B38*(1+Foglio1!E34)</f>
        <v>264212.35353681457</v>
      </c>
      <c r="C37">
        <f>C38*(1+Foglio1!I34)</f>
        <v>502324.74964234681</v>
      </c>
      <c r="D37" s="13">
        <f>D38*(1+'Historical Var'!D32)</f>
        <v>742034.72485983896</v>
      </c>
      <c r="F37">
        <f t="shared" si="0"/>
        <v>285681.86625923164</v>
      </c>
      <c r="G37">
        <f t="shared" si="1"/>
        <v>420269.37163177313</v>
      </c>
      <c r="H37">
        <f t="shared" si="2"/>
        <v>708942.97528495616</v>
      </c>
      <c r="J37" s="13">
        <f t="shared" si="3"/>
        <v>-156.40945319418097</v>
      </c>
      <c r="K37" s="13">
        <f t="shared" si="4"/>
        <v>2842.6906589546124</v>
      </c>
      <c r="L37" s="13">
        <f t="shared" si="5"/>
        <v>2213.0682431991445</v>
      </c>
      <c r="N37" s="39">
        <v>26</v>
      </c>
      <c r="O37" s="32">
        <f t="shared" si="18"/>
        <v>-105224.13766600908</v>
      </c>
      <c r="P37">
        <f t="shared" si="18"/>
        <v>-155196.0972887238</v>
      </c>
      <c r="Q37">
        <f t="shared" si="18"/>
        <v>-243788.00736465806</v>
      </c>
      <c r="S37">
        <f t="shared" si="19"/>
        <v>-72305.413316348131</v>
      </c>
      <c r="T37">
        <f t="shared" si="19"/>
        <v>-100358.14849604666</v>
      </c>
      <c r="U37">
        <f t="shared" si="19"/>
        <v>-191784.87737247712</v>
      </c>
      <c r="W37">
        <f t="shared" si="20"/>
        <v>-50242.778346612606</v>
      </c>
      <c r="X37">
        <f t="shared" si="20"/>
        <v>-92320.926825734874</v>
      </c>
      <c r="Y37" s="33">
        <f t="shared" si="20"/>
        <v>-167951.30802226765</v>
      </c>
      <c r="AA37" s="32">
        <f t="shared" si="6"/>
        <v>-0.14888875738463964</v>
      </c>
      <c r="AB37">
        <f t="shared" si="7"/>
        <v>-0.21959746678663489</v>
      </c>
      <c r="AC37">
        <f t="shared" si="8"/>
        <v>-0.3449521591425363</v>
      </c>
      <c r="AE37">
        <f t="shared" si="9"/>
        <v>-0.25295917118214306</v>
      </c>
      <c r="AF37">
        <f t="shared" si="10"/>
        <v>-0.35110115412609855</v>
      </c>
      <c r="AG37">
        <f t="shared" si="11"/>
        <v>-0.67095589943114098</v>
      </c>
      <c r="AI37">
        <f t="shared" si="12"/>
        <v>-0.12036312156549536</v>
      </c>
      <c r="AJ37">
        <f t="shared" si="13"/>
        <v>-0.22116680852929599</v>
      </c>
      <c r="AK37" s="33">
        <f t="shared" si="14"/>
        <v>-0.40234924042434195</v>
      </c>
    </row>
    <row r="38" spans="2:37" x14ac:dyDescent="0.2">
      <c r="B38">
        <f>B39*(1+Foglio1!E35)</f>
        <v>264357.00853464473</v>
      </c>
      <c r="C38">
        <f>C39*(1+Foglio1!I35)</f>
        <v>498927.03862661013</v>
      </c>
      <c r="D38" s="13">
        <f>D39*(1+'Historical Var'!D33)</f>
        <v>739718.35592441331</v>
      </c>
      <c r="F38">
        <f t="shared" si="0"/>
        <v>271925.7932662458</v>
      </c>
      <c r="G38">
        <f t="shared" si="1"/>
        <v>419910.01979959029</v>
      </c>
      <c r="H38">
        <f t="shared" si="2"/>
        <v>691632.95313888614</v>
      </c>
      <c r="J38" s="13">
        <f t="shared" si="3"/>
        <v>-13912.482446180016</v>
      </c>
      <c r="K38" s="13">
        <f t="shared" si="4"/>
        <v>2483.3388267717673</v>
      </c>
      <c r="L38" s="13">
        <f t="shared" si="5"/>
        <v>-15096.953902870882</v>
      </c>
      <c r="N38" s="39">
        <v>27</v>
      </c>
      <c r="O38" s="32">
        <f t="shared" si="18"/>
        <v>-107228.58706520227</v>
      </c>
      <c r="P38">
        <f t="shared" si="18"/>
        <v>-158152.47907400312</v>
      </c>
      <c r="Q38">
        <f t="shared" si="18"/>
        <v>-248432.0057449883</v>
      </c>
      <c r="S38">
        <f t="shared" si="19"/>
        <v>-73682.783048190438</v>
      </c>
      <c r="T38">
        <f t="shared" si="19"/>
        <v>-102269.90405821198</v>
      </c>
      <c r="U38">
        <f t="shared" si="19"/>
        <v>-195438.25093058406</v>
      </c>
      <c r="W38">
        <f t="shared" si="20"/>
        <v>-51199.869648138156</v>
      </c>
      <c r="X38">
        <f t="shared" si="20"/>
        <v>-94079.578694151016</v>
      </c>
      <c r="Y38" s="33">
        <f t="shared" si="20"/>
        <v>-171150.66803534279</v>
      </c>
      <c r="AA38" s="32">
        <f t="shared" si="6"/>
        <v>-0.15172498856605865</v>
      </c>
      <c r="AB38">
        <f t="shared" si="7"/>
        <v>-0.22378065155895363</v>
      </c>
      <c r="AC38">
        <f t="shared" si="8"/>
        <v>-0.35152326690811703</v>
      </c>
      <c r="AE38">
        <f t="shared" si="9"/>
        <v>-0.25777787409521286</v>
      </c>
      <c r="AF38">
        <f t="shared" si="10"/>
        <v>-0.35778939613077909</v>
      </c>
      <c r="AG38">
        <f t="shared" si="11"/>
        <v>-0.68373716026474085</v>
      </c>
      <c r="AI38">
        <f t="shared" si="12"/>
        <v>-0.12265595847590807</v>
      </c>
      <c r="AJ38">
        <f t="shared" si="13"/>
        <v>-0.22537988821149929</v>
      </c>
      <c r="AK38" s="33">
        <f t="shared" si="14"/>
        <v>-0.41001372417420434</v>
      </c>
    </row>
    <row r="39" spans="2:37" x14ac:dyDescent="0.2">
      <c r="B39">
        <f>B40*(1+Foglio1!E36)</f>
        <v>277882.25083176611</v>
      </c>
      <c r="C39">
        <f>C40*(1+Foglio1!I36)</f>
        <v>495976.39484978607</v>
      </c>
      <c r="D39" s="13">
        <f>D40*(1+'Historical Var'!D34)</f>
        <v>755864.91729025927</v>
      </c>
      <c r="F39">
        <f t="shared" si="0"/>
        <v>288466.15584111901</v>
      </c>
      <c r="G39">
        <f t="shared" si="1"/>
        <v>435647.37523165089</v>
      </c>
      <c r="H39">
        <f t="shared" si="2"/>
        <v>725402.99665349349</v>
      </c>
      <c r="J39" s="13">
        <f t="shared" si="3"/>
        <v>2627.8801286931848</v>
      </c>
      <c r="K39" s="13">
        <f t="shared" si="4"/>
        <v>18220.694258832373</v>
      </c>
      <c r="L39" s="13">
        <f t="shared" si="5"/>
        <v>18673.089611736475</v>
      </c>
      <c r="N39" s="39">
        <v>28</v>
      </c>
      <c r="O39" s="32">
        <f t="shared" si="18"/>
        <v>-109196.24819765602</v>
      </c>
      <c r="P39">
        <f t="shared" si="18"/>
        <v>-161054.60148923084</v>
      </c>
      <c r="Q39">
        <f t="shared" si="18"/>
        <v>-252990.77141691401</v>
      </c>
      <c r="S39">
        <f t="shared" si="19"/>
        <v>-75034.873496298154</v>
      </c>
      <c r="T39">
        <f t="shared" si="19"/>
        <v>-104146.57259169509</v>
      </c>
      <c r="U39">
        <f t="shared" si="19"/>
        <v>-199024.57301759446</v>
      </c>
      <c r="W39">
        <f t="shared" si="20"/>
        <v>-52139.395163214474</v>
      </c>
      <c r="X39">
        <f t="shared" si="20"/>
        <v>-95805.95349233372</v>
      </c>
      <c r="Y39" s="33">
        <f t="shared" si="20"/>
        <v>-174291.30922538164</v>
      </c>
      <c r="AA39" s="32">
        <f t="shared" si="6"/>
        <v>-0.15450916553783847</v>
      </c>
      <c r="AB39">
        <f t="shared" si="7"/>
        <v>-0.22788706107454282</v>
      </c>
      <c r="AC39">
        <f t="shared" si="8"/>
        <v>-0.35797377314324708</v>
      </c>
      <c r="AE39">
        <f t="shared" si="9"/>
        <v>-0.26250813789469091</v>
      </c>
      <c r="AF39">
        <f t="shared" si="10"/>
        <v>-0.36435488680485234</v>
      </c>
      <c r="AG39">
        <f t="shared" si="11"/>
        <v>-0.69628384274829491</v>
      </c>
      <c r="AI39">
        <f t="shared" si="12"/>
        <v>-0.12490671425626869</v>
      </c>
      <c r="AJ39">
        <f t="shared" si="13"/>
        <v>-0.2295156439666402</v>
      </c>
      <c r="AK39" s="33">
        <f t="shared" si="14"/>
        <v>-0.41753753933311927</v>
      </c>
    </row>
    <row r="40" spans="2:37" x14ac:dyDescent="0.2">
      <c r="B40">
        <f>B41*(1+Foglio1!E37)</f>
        <v>275350.78836973803</v>
      </c>
      <c r="C40">
        <f>C41*(1+Foglio1!I37)</f>
        <v>475232.47496423521</v>
      </c>
      <c r="D40" s="13">
        <f>D41*(1+'Historical Var'!D35)</f>
        <v>736407.68675765523</v>
      </c>
      <c r="F40">
        <f t="shared" ref="F40:F71" si="21">$B$8*B40/B41</f>
        <v>289873.81876324053</v>
      </c>
      <c r="G40">
        <f t="shared" ref="G40:G71" si="22">$C$8*C40/C41</f>
        <v>415550.25461144984</v>
      </c>
      <c r="H40">
        <f t="shared" ref="H40:H71" si="23">$D$8*D40/D41</f>
        <v>710130.35566358431</v>
      </c>
      <c r="J40" s="13">
        <f t="shared" si="3"/>
        <v>4035.543050814711</v>
      </c>
      <c r="K40" s="13">
        <f t="shared" si="4"/>
        <v>-1876.426361368678</v>
      </c>
      <c r="L40" s="13">
        <f t="shared" si="5"/>
        <v>3400.4486218272941</v>
      </c>
      <c r="N40" s="39">
        <v>29</v>
      </c>
      <c r="O40" s="32">
        <f t="shared" si="18"/>
        <v>-111129.07520936421</v>
      </c>
      <c r="P40">
        <f t="shared" si="18"/>
        <v>-163905.34672321373</v>
      </c>
      <c r="Q40">
        <f t="shared" si="18"/>
        <v>-257468.8318336271</v>
      </c>
      <c r="S40">
        <f t="shared" si="19"/>
        <v>-76363.027464108789</v>
      </c>
      <c r="T40">
        <f t="shared" si="19"/>
        <v>-105990.01787488547</v>
      </c>
      <c r="U40">
        <f t="shared" si="19"/>
        <v>-202547.40532247169</v>
      </c>
      <c r="W40">
        <f t="shared" si="20"/>
        <v>-53062.287964102397</v>
      </c>
      <c r="X40">
        <f t="shared" si="20"/>
        <v>-97501.765737249429</v>
      </c>
      <c r="Y40" s="33">
        <f t="shared" si="20"/>
        <v>-177376.3506616682</v>
      </c>
      <c r="AA40" s="32">
        <f t="shared" si="6"/>
        <v>-0.15724405335346614</v>
      </c>
      <c r="AB40">
        <f t="shared" si="7"/>
        <v>-0.23192077353750562</v>
      </c>
      <c r="AC40">
        <f t="shared" si="8"/>
        <v>-0.36431008404801329</v>
      </c>
      <c r="AE40">
        <f t="shared" si="9"/>
        <v>-0.26715466035393937</v>
      </c>
      <c r="AF40">
        <f t="shared" si="10"/>
        <v>-0.37080414654305838</v>
      </c>
      <c r="AG40">
        <f t="shared" si="11"/>
        <v>-0.70860840738575259</v>
      </c>
      <c r="AI40">
        <f t="shared" si="12"/>
        <v>-0.12711762420274625</v>
      </c>
      <c r="AJ40">
        <f t="shared" si="13"/>
        <v>-0.23357818314349299</v>
      </c>
      <c r="AK40" s="33">
        <f t="shared" si="14"/>
        <v>-0.42492815803793427</v>
      </c>
    </row>
    <row r="41" spans="2:37" x14ac:dyDescent="0.2">
      <c r="B41">
        <f>B42*(1+Foglio1!E38)</f>
        <v>271517.43092723843</v>
      </c>
      <c r="C41">
        <f>C42*(1+Foglio1!I38)</f>
        <v>477378.3977110163</v>
      </c>
      <c r="D41" s="13">
        <f>D42*(1+'Historical Var'!D36)</f>
        <v>732881.40952761332</v>
      </c>
      <c r="F41">
        <f t="shared" si="21"/>
        <v>279509.47825591208</v>
      </c>
      <c r="G41">
        <f t="shared" si="22"/>
        <v>422331.06873486412</v>
      </c>
      <c r="H41">
        <f t="shared" si="23"/>
        <v>703057.70921007742</v>
      </c>
      <c r="J41" s="13">
        <f t="shared" ref="J41:J72" si="24">F41-$B$8</f>
        <v>-6328.7974565137411</v>
      </c>
      <c r="K41" s="13">
        <f t="shared" ref="K41:K72" si="25">G41-$C$8</f>
        <v>4904.3877620456042</v>
      </c>
      <c r="L41" s="13">
        <f t="shared" ref="L41:L72" si="26">H41-$D$8</f>
        <v>-3672.1978316796012</v>
      </c>
      <c r="N41" s="39">
        <v>30</v>
      </c>
      <c r="O41" s="32">
        <f t="shared" si="18"/>
        <v>-113028.85513590307</v>
      </c>
      <c r="P41">
        <f t="shared" si="18"/>
        <v>-166707.35049198903</v>
      </c>
      <c r="Q41">
        <f t="shared" si="18"/>
        <v>-261870.32727939967</v>
      </c>
      <c r="S41">
        <f t="shared" si="19"/>
        <v>-77668.472924108661</v>
      </c>
      <c r="T41">
        <f t="shared" si="19"/>
        <v>-107801.94430361575</v>
      </c>
      <c r="U41">
        <f t="shared" si="19"/>
        <v>-206010.00495338932</v>
      </c>
      <c r="W41">
        <f t="shared" si="20"/>
        <v>-53969.401330613451</v>
      </c>
      <c r="X41">
        <f t="shared" si="20"/>
        <v>-99168.583327522254</v>
      </c>
      <c r="Y41" s="33">
        <f t="shared" si="20"/>
        <v>-180408.64468368629</v>
      </c>
      <c r="AA41" s="32">
        <f t="shared" si="6"/>
        <v>-0.15993218061058334</v>
      </c>
      <c r="AB41">
        <f t="shared" si="7"/>
        <v>-0.23588551840093439</v>
      </c>
      <c r="AC41">
        <f t="shared" si="8"/>
        <v>-0.37053805799098172</v>
      </c>
      <c r="AE41">
        <f t="shared" si="9"/>
        <v>-0.27172173751232959</v>
      </c>
      <c r="AF41">
        <f t="shared" si="10"/>
        <v>-0.37714313814316586</v>
      </c>
      <c r="AG41">
        <f t="shared" si="11"/>
        <v>-0.72072224911071892</v>
      </c>
      <c r="AI41">
        <f t="shared" si="12"/>
        <v>-0.1292907324583015</v>
      </c>
      <c r="AJ41">
        <f t="shared" si="13"/>
        <v>-0.23757126184749028</v>
      </c>
      <c r="AK41" s="33">
        <f t="shared" si="14"/>
        <v>-0.4321924134395087</v>
      </c>
    </row>
    <row r="42" spans="2:37" x14ac:dyDescent="0.2">
      <c r="B42">
        <f>B43*(1+Foglio1!E39)</f>
        <v>277665.26833502087</v>
      </c>
      <c r="C42">
        <f>C43*(1+Foglio1!I39)</f>
        <v>471834.76394849841</v>
      </c>
      <c r="D42" s="13">
        <f>D43*(1+'Historical Var'!D37)</f>
        <v>736709.38195105689</v>
      </c>
      <c r="F42">
        <f t="shared" si="21"/>
        <v>281584.07504747313</v>
      </c>
      <c r="G42">
        <f t="shared" si="22"/>
        <v>424997.22081681725</v>
      </c>
      <c r="H42">
        <f t="shared" si="23"/>
        <v>707879.39299748314</v>
      </c>
      <c r="J42" s="13">
        <f t="shared" si="24"/>
        <v>-4254.2006649526884</v>
      </c>
      <c r="K42" s="13">
        <f t="shared" si="25"/>
        <v>7570.539843998733</v>
      </c>
      <c r="L42" s="13">
        <f t="shared" si="26"/>
        <v>1149.4859557261225</v>
      </c>
      <c r="N42" s="39">
        <v>31</v>
      </c>
      <c r="O42" s="32">
        <f t="shared" si="18"/>
        <v>-114897.22725017079</v>
      </c>
      <c r="P42">
        <f t="shared" si="18"/>
        <v>-169463.03057499247</v>
      </c>
      <c r="Q42">
        <f t="shared" si="18"/>
        <v>-266199.05569529586</v>
      </c>
      <c r="S42">
        <f t="shared" si="19"/>
        <v>-78952.336312751169</v>
      </c>
      <c r="T42">
        <f t="shared" si="19"/>
        <v>-109583.9153441836</v>
      </c>
      <c r="U42">
        <f t="shared" si="19"/>
        <v>-209415.35970153988</v>
      </c>
      <c r="W42">
        <f t="shared" si="20"/>
        <v>-54861.517988334177</v>
      </c>
      <c r="X42">
        <f t="shared" si="20"/>
        <v>-100807.84451863843</v>
      </c>
      <c r="Y42" s="33">
        <f t="shared" si="20"/>
        <v>-183390.80778260957</v>
      </c>
      <c r="AA42" s="32">
        <f t="shared" si="6"/>
        <v>-0.16257586682741318</v>
      </c>
      <c r="AB42">
        <f t="shared" si="7"/>
        <v>-0.23978471674466689</v>
      </c>
      <c r="AC42">
        <f t="shared" si="8"/>
        <v>-0.37666306893613255</v>
      </c>
      <c r="AE42">
        <f t="shared" si="9"/>
        <v>-0.27621331018727174</v>
      </c>
      <c r="AF42">
        <f t="shared" si="10"/>
        <v>-0.38337733136353302</v>
      </c>
      <c r="AG42">
        <f t="shared" si="11"/>
        <v>-0.73263582065624766</v>
      </c>
      <c r="AI42">
        <f t="shared" si="12"/>
        <v>-0.1314279141440568</v>
      </c>
      <c r="AJ42">
        <f t="shared" si="13"/>
        <v>-0.24149832560703688</v>
      </c>
      <c r="AK42" s="33">
        <f t="shared" si="14"/>
        <v>-0.43933657368334678</v>
      </c>
    </row>
    <row r="43" spans="2:37" x14ac:dyDescent="0.2">
      <c r="B43">
        <f>B44*(1+Foglio1!E40)</f>
        <v>281860.26327209594</v>
      </c>
      <c r="C43">
        <f>C44*(1+Foglio1!I40)</f>
        <v>463429.89985693898</v>
      </c>
      <c r="D43" s="13">
        <f>D44*(1+'Historical Var'!D38)</f>
        <v>735513.08058053872</v>
      </c>
      <c r="F43">
        <f t="shared" si="21"/>
        <v>300650.94749023573</v>
      </c>
      <c r="G43">
        <f t="shared" si="22"/>
        <v>420755.05396385025</v>
      </c>
      <c r="H43">
        <f t="shared" si="23"/>
        <v>727859.51055238838</v>
      </c>
      <c r="J43" s="13">
        <f t="shared" si="24"/>
        <v>14812.671777809912</v>
      </c>
      <c r="K43" s="13">
        <f t="shared" si="25"/>
        <v>3328.3729910317343</v>
      </c>
      <c r="L43" s="13">
        <f t="shared" si="26"/>
        <v>21129.603510631365</v>
      </c>
      <c r="N43" s="39">
        <v>32</v>
      </c>
      <c r="O43" s="32">
        <f t="shared" si="18"/>
        <v>-116735.69962193153</v>
      </c>
      <c r="P43">
        <f t="shared" si="18"/>
        <v>-172174.61123888972</v>
      </c>
      <c r="Q43">
        <f t="shared" si="18"/>
        <v>-270458.51104506687</v>
      </c>
      <c r="S43">
        <f t="shared" si="19"/>
        <v>-80215.653909449204</v>
      </c>
      <c r="T43">
        <f t="shared" si="19"/>
        <v>-111337.36932711555</v>
      </c>
      <c r="U43">
        <f t="shared" si="19"/>
        <v>-212766.21822308915</v>
      </c>
      <c r="W43">
        <f t="shared" si="20"/>
        <v>-55739.358015533413</v>
      </c>
      <c r="X43">
        <f t="shared" si="20"/>
        <v>-102420.87245186033</v>
      </c>
      <c r="Y43" s="33">
        <f t="shared" si="20"/>
        <v>-186325.24703247155</v>
      </c>
      <c r="AA43" s="32">
        <f t="shared" si="6"/>
        <v>-0.16517724587398028</v>
      </c>
      <c r="AB43">
        <f t="shared" si="7"/>
        <v>-0.24362151583421926</v>
      </c>
      <c r="AC43">
        <f t="shared" si="8"/>
        <v>-0.38269006072936274</v>
      </c>
      <c r="AE43">
        <f t="shared" si="9"/>
        <v>-0.28063300378341216</v>
      </c>
      <c r="AF43">
        <f t="shared" si="10"/>
        <v>-0.3895117581773026</v>
      </c>
      <c r="AG43">
        <f t="shared" si="11"/>
        <v>-0.74435873814585807</v>
      </c>
      <c r="AI43">
        <f t="shared" si="12"/>
        <v>-0.13353089430132278</v>
      </c>
      <c r="AJ43">
        <f t="shared" si="13"/>
        <v>-0.24536254417941636</v>
      </c>
      <c r="AK43" s="33">
        <f t="shared" si="14"/>
        <v>-0.4463664052289088</v>
      </c>
    </row>
    <row r="44" spans="2:37" x14ac:dyDescent="0.2">
      <c r="B44">
        <f>B45*(1+Foglio1!E41)</f>
        <v>267973.38348039915</v>
      </c>
      <c r="C44">
        <f>C45*(1+Foglio1!I41)</f>
        <v>459763.94849785464</v>
      </c>
      <c r="D44" s="13">
        <f>D45*(1+'Historical Var'!D39)</f>
        <v>714161.29559423646</v>
      </c>
      <c r="F44">
        <f t="shared" si="21"/>
        <v>276581.56477266591</v>
      </c>
      <c r="G44">
        <f t="shared" si="22"/>
        <v>409229.3600690625</v>
      </c>
      <c r="H44">
        <f t="shared" si="23"/>
        <v>688347.09012200555</v>
      </c>
      <c r="J44" s="13">
        <f t="shared" si="24"/>
        <v>-9256.7109397599124</v>
      </c>
      <c r="K44" s="13">
        <f t="shared" si="25"/>
        <v>-8197.3209037560155</v>
      </c>
      <c r="L44" s="13">
        <f t="shared" si="26"/>
        <v>-18382.816919751465</v>
      </c>
      <c r="N44" s="39">
        <v>33</v>
      </c>
      <c r="O44" s="32">
        <f t="shared" si="18"/>
        <v>-118545.6633650774</v>
      </c>
      <c r="P44">
        <f t="shared" si="18"/>
        <v>-174844.14425100078</v>
      </c>
      <c r="Q44">
        <f t="shared" si="18"/>
        <v>-274651.91632384778</v>
      </c>
      <c r="S44">
        <f t="shared" si="19"/>
        <v>-81459.381626669012</v>
      </c>
      <c r="T44">
        <f t="shared" si="19"/>
        <v>-113063.63303557805</v>
      </c>
      <c r="U44">
        <f t="shared" si="19"/>
        <v>-216065.11600669145</v>
      </c>
      <c r="W44">
        <f t="shared" si="20"/>
        <v>-56603.585645993335</v>
      </c>
      <c r="X44">
        <f t="shared" si="20"/>
        <v>-104008.88765440432</v>
      </c>
      <c r="Y44" s="33">
        <f t="shared" si="20"/>
        <v>-189214.18283063514</v>
      </c>
      <c r="AA44" s="32">
        <f t="shared" ref="AA44:AA75" si="27">O44/$D$8</f>
        <v>-0.16773828613152655</v>
      </c>
      <c r="AB44">
        <f t="shared" ref="AB44:AB75" si="28">P44/$D$8</f>
        <v>-0.24739881885410311</v>
      </c>
      <c r="AC44">
        <f t="shared" ref="AC44:AC75" si="29">Q44/$D$8</f>
        <v>-0.38862359380472633</v>
      </c>
      <c r="AE44">
        <f t="shared" ref="AE44:AE75" si="30">S44/$B$8</f>
        <v>-0.28498416254309866</v>
      </c>
      <c r="AF44">
        <f t="shared" ref="AF44:AF75" si="31">T44/$B$8</f>
        <v>-0.39555106031121012</v>
      </c>
      <c r="AG44">
        <f t="shared" ref="AG44:AG75" si="32">U44/$B$8</f>
        <v>-0.75589987194041408</v>
      </c>
      <c r="AI44">
        <f t="shared" ref="AI44:AI75" si="33">W44/$C$8</f>
        <v>-0.13560126418866641</v>
      </c>
      <c r="AJ44">
        <f t="shared" ref="AJ44:AJ75" si="34">X44/$C$8</f>
        <v>-0.24916684149659576</v>
      </c>
      <c r="AK44" s="33">
        <f t="shared" ref="AK44:AK75" si="35">Y44/$C$8</f>
        <v>-0.45328722732736904</v>
      </c>
    </row>
    <row r="45" spans="2:37" x14ac:dyDescent="0.2">
      <c r="B45">
        <f>B46*(1+Foglio1!E42)</f>
        <v>276941.99334587</v>
      </c>
      <c r="C45">
        <f>C46*(1+Foglio1!I42)</f>
        <v>468973.53361945692</v>
      </c>
      <c r="D45" s="13">
        <f>D46*(1+'Historical Var'!D40)</f>
        <v>733233.49991742824</v>
      </c>
      <c r="F45">
        <f t="shared" si="21"/>
        <v>280850.59217420541</v>
      </c>
      <c r="G45">
        <f t="shared" si="22"/>
        <v>416949.71275993768</v>
      </c>
      <c r="H45">
        <f t="shared" si="23"/>
        <v>700160.16014178027</v>
      </c>
      <c r="J45" s="13">
        <f t="shared" si="24"/>
        <v>-4987.6835382204154</v>
      </c>
      <c r="K45" s="13">
        <f t="shared" si="25"/>
        <v>-476.96821288083447</v>
      </c>
      <c r="L45" s="13">
        <f t="shared" si="26"/>
        <v>-6569.7468999767443</v>
      </c>
      <c r="N45" s="39">
        <v>34</v>
      </c>
      <c r="O45" s="32">
        <f t="shared" si="18"/>
        <v>-120328.40495539983</v>
      </c>
      <c r="P45">
        <f t="shared" si="18"/>
        <v>-177473.52704689995</v>
      </c>
      <c r="Q45">
        <f t="shared" si="18"/>
        <v>-278782.25209652283</v>
      </c>
      <c r="S45">
        <f t="shared" si="19"/>
        <v>-82684.403474162333</v>
      </c>
      <c r="T45">
        <f t="shared" si="19"/>
        <v>-114763.93345352531</v>
      </c>
      <c r="U45">
        <f t="shared" si="19"/>
        <v>-219314.39782425342</v>
      </c>
      <c r="W45">
        <f t="shared" si="20"/>
        <v>-57454.815150540664</v>
      </c>
      <c r="X45">
        <f t="shared" si="20"/>
        <v>-105573.01884673354</v>
      </c>
      <c r="Y45" s="33">
        <f t="shared" si="20"/>
        <v>-192059.66855854593</v>
      </c>
      <c r="AA45" s="32">
        <f t="shared" si="27"/>
        <v>-0.1702608079217599</v>
      </c>
      <c r="AB45">
        <f t="shared" si="28"/>
        <v>-0.25111931061439285</v>
      </c>
      <c r="AC45">
        <f t="shared" si="29"/>
        <v>-0.39446788556529988</v>
      </c>
      <c r="AE45">
        <f t="shared" si="30"/>
        <v>-0.28926987915834224</v>
      </c>
      <c r="AF45">
        <f t="shared" si="31"/>
        <v>-0.40149953034626551</v>
      </c>
      <c r="AG45">
        <f t="shared" si="32"/>
        <v>-0.76726742518171265</v>
      </c>
      <c r="AI45">
        <f t="shared" si="33"/>
        <v>-0.1376404953718853</v>
      </c>
      <c r="AJ45">
        <f t="shared" si="34"/>
        <v>-0.25291392155550335</v>
      </c>
      <c r="AK45" s="33">
        <f t="shared" si="35"/>
        <v>-0.46010395912151153</v>
      </c>
    </row>
    <row r="46" spans="2:37" x14ac:dyDescent="0.2">
      <c r="B46">
        <f>B47*(1+Foglio1!E43)</f>
        <v>281860.26327209594</v>
      </c>
      <c r="C46">
        <f>C47*(1+Foglio1!I43)</f>
        <v>469510.01430615224</v>
      </c>
      <c r="D46" s="13">
        <f>D47*(1+'Historical Var'!D41)</f>
        <v>740113.58077216602</v>
      </c>
      <c r="F46">
        <f t="shared" si="21"/>
        <v>277714.22599135467</v>
      </c>
      <c r="G46">
        <f t="shared" si="22"/>
        <v>407645.0626349767</v>
      </c>
      <c r="H46">
        <f t="shared" si="23"/>
        <v>688406.17405660951</v>
      </c>
      <c r="J46" s="13">
        <f t="shared" si="24"/>
        <v>-8124.0497210711474</v>
      </c>
      <c r="K46" s="13">
        <f t="shared" si="25"/>
        <v>-9781.6183378418209</v>
      </c>
      <c r="L46" s="13">
        <f t="shared" si="26"/>
        <v>-18323.732985147508</v>
      </c>
      <c r="N46" s="39">
        <v>35</v>
      </c>
      <c r="O46" s="32">
        <f t="shared" si="18"/>
        <v>-122085.11692894888</v>
      </c>
      <c r="P46">
        <f t="shared" si="18"/>
        <v>-180064.5185095295</v>
      </c>
      <c r="Q46">
        <f t="shared" si="18"/>
        <v>-282852.28128416528</v>
      </c>
      <c r="S46">
        <f t="shared" si="19"/>
        <v>-83891.538910409989</v>
      </c>
      <c r="T46">
        <f t="shared" si="19"/>
        <v>-116439.40796932332</v>
      </c>
      <c r="U46">
        <f t="shared" si="19"/>
        <v>-222516.23723010582</v>
      </c>
      <c r="W46">
        <f t="shared" si="20"/>
        <v>-58293.615945335652</v>
      </c>
      <c r="X46">
        <f t="shared" si="20"/>
        <v>-107114.31232902077</v>
      </c>
      <c r="Y46" s="33">
        <f t="shared" si="20"/>
        <v>-194863.60765769475</v>
      </c>
      <c r="AA46" s="32">
        <f t="shared" si="27"/>
        <v>-0.17274649864468733</v>
      </c>
      <c r="AB46">
        <f t="shared" si="28"/>
        <v>-0.25478547987766198</v>
      </c>
      <c r="AC46">
        <f t="shared" si="29"/>
        <v>-0.40022684545519455</v>
      </c>
      <c r="AE46">
        <f t="shared" si="30"/>
        <v>-0.29349302048970866</v>
      </c>
      <c r="AF46">
        <f t="shared" si="31"/>
        <v>-0.40736114741494545</v>
      </c>
      <c r="AG46">
        <f t="shared" si="32"/>
        <v>-0.7784690020099807</v>
      </c>
      <c r="AI46">
        <f t="shared" si="33"/>
        <v>-0.13964995196157945</v>
      </c>
      <c r="AJ46">
        <f t="shared" si="34"/>
        <v>-0.25660629090452347</v>
      </c>
      <c r="AK46" s="33">
        <f t="shared" si="35"/>
        <v>-0.46682116055342338</v>
      </c>
    </row>
    <row r="47" spans="2:37" x14ac:dyDescent="0.2">
      <c r="B47">
        <f>B48*(1+Foglio1!E44)</f>
        <v>290105.59814841591</v>
      </c>
      <c r="C47">
        <f>C48*(1+Foglio1!I44)</f>
        <v>480776.10872675315</v>
      </c>
      <c r="D47" s="13">
        <f>D48*(1+'Historical Var'!D42)</f>
        <v>759813.64178823028</v>
      </c>
      <c r="F47">
        <f t="shared" si="21"/>
        <v>288935.81751072075</v>
      </c>
      <c r="G47">
        <f t="shared" si="22"/>
        <v>419219.88486941461</v>
      </c>
      <c r="H47">
        <f t="shared" si="23"/>
        <v>712077.218849989</v>
      </c>
      <c r="J47" s="13">
        <f t="shared" si="24"/>
        <v>3097.5417982949293</v>
      </c>
      <c r="K47" s="13">
        <f t="shared" si="25"/>
        <v>1793.2038965960965</v>
      </c>
      <c r="L47" s="13">
        <f t="shared" si="26"/>
        <v>5347.3118082319852</v>
      </c>
      <c r="N47" s="39">
        <v>36</v>
      </c>
      <c r="O47" s="32">
        <f t="shared" si="18"/>
        <v>-123816.90721383551</v>
      </c>
      <c r="P47">
        <f t="shared" si="18"/>
        <v>-182618.7527327647</v>
      </c>
      <c r="Q47">
        <f t="shared" si="18"/>
        <v>-286864.5707843753</v>
      </c>
      <c r="S47">
        <f t="shared" si="19"/>
        <v>-85081.549255027086</v>
      </c>
      <c r="T47">
        <f t="shared" si="19"/>
        <v>-118091.11327601178</v>
      </c>
      <c r="U47">
        <f t="shared" si="19"/>
        <v>-225672.65356944466</v>
      </c>
      <c r="W47">
        <f t="shared" si="20"/>
        <v>-59120.517047652625</v>
      </c>
      <c r="X47">
        <f t="shared" si="20"/>
        <v>-108633.74016862933</v>
      </c>
      <c r="Y47" s="33">
        <f t="shared" si="20"/>
        <v>-197627.76852437889</v>
      </c>
      <c r="AA47" s="32">
        <f t="shared" si="27"/>
        <v>-0.17519692598281369</v>
      </c>
      <c r="AB47">
        <f t="shared" si="28"/>
        <v>-0.25839963883398342</v>
      </c>
      <c r="AC47">
        <f t="shared" si="29"/>
        <v>-0.40590410555163609</v>
      </c>
      <c r="AE47">
        <f t="shared" si="30"/>
        <v>-0.29765625000000118</v>
      </c>
      <c r="AF47">
        <f t="shared" si="31"/>
        <v>-0.41313960833859792</v>
      </c>
      <c r="AG47">
        <f t="shared" si="32"/>
        <v>-0.78951166706759679</v>
      </c>
      <c r="AI47">
        <f t="shared" si="33"/>
        <v>-0.14163090128755418</v>
      </c>
      <c r="AJ47">
        <f t="shared" si="34"/>
        <v>-0.26024627825767371</v>
      </c>
      <c r="AK47" s="33">
        <f t="shared" si="35"/>
        <v>-0.47344306804683567</v>
      </c>
    </row>
    <row r="48" spans="2:37" x14ac:dyDescent="0.2">
      <c r="B48">
        <f>B49*(1+Foglio1!E45)</f>
        <v>286995.51569506718</v>
      </c>
      <c r="C48">
        <f>C49*(1+Foglio1!I45)</f>
        <v>478719.59942775447</v>
      </c>
      <c r="D48" s="13">
        <f>D49*(1+'Historical Var'!D43)</f>
        <v>754107.8554616411</v>
      </c>
      <c r="F48">
        <f t="shared" si="21"/>
        <v>314184.5645503893</v>
      </c>
      <c r="G48">
        <f t="shared" si="22"/>
        <v>416803.88846110972</v>
      </c>
      <c r="H48">
        <f t="shared" si="23"/>
        <v>741245.53365094075</v>
      </c>
      <c r="J48" s="13">
        <f t="shared" si="24"/>
        <v>28346.288837963482</v>
      </c>
      <c r="K48" s="13">
        <f t="shared" si="25"/>
        <v>-622.79251170880161</v>
      </c>
      <c r="L48" s="13">
        <f t="shared" si="26"/>
        <v>34515.626609183731</v>
      </c>
      <c r="N48" s="39">
        <v>37</v>
      </c>
      <c r="O48" s="32">
        <f t="shared" si="18"/>
        <v>-125524.80730295499</v>
      </c>
      <c r="P48">
        <f t="shared" si="18"/>
        <v>-185137.75107544276</v>
      </c>
      <c r="Q48">
        <f t="shared" si="18"/>
        <v>-290821.51040621323</v>
      </c>
      <c r="S48">
        <f t="shared" si="19"/>
        <v>-86255.143304700192</v>
      </c>
      <c r="T48">
        <f t="shared" si="19"/>
        <v>-119720.03316608784</v>
      </c>
      <c r="U48">
        <f t="shared" si="19"/>
        <v>-228785.52687419811</v>
      </c>
      <c r="W48">
        <f t="shared" si="20"/>
        <v>-59936.010978219747</v>
      </c>
      <c r="X48">
        <f t="shared" si="20"/>
        <v>-110132.20737064851</v>
      </c>
      <c r="Y48" s="33">
        <f t="shared" si="20"/>
        <v>-200353.79755442363</v>
      </c>
      <c r="AA48" s="32">
        <f t="shared" si="27"/>
        <v>-0.1776135494652816</v>
      </c>
      <c r="AB48">
        <f t="shared" si="28"/>
        <v>-0.26196394015699115</v>
      </c>
      <c r="AC48">
        <f t="shared" si="29"/>
        <v>-0.41150304735728427</v>
      </c>
      <c r="AE48">
        <f t="shared" si="30"/>
        <v>-0.30176204740151441</v>
      </c>
      <c r="AF48">
        <f t="shared" si="31"/>
        <v>-0.41883835489735088</v>
      </c>
      <c r="AG48">
        <f t="shared" si="32"/>
        <v>-0.80040199761201003</v>
      </c>
      <c r="AI48">
        <f t="shared" si="33"/>
        <v>-0.14358452324738338</v>
      </c>
      <c r="AJ48">
        <f t="shared" si="34"/>
        <v>-0.26383605167255697</v>
      </c>
      <c r="AK48" s="33">
        <f t="shared" si="35"/>
        <v>-0.47997362575745373</v>
      </c>
    </row>
    <row r="49" spans="2:37" x14ac:dyDescent="0.2">
      <c r="B49">
        <f>B50*(1+Foglio1!E46)</f>
        <v>261102.27108346589</v>
      </c>
      <c r="C49">
        <f>C50*(1+Foglio1!I46)</f>
        <v>479434.90701001487</v>
      </c>
      <c r="D49" s="13">
        <f>D50*(1+'Historical Var'!D44)</f>
        <v>718993.30302182387</v>
      </c>
      <c r="F49">
        <f t="shared" si="21"/>
        <v>248226.16678418504</v>
      </c>
      <c r="G49">
        <f t="shared" si="22"/>
        <v>415875.48557715589</v>
      </c>
      <c r="H49">
        <f t="shared" si="23"/>
        <v>658919.14524436113</v>
      </c>
      <c r="J49" s="13">
        <f t="shared" si="24"/>
        <v>-37612.108928240777</v>
      </c>
      <c r="K49" s="13">
        <f t="shared" si="25"/>
        <v>-1551.1953956626239</v>
      </c>
      <c r="L49" s="13">
        <f t="shared" si="26"/>
        <v>-47810.761797395884</v>
      </c>
      <c r="N49" s="39">
        <v>38</v>
      </c>
      <c r="O49" s="32">
        <f t="shared" si="18"/>
        <v>-127209.77943887968</v>
      </c>
      <c r="P49">
        <f t="shared" si="18"/>
        <v>-187622.9327584306</v>
      </c>
      <c r="Q49">
        <f t="shared" si="18"/>
        <v>-294725.32951648138</v>
      </c>
      <c r="S49">
        <f t="shared" si="19"/>
        <v>-87412.982270330598</v>
      </c>
      <c r="T49">
        <f t="shared" si="19"/>
        <v>-121327.08538414042</v>
      </c>
      <c r="U49">
        <f t="shared" si="19"/>
        <v>-231856.61095844189</v>
      </c>
      <c r="W49">
        <f t="shared" si="20"/>
        <v>-60740.557191885986</v>
      </c>
      <c r="X49">
        <f t="shared" si="20"/>
        <v>-111610.55818173199</v>
      </c>
      <c r="Y49" s="33">
        <f t="shared" si="20"/>
        <v>-203043.23061119879</v>
      </c>
      <c r="AA49" s="32">
        <f t="shared" si="27"/>
        <v>-0.17999773063426266</v>
      </c>
      <c r="AB49">
        <f t="shared" si="28"/>
        <v>-0.26548039199838891</v>
      </c>
      <c r="AC49">
        <f t="shared" si="29"/>
        <v>-0.41702682535418384</v>
      </c>
      <c r="AE49">
        <f t="shared" si="30"/>
        <v>-0.30581272592854025</v>
      </c>
      <c r="AF49">
        <f t="shared" si="31"/>
        <v>-0.42446059780392859</v>
      </c>
      <c r="AG49">
        <f t="shared" si="32"/>
        <v>-0.81114612932981223</v>
      </c>
      <c r="AI49">
        <f t="shared" si="33"/>
        <v>-0.1455119185250193</v>
      </c>
      <c r="AJ49">
        <f t="shared" si="34"/>
        <v>-0.26737763365202744</v>
      </c>
      <c r="AK49" s="33">
        <f t="shared" si="35"/>
        <v>-0.48641651304608463</v>
      </c>
    </row>
    <row r="50" spans="2:37" x14ac:dyDescent="0.2">
      <c r="B50">
        <f>B51*(1+Foglio1!E47)</f>
        <v>300665.41299001873</v>
      </c>
      <c r="C50">
        <f>C51*(1+Foglio1!I47)</f>
        <v>481223.17596566578</v>
      </c>
      <c r="D50" s="13">
        <f>D51*(1+'Historical Var'!D45)</f>
        <v>771163.0082015862</v>
      </c>
      <c r="F50">
        <f t="shared" si="21"/>
        <v>274417.94737564761</v>
      </c>
      <c r="G50">
        <f t="shared" si="22"/>
        <v>419061.8162648218</v>
      </c>
      <c r="H50">
        <f t="shared" si="23"/>
        <v>693995.82460590522</v>
      </c>
      <c r="J50" s="13">
        <f t="shared" si="24"/>
        <v>-11420.328336778213</v>
      </c>
      <c r="K50" s="13">
        <f t="shared" si="25"/>
        <v>1635.1352920032805</v>
      </c>
      <c r="L50" s="13">
        <f t="shared" si="26"/>
        <v>-12734.0824358518</v>
      </c>
      <c r="N50" s="39">
        <v>39</v>
      </c>
      <c r="O50" s="32">
        <f t="shared" si="18"/>
        <v>-128872.72295304717</v>
      </c>
      <c r="P50">
        <f t="shared" si="18"/>
        <v>-190075.62421435458</v>
      </c>
      <c r="Q50">
        <f t="shared" si="18"/>
        <v>-298578.11172663991</v>
      </c>
      <c r="S50">
        <f t="shared" si="19"/>
        <v>-88555.684133046481</v>
      </c>
      <c r="T50">
        <f t="shared" si="19"/>
        <v>-122913.12767288867</v>
      </c>
      <c r="U50">
        <f t="shared" si="19"/>
        <v>-234887.54497240618</v>
      </c>
      <c r="W50">
        <f t="shared" si="20"/>
        <v>-61534.585104478174</v>
      </c>
      <c r="X50">
        <f t="shared" si="20"/>
        <v>-113069.58165193697</v>
      </c>
      <c r="Y50" s="33">
        <f t="shared" si="20"/>
        <v>-205697.50314378136</v>
      </c>
      <c r="AA50" s="32">
        <f t="shared" si="27"/>
        <v>-0.182350742014704</v>
      </c>
      <c r="AB50">
        <f t="shared" si="28"/>
        <v>-0.26895087121751593</v>
      </c>
      <c r="AC50">
        <f t="shared" si="29"/>
        <v>-0.42247838778527663</v>
      </c>
      <c r="AE50">
        <f t="shared" si="30"/>
        <v>-0.30981044757679677</v>
      </c>
      <c r="AF50">
        <f t="shared" si="31"/>
        <v>-0.43000933785560702</v>
      </c>
      <c r="AG50">
        <f t="shared" si="32"/>
        <v>-0.82174979675822069</v>
      </c>
      <c r="AI50">
        <f t="shared" si="33"/>
        <v>-0.14741411584202282</v>
      </c>
      <c r="AJ50">
        <f t="shared" si="34"/>
        <v>-0.27087291446830081</v>
      </c>
      <c r="AK50" s="33">
        <f t="shared" si="35"/>
        <v>-0.49277516871801424</v>
      </c>
    </row>
    <row r="51" spans="2:37" x14ac:dyDescent="0.2">
      <c r="B51">
        <f>B52*(1+Foglio1!E48)</f>
        <v>313178.07030232885</v>
      </c>
      <c r="C51">
        <f>C52*(1+Foglio1!I48)</f>
        <v>479345.49356223224</v>
      </c>
      <c r="D51" s="13">
        <f>D52*(1+'Historical Var'!D46)</f>
        <v>785313.02606876125</v>
      </c>
      <c r="F51">
        <f t="shared" si="21"/>
        <v>279891.39164061594</v>
      </c>
      <c r="G51">
        <f t="shared" si="22"/>
        <v>423029.19408228359</v>
      </c>
      <c r="H51">
        <f t="shared" si="23"/>
        <v>704120.83143499028</v>
      </c>
      <c r="J51" s="13">
        <f t="shared" si="24"/>
        <v>-5946.88407180988</v>
      </c>
      <c r="K51" s="13">
        <f t="shared" si="25"/>
        <v>5602.5131094650715</v>
      </c>
      <c r="L51" s="13">
        <f t="shared" si="26"/>
        <v>-2609.0756067667389</v>
      </c>
      <c r="N51" s="39">
        <v>40</v>
      </c>
      <c r="O51" s="32">
        <f t="shared" si="18"/>
        <v>-130514.47987781771</v>
      </c>
      <c r="P51">
        <f t="shared" si="18"/>
        <v>-192497.06736487834</v>
      </c>
      <c r="Q51">
        <f t="shared" si="18"/>
        <v>-302381.80789507361</v>
      </c>
      <c r="S51">
        <f t="shared" si="19"/>
        <v>-89683.827500562591</v>
      </c>
      <c r="T51">
        <f t="shared" si="19"/>
        <v>-124478.96312571519</v>
      </c>
      <c r="U51">
        <f t="shared" si="19"/>
        <v>-237879.86363119094</v>
      </c>
      <c r="W51">
        <f t="shared" si="20"/>
        <v>-62318.496772465245</v>
      </c>
      <c r="X51">
        <f t="shared" si="20"/>
        <v>-114510.01655859762</v>
      </c>
      <c r="Y51" s="33">
        <f t="shared" si="20"/>
        <v>-208317.95914452366</v>
      </c>
      <c r="AA51" s="32">
        <f t="shared" si="27"/>
        <v>-0.18467377505520829</v>
      </c>
      <c r="AB51">
        <f t="shared" si="28"/>
        <v>-0.27237713509342781</v>
      </c>
      <c r="AC51">
        <f t="shared" si="29"/>
        <v>-0.42786049505218893</v>
      </c>
      <c r="AE51">
        <f t="shared" si="30"/>
        <v>-0.31375723659483262</v>
      </c>
      <c r="AF51">
        <f t="shared" si="31"/>
        <v>-0.43548738465995407</v>
      </c>
      <c r="AG51">
        <f t="shared" si="32"/>
        <v>-0.8322183690700522</v>
      </c>
      <c r="AI51">
        <f t="shared" si="33"/>
        <v>-0.1492920783770485</v>
      </c>
      <c r="AJ51">
        <f t="shared" si="34"/>
        <v>-0.2743236639587352</v>
      </c>
      <c r="AK51" s="33">
        <f t="shared" si="35"/>
        <v>-0.49905281248202882</v>
      </c>
    </row>
    <row r="52" spans="2:37" x14ac:dyDescent="0.2">
      <c r="B52">
        <f>B53*(1+Foglio1!E49)</f>
        <v>319832.20020251692</v>
      </c>
      <c r="C52">
        <f>C53*(1+Foglio1!I49)</f>
        <v>472997.13876967138</v>
      </c>
      <c r="D52" s="13">
        <f>D53*(1+'Historical Var'!D47)</f>
        <v>788222.95426363731</v>
      </c>
      <c r="F52">
        <f t="shared" si="21"/>
        <v>266156.42349975719</v>
      </c>
      <c r="G52">
        <f t="shared" si="22"/>
        <v>410214.96235300211</v>
      </c>
      <c r="H52">
        <f t="shared" si="23"/>
        <v>676293.4482529629</v>
      </c>
      <c r="J52" s="13">
        <f t="shared" si="24"/>
        <v>-19681.852212668629</v>
      </c>
      <c r="K52" s="13">
        <f t="shared" si="25"/>
        <v>-7211.7186198164127</v>
      </c>
      <c r="L52" s="13">
        <f t="shared" si="26"/>
        <v>-30436.458788794116</v>
      </c>
      <c r="N52" s="39">
        <v>41</v>
      </c>
      <c r="O52" s="32">
        <f t="shared" si="18"/>
        <v>-132135.83993081405</v>
      </c>
      <c r="P52">
        <f t="shared" si="18"/>
        <v>-194888.42697215365</v>
      </c>
      <c r="Q52">
        <f t="shared" si="18"/>
        <v>-306138.2476750341</v>
      </c>
      <c r="S52">
        <f t="shared" si="19"/>
        <v>-90797.955032200116</v>
      </c>
      <c r="T52">
        <f t="shared" si="19"/>
        <v>-126025.34494050984</v>
      </c>
      <c r="U52">
        <f t="shared" si="19"/>
        <v>-240835.00629938295</v>
      </c>
      <c r="W52">
        <f t="shared" si="20"/>
        <v>-63092.669272897743</v>
      </c>
      <c r="X52">
        <f t="shared" si="20"/>
        <v>-115932.55577945548</v>
      </c>
      <c r="Y52" s="33">
        <f t="shared" si="20"/>
        <v>-210905.85910470318</v>
      </c>
      <c r="AA52" s="32">
        <f t="shared" si="27"/>
        <v>-0.18696794718071388</v>
      </c>
      <c r="AB52">
        <f t="shared" si="28"/>
        <v>-0.27576083172696231</v>
      </c>
      <c r="AC52">
        <f t="shared" si="29"/>
        <v>-0.43317573605519705</v>
      </c>
      <c r="AE52">
        <f t="shared" si="30"/>
        <v>-0.31765499146639653</v>
      </c>
      <c r="AF52">
        <f t="shared" si="31"/>
        <v>-0.4408973732660651</v>
      </c>
      <c r="AG52">
        <f t="shared" si="32"/>
        <v>-0.84255688185609035</v>
      </c>
      <c r="AI52">
        <f t="shared" si="33"/>
        <v>-0.15114670946729955</v>
      </c>
      <c r="AJ52">
        <f t="shared" si="34"/>
        <v>-0.27773154200223399</v>
      </c>
      <c r="AK52" s="33">
        <f t="shared" si="35"/>
        <v>-0.50525246400921053</v>
      </c>
    </row>
    <row r="53" spans="2:37" x14ac:dyDescent="0.2">
      <c r="B53">
        <f>B54*(1+Foglio1!E50)</f>
        <v>343483.29234775057</v>
      </c>
      <c r="C53">
        <f>C54*(1+Foglio1!I50)</f>
        <v>481312.58941344812</v>
      </c>
      <c r="D53" s="13">
        <f>D54*(1+'Historical Var'!D48)</f>
        <v>823696.77931073902</v>
      </c>
      <c r="F53">
        <f t="shared" si="21"/>
        <v>285177.72507527523</v>
      </c>
      <c r="G53">
        <f t="shared" si="22"/>
        <v>410862.64832266996</v>
      </c>
      <c r="H53">
        <f t="shared" si="23"/>
        <v>700356.64508044382</v>
      </c>
      <c r="J53" s="13">
        <f t="shared" si="24"/>
        <v>-660.55063715059077</v>
      </c>
      <c r="K53" s="13">
        <f t="shared" si="25"/>
        <v>-6564.0326501485542</v>
      </c>
      <c r="L53" s="13">
        <f t="shared" si="26"/>
        <v>-6373.2619613131974</v>
      </c>
      <c r="N53" s="39">
        <v>42</v>
      </c>
      <c r="O53" s="32">
        <f t="shared" ref="O53:Q72" si="36">O$12*SQRT($N53)</f>
        <v>-133737.54495528227</v>
      </c>
      <c r="P53">
        <f t="shared" si="36"/>
        <v>-197250.79718795163</v>
      </c>
      <c r="Q53">
        <f t="shared" si="36"/>
        <v>-309849.14980226726</v>
      </c>
      <c r="S53">
        <f t="shared" ref="S53:U72" si="37">S$12*SQRT($N53)</f>
        <v>-91898.576490107836</v>
      </c>
      <c r="T53">
        <f t="shared" si="37"/>
        <v>-127552.98065469039</v>
      </c>
      <c r="U53">
        <f t="shared" si="37"/>
        <v>-243754.32508419966</v>
      </c>
      <c r="W53">
        <f t="shared" ref="W53:Y72" si="38">W$12*SQRT($N53)</f>
        <v>-63857.45682360635</v>
      </c>
      <c r="X53">
        <f t="shared" si="38"/>
        <v>-117337.85018851681</v>
      </c>
      <c r="Y53" s="33">
        <f t="shared" si="38"/>
        <v>-213462.38710191171</v>
      </c>
      <c r="AA53" s="32">
        <f t="shared" si="27"/>
        <v>-0.18923430807546171</v>
      </c>
      <c r="AB53">
        <f t="shared" si="28"/>
        <v>-0.27910350930754807</v>
      </c>
      <c r="AC53">
        <f t="shared" si="29"/>
        <v>-0.43842654274988802</v>
      </c>
      <c r="AE53">
        <f t="shared" si="30"/>
        <v>-0.32150549558507874</v>
      </c>
      <c r="AF53">
        <f t="shared" si="31"/>
        <v>-0.44624177898070588</v>
      </c>
      <c r="AG53">
        <f t="shared" si="32"/>
        <v>-0.85277006543880185</v>
      </c>
      <c r="AI53">
        <f t="shared" si="33"/>
        <v>-0.15297885768773975</v>
      </c>
      <c r="AJ53">
        <f t="shared" si="34"/>
        <v>-0.28109810785228045</v>
      </c>
      <c r="AK53" s="33">
        <f t="shared" si="35"/>
        <v>-0.51137695991170173</v>
      </c>
    </row>
    <row r="54" spans="2:37" x14ac:dyDescent="0.2">
      <c r="B54">
        <f>B55*(1+Foglio1!E51)</f>
        <v>344278.89483581652</v>
      </c>
      <c r="C54">
        <f>C55*(1+Foglio1!I51)</f>
        <v>489002.14592274715</v>
      </c>
      <c r="D54" s="13">
        <f>D55*(1+'Historical Var'!D49)</f>
        <v>831192.4393977999</v>
      </c>
      <c r="F54">
        <f t="shared" si="21"/>
        <v>269370.45978838787</v>
      </c>
      <c r="G54">
        <f t="shared" si="22"/>
        <v>420889.84480832313</v>
      </c>
      <c r="H54">
        <f t="shared" si="23"/>
        <v>689303.39851692668</v>
      </c>
      <c r="J54" s="13">
        <f t="shared" si="24"/>
        <v>-16467.815924037946</v>
      </c>
      <c r="K54" s="13">
        <f t="shared" si="25"/>
        <v>3463.1638355046161</v>
      </c>
      <c r="L54" s="13">
        <f t="shared" si="26"/>
        <v>-17426.508524830337</v>
      </c>
      <c r="N54" s="39">
        <v>43</v>
      </c>
      <c r="O54" s="32">
        <f t="shared" si="36"/>
        <v>-135320.29288732188</v>
      </c>
      <c r="P54">
        <f t="shared" si="36"/>
        <v>-199585.20740496874</v>
      </c>
      <c r="Q54">
        <f t="shared" si="36"/>
        <v>-313516.1312864701</v>
      </c>
      <c r="S54">
        <f t="shared" si="37"/>
        <v>-92986.171465368796</v>
      </c>
      <c r="T54">
        <f t="shared" si="37"/>
        <v>-129062.53592897183</v>
      </c>
      <c r="U54">
        <f t="shared" si="37"/>
        <v>-246639.0920662893</v>
      </c>
      <c r="W54">
        <f t="shared" si="38"/>
        <v>-64613.192677488412</v>
      </c>
      <c r="X54">
        <f t="shared" si="38"/>
        <v>-118726.51213679728</v>
      </c>
      <c r="Y54" s="33">
        <f t="shared" si="38"/>
        <v>-215988.65713226673</v>
      </c>
      <c r="AA54" s="32">
        <f t="shared" si="27"/>
        <v>-0.19147384529649811</v>
      </c>
      <c r="AB54">
        <f t="shared" si="28"/>
        <v>-0.28240662439261438</v>
      </c>
      <c r="AC54">
        <f t="shared" si="29"/>
        <v>-0.44361520315277397</v>
      </c>
      <c r="AE54">
        <f t="shared" si="30"/>
        <v>-0.32531042679154581</v>
      </c>
      <c r="AF54">
        <f t="shared" si="31"/>
        <v>-0.45152293060576032</v>
      </c>
      <c r="AG54">
        <f t="shared" si="32"/>
        <v>-0.86286237016915901</v>
      </c>
      <c r="AI54">
        <f t="shared" si="33"/>
        <v>-0.15478932138910359</v>
      </c>
      <c r="AJ54">
        <f t="shared" si="34"/>
        <v>-0.28442482847551465</v>
      </c>
      <c r="AK54" s="33">
        <f t="shared" si="35"/>
        <v>-0.51742896891234225</v>
      </c>
    </row>
    <row r="55" spans="2:37" x14ac:dyDescent="0.2">
      <c r="B55">
        <f>B56*(1+Foglio1!E52)</f>
        <v>365326.19702010695</v>
      </c>
      <c r="C55">
        <f>C56*(1+Foglio1!I52)</f>
        <v>484978.54077253252</v>
      </c>
      <c r="D55" s="13">
        <f>D56*(1+'Historical Var'!D50)</f>
        <v>852206.09196661797</v>
      </c>
      <c r="F55">
        <f t="shared" si="21"/>
        <v>285160.80004413641</v>
      </c>
      <c r="G55">
        <f t="shared" si="22"/>
        <v>417119.07103842444</v>
      </c>
      <c r="H55">
        <f t="shared" si="23"/>
        <v>705631.98235736252</v>
      </c>
      <c r="J55" s="13">
        <f t="shared" si="24"/>
        <v>-677.47566828940762</v>
      </c>
      <c r="K55" s="13">
        <f t="shared" si="25"/>
        <v>-307.60993439407321</v>
      </c>
      <c r="L55" s="13">
        <f t="shared" si="26"/>
        <v>-1097.9246843945002</v>
      </c>
      <c r="N55" s="39">
        <v>44</v>
      </c>
      <c r="O55" s="32">
        <f t="shared" si="36"/>
        <v>-136884.7413101804</v>
      </c>
      <c r="P55">
        <f t="shared" si="36"/>
        <v>-201892.6274990901</v>
      </c>
      <c r="Q55">
        <f t="shared" si="36"/>
        <v>-317140.71564604016</v>
      </c>
      <c r="S55">
        <f t="shared" si="37"/>
        <v>-94061.191820355612</v>
      </c>
      <c r="T55">
        <f t="shared" si="37"/>
        <v>-130554.63793729611</v>
      </c>
      <c r="U55">
        <f t="shared" si="37"/>
        <v>-249490.50577790206</v>
      </c>
      <c r="W55">
        <f t="shared" si="38"/>
        <v>-65360.190819624579</v>
      </c>
      <c r="X55">
        <f t="shared" si="38"/>
        <v>-120099.11857076774</v>
      </c>
      <c r="Y55" s="33">
        <f t="shared" si="38"/>
        <v>-218485.71878352453</v>
      </c>
      <c r="AA55" s="32">
        <f t="shared" si="27"/>
        <v>-0.19368748930288665</v>
      </c>
      <c r="AB55">
        <f t="shared" si="28"/>
        <v>-0.28567154932522376</v>
      </c>
      <c r="AC55">
        <f t="shared" si="29"/>
        <v>-0.44874387299319701</v>
      </c>
      <c r="AE55">
        <f t="shared" si="30"/>
        <v>-0.32907136591807612</v>
      </c>
      <c r="AF55">
        <f t="shared" si="31"/>
        <v>-0.45674302229783814</v>
      </c>
      <c r="AG55">
        <f t="shared" si="32"/>
        <v>-0.87283798909040344</v>
      </c>
      <c r="AI55">
        <f t="shared" si="33"/>
        <v>-0.15657885276356023</v>
      </c>
      <c r="AJ55">
        <f t="shared" si="34"/>
        <v>-0.28771308602237672</v>
      </c>
      <c r="AK55" s="33">
        <f t="shared" si="35"/>
        <v>-0.52341100543535124</v>
      </c>
    </row>
    <row r="56" spans="2:37" x14ac:dyDescent="0.2">
      <c r="B56">
        <f>B57*(1+Foglio1!E53)</f>
        <v>366194.12700708804</v>
      </c>
      <c r="C56">
        <f>C57*(1+Foglio1!I53)</f>
        <v>485336.19456366269</v>
      </c>
      <c r="D56" s="13">
        <f>D57*(1+'Historical Var'!D51)</f>
        <v>853532.07793091016</v>
      </c>
      <c r="F56">
        <f t="shared" si="21"/>
        <v>291480.19938207697</v>
      </c>
      <c r="G56">
        <f t="shared" si="22"/>
        <v>384488.7195520887</v>
      </c>
      <c r="H56">
        <f t="shared" si="23"/>
        <v>685821.65227724717</v>
      </c>
      <c r="J56" s="13">
        <f t="shared" si="24"/>
        <v>5641.9236696511507</v>
      </c>
      <c r="K56" s="13">
        <f t="shared" si="25"/>
        <v>-32937.961420729815</v>
      </c>
      <c r="L56" s="13">
        <f t="shared" si="26"/>
        <v>-20908.254764509853</v>
      </c>
      <c r="N56" s="39">
        <v>45</v>
      </c>
      <c r="O56" s="32">
        <f t="shared" si="36"/>
        <v>-138431.51064696015</v>
      </c>
      <c r="P56">
        <f t="shared" si="36"/>
        <v>-204173.97253834369</v>
      </c>
      <c r="Q56">
        <f t="shared" si="36"/>
        <v>-320724.34030508169</v>
      </c>
      <c r="S56">
        <f t="shared" si="37"/>
        <v>-95124.06388261859</v>
      </c>
      <c r="T56">
        <f t="shared" si="37"/>
        <v>-132029.8784118951</v>
      </c>
      <c r="U56">
        <f t="shared" si="37"/>
        <v>-252309.69702201942</v>
      </c>
      <c r="W56">
        <f t="shared" si="38"/>
        <v>-66098.747491743226</v>
      </c>
      <c r="X56">
        <f t="shared" si="38"/>
        <v>-121456.21383355233</v>
      </c>
      <c r="Y56" s="33">
        <f t="shared" si="38"/>
        <v>-220954.56233105226</v>
      </c>
      <c r="AA56" s="32">
        <f t="shared" si="27"/>
        <v>-0.1958761179732853</v>
      </c>
      <c r="AB56">
        <f t="shared" si="28"/>
        <v>-0.28889957889709073</v>
      </c>
      <c r="AC56">
        <f t="shared" si="29"/>
        <v>-0.45381458617985404</v>
      </c>
      <c r="AE56">
        <f t="shared" si="30"/>
        <v>-0.33278980446383727</v>
      </c>
      <c r="AF56">
        <f t="shared" si="31"/>
        <v>-0.46190412422137195</v>
      </c>
      <c r="AG56">
        <f t="shared" si="32"/>
        <v>-0.88270087829616428</v>
      </c>
      <c r="AI56">
        <f t="shared" si="33"/>
        <v>-0.15834816149676681</v>
      </c>
      <c r="AJ56">
        <f t="shared" si="34"/>
        <v>-0.29096418453774203</v>
      </c>
      <c r="AK56" s="33">
        <f t="shared" si="35"/>
        <v>-0.52932544181439167</v>
      </c>
    </row>
    <row r="57" spans="2:37" x14ac:dyDescent="0.2">
      <c r="B57">
        <f>B58*(1+Foglio1!E54)</f>
        <v>359106.03211340943</v>
      </c>
      <c r="C57">
        <f>C58*(1+Foglio1!I54)</f>
        <v>526913.44778254686</v>
      </c>
      <c r="D57" s="13">
        <f>D58*(1+'Historical Var'!D52)</f>
        <v>879553.22508455347</v>
      </c>
      <c r="F57">
        <f t="shared" si="21"/>
        <v>279918.54810891399</v>
      </c>
      <c r="G57">
        <f t="shared" si="22"/>
        <v>418349.5630906155</v>
      </c>
      <c r="H57">
        <f t="shared" si="23"/>
        <v>700192.94699207065</v>
      </c>
      <c r="J57" s="13">
        <f t="shared" si="24"/>
        <v>-5919.7276035118266</v>
      </c>
      <c r="K57" s="13">
        <f t="shared" si="25"/>
        <v>922.88211779698031</v>
      </c>
      <c r="L57" s="13">
        <f t="shared" si="26"/>
        <v>-6536.9600496863713</v>
      </c>
      <c r="N57" s="39">
        <v>46</v>
      </c>
      <c r="O57" s="32">
        <f t="shared" si="36"/>
        <v>-139961.18703570598</v>
      </c>
      <c r="P57">
        <f t="shared" si="36"/>
        <v>-206430.10702339493</v>
      </c>
      <c r="Q57">
        <f t="shared" si="36"/>
        <v>-324268.36325453821</v>
      </c>
      <c r="S57">
        <f t="shared" si="37"/>
        <v>-96175.190420519924</v>
      </c>
      <c r="T57">
        <f t="shared" si="37"/>
        <v>-133488.81638542283</v>
      </c>
      <c r="U57">
        <f t="shared" si="37"/>
        <v>-255097.73411258101</v>
      </c>
      <c r="W57">
        <f t="shared" si="38"/>
        <v>-66829.142565027156</v>
      </c>
      <c r="X57">
        <f t="shared" si="38"/>
        <v>-122798.31218745575</v>
      </c>
      <c r="Y57" s="33">
        <f t="shared" si="38"/>
        <v>-223396.12332683918</v>
      </c>
      <c r="AA57" s="32">
        <f t="shared" si="27"/>
        <v>-0.19804056067410261</v>
      </c>
      <c r="AB57">
        <f t="shared" si="28"/>
        <v>-0.29209193634874436</v>
      </c>
      <c r="AC57">
        <f t="shared" si="29"/>
        <v>-0.45882926422608417</v>
      </c>
      <c r="AE57">
        <f t="shared" si="30"/>
        <v>-0.33646715150660644</v>
      </c>
      <c r="AF57">
        <f t="shared" si="31"/>
        <v>-0.46700819214191708</v>
      </c>
      <c r="AG57">
        <f t="shared" si="32"/>
        <v>-0.89245477526329597</v>
      </c>
      <c r="AI57">
        <f t="shared" si="33"/>
        <v>-0.16009791805660561</v>
      </c>
      <c r="AJ57">
        <f t="shared" si="34"/>
        <v>-0.29417935600396367</v>
      </c>
      <c r="AK57" s="33">
        <f t="shared" si="35"/>
        <v>-0.53517451928614501</v>
      </c>
    </row>
    <row r="58" spans="2:37" x14ac:dyDescent="0.2">
      <c r="B58">
        <f>B59*(1+Foglio1!E55)</f>
        <v>366700.41949949367</v>
      </c>
      <c r="C58">
        <f>C59*(1+Foglio1!I55)</f>
        <v>525751.07296137384</v>
      </c>
      <c r="D58" s="13">
        <f>D59*(1+'Historical Var'!D53)</f>
        <v>887764.68211029191</v>
      </c>
      <c r="F58">
        <f t="shared" si="21"/>
        <v>286007.51092599152</v>
      </c>
      <c r="G58">
        <f t="shared" si="22"/>
        <v>415026.86576262652</v>
      </c>
      <c r="H58">
        <f t="shared" si="23"/>
        <v>704907.60267184244</v>
      </c>
      <c r="J58" s="13">
        <f t="shared" si="24"/>
        <v>169.23521356569836</v>
      </c>
      <c r="K58" s="13">
        <f t="shared" si="25"/>
        <v>-2399.8152101919986</v>
      </c>
      <c r="L58" s="13">
        <f t="shared" si="26"/>
        <v>-1822.3043699145783</v>
      </c>
      <c r="N58" s="39">
        <v>47</v>
      </c>
      <c r="O58" s="32">
        <f t="shared" si="36"/>
        <v>-141474.32492466009</v>
      </c>
      <c r="P58">
        <f t="shared" si="36"/>
        <v>-208661.84871531316</v>
      </c>
      <c r="Q58">
        <f t="shared" si="36"/>
        <v>-327774.06906499556</v>
      </c>
      <c r="S58">
        <f t="shared" si="37"/>
        <v>-97214.952426579082</v>
      </c>
      <c r="T58">
        <f t="shared" si="37"/>
        <v>-134931.98066619516</v>
      </c>
      <c r="U58">
        <f t="shared" si="37"/>
        <v>-257855.62760467906</v>
      </c>
      <c r="W58">
        <f t="shared" si="38"/>
        <v>-67551.640779304682</v>
      </c>
      <c r="X58">
        <f t="shared" si="38"/>
        <v>-124125.90009097256</v>
      </c>
      <c r="Y58" s="33">
        <f t="shared" si="38"/>
        <v>-225811.28674185846</v>
      </c>
      <c r="AA58" s="32">
        <f t="shared" si="27"/>
        <v>-0.20018160193169962</v>
      </c>
      <c r="AB58">
        <f t="shared" si="28"/>
        <v>-0.29524977878569442</v>
      </c>
      <c r="AC58">
        <f t="shared" si="29"/>
        <v>-0.46378972475779079</v>
      </c>
      <c r="AE58">
        <f t="shared" si="30"/>
        <v>-0.34010473994177193</v>
      </c>
      <c r="AF58">
        <f t="shared" si="31"/>
        <v>-0.47205707608573244</v>
      </c>
      <c r="AG58">
        <f t="shared" si="32"/>
        <v>-0.90210321540037786</v>
      </c>
      <c r="AI58">
        <f t="shared" si="33"/>
        <v>-0.16182875666182783</v>
      </c>
      <c r="AJ58">
        <f t="shared" si="34"/>
        <v>-0.29735976579574519</v>
      </c>
      <c r="AK58" s="33">
        <f t="shared" si="35"/>
        <v>-0.54096035791387898</v>
      </c>
    </row>
    <row r="59" spans="2:37" x14ac:dyDescent="0.2">
      <c r="B59">
        <f>B60*(1+Foglio1!E56)</f>
        <v>366483.43700274837</v>
      </c>
      <c r="C59">
        <f>C60*(1+Foglio1!I56)</f>
        <v>528791.13018598035</v>
      </c>
      <c r="D59" s="13">
        <f>D60*(1+'Historical Var'!D54)</f>
        <v>890059.70269672549</v>
      </c>
      <c r="F59">
        <f t="shared" si="21"/>
        <v>283377.52749654895</v>
      </c>
      <c r="G59">
        <f t="shared" si="22"/>
        <v>414413.5288355294</v>
      </c>
      <c r="H59">
        <f t="shared" si="23"/>
        <v>701137.10051214683</v>
      </c>
      <c r="J59" s="13">
        <f t="shared" si="24"/>
        <v>-2460.7482158768689</v>
      </c>
      <c r="K59" s="13">
        <f t="shared" si="25"/>
        <v>-3013.1521372891148</v>
      </c>
      <c r="L59" s="13">
        <f t="shared" si="26"/>
        <v>-5592.806529610185</v>
      </c>
      <c r="N59" s="39">
        <v>48</v>
      </c>
      <c r="O59" s="32">
        <f t="shared" si="36"/>
        <v>-142971.4494202697</v>
      </c>
      <c r="P59">
        <f t="shared" si="36"/>
        <v>-210869.97209867078</v>
      </c>
      <c r="Q59">
        <f t="shared" si="36"/>
        <v>-331242.67432665103</v>
      </c>
      <c r="S59">
        <f t="shared" si="37"/>
        <v>-98243.710730920575</v>
      </c>
      <c r="T59">
        <f t="shared" si="37"/>
        <v>-136359.87207761596</v>
      </c>
      <c r="U59">
        <f t="shared" si="37"/>
        <v>-260584.33457411206</v>
      </c>
      <c r="W59">
        <f t="shared" si="38"/>
        <v>-68266.492864184198</v>
      </c>
      <c r="X59">
        <f t="shared" si="38"/>
        <v>-125439.438258868</v>
      </c>
      <c r="Y59" s="33">
        <f t="shared" si="38"/>
        <v>-228200.89071379037</v>
      </c>
      <c r="AA59" s="32">
        <f t="shared" si="27"/>
        <v>-0.20229998475474487</v>
      </c>
      <c r="AB59">
        <f t="shared" si="28"/>
        <v>-0.29837420207860477</v>
      </c>
      <c r="AC59">
        <f t="shared" si="29"/>
        <v>-0.46869768921082267</v>
      </c>
      <c r="AE59">
        <f t="shared" si="30"/>
        <v>-0.34370383212695044</v>
      </c>
      <c r="AF59">
        <f t="shared" si="31"/>
        <v>-0.4770525281743721</v>
      </c>
      <c r="AG59">
        <f t="shared" si="32"/>
        <v>-0.91164954701965428</v>
      </c>
      <c r="AI59">
        <f t="shared" si="33"/>
        <v>-0.1635412779678774</v>
      </c>
      <c r="AJ59">
        <f t="shared" si="34"/>
        <v>-0.30050651761533237</v>
      </c>
      <c r="AK59" s="33">
        <f t="shared" si="35"/>
        <v>-0.54668496556560575</v>
      </c>
    </row>
    <row r="60" spans="2:37" x14ac:dyDescent="0.2">
      <c r="B60">
        <f>B61*(1+Foglio1!E57)</f>
        <v>369665.84695501218</v>
      </c>
      <c r="C60">
        <f>C61*(1+Foglio1!I57)</f>
        <v>532635.90844062984</v>
      </c>
      <c r="D60" s="13">
        <f>D61*(1+'Historical Var'!D55)</f>
        <v>897159.50060122809</v>
      </c>
      <c r="F60">
        <f t="shared" si="21"/>
        <v>287809.18580894568</v>
      </c>
      <c r="G60">
        <f t="shared" si="22"/>
        <v>424916.39414816821</v>
      </c>
      <c r="H60">
        <f t="shared" si="23"/>
        <v>715506.70688535459</v>
      </c>
      <c r="J60" s="13">
        <f t="shared" si="24"/>
        <v>1970.9100965198595</v>
      </c>
      <c r="K60" s="13">
        <f t="shared" si="25"/>
        <v>7489.7131753496942</v>
      </c>
      <c r="L60" s="13">
        <f t="shared" si="26"/>
        <v>8776.7998435975751</v>
      </c>
      <c r="N60" s="39">
        <v>49</v>
      </c>
      <c r="O60" s="32">
        <f t="shared" si="36"/>
        <v>-144453.05841614143</v>
      </c>
      <c r="P60">
        <f t="shared" si="36"/>
        <v>-213055.21152155881</v>
      </c>
      <c r="Q60">
        <f t="shared" si="36"/>
        <v>-334675.33258177119</v>
      </c>
      <c r="S60">
        <f t="shared" si="37"/>
        <v>-99261.807464198268</v>
      </c>
      <c r="T60">
        <f t="shared" si="37"/>
        <v>-137772.96548868041</v>
      </c>
      <c r="U60">
        <f t="shared" si="37"/>
        <v>-263284.76249768544</v>
      </c>
      <c r="W60">
        <f t="shared" si="38"/>
        <v>-68973.93655559473</v>
      </c>
      <c r="X60">
        <f t="shared" si="38"/>
        <v>-126739.36353006755</v>
      </c>
      <c r="Y60" s="33">
        <f t="shared" si="38"/>
        <v>-230565.7299451087</v>
      </c>
      <c r="AA60" s="32">
        <f t="shared" si="27"/>
        <v>-0.20439641364661598</v>
      </c>
      <c r="AB60">
        <f t="shared" si="28"/>
        <v>-0.301466245306314</v>
      </c>
      <c r="AC60">
        <f t="shared" si="29"/>
        <v>-0.47355478981024213</v>
      </c>
      <c r="AE60">
        <f t="shared" si="30"/>
        <v>-0.34726562500000135</v>
      </c>
      <c r="AF60">
        <f t="shared" si="31"/>
        <v>-0.48199620972836427</v>
      </c>
      <c r="AG60">
        <f t="shared" si="32"/>
        <v>-0.92109694491219618</v>
      </c>
      <c r="AI60">
        <f t="shared" si="33"/>
        <v>-0.16523605150214654</v>
      </c>
      <c r="AJ60">
        <f t="shared" si="34"/>
        <v>-0.30362065796728605</v>
      </c>
      <c r="AK60" s="33">
        <f t="shared" si="35"/>
        <v>-0.55235024605464167</v>
      </c>
    </row>
    <row r="61" spans="2:37" x14ac:dyDescent="0.2">
      <c r="B61">
        <f>B62*(1+Foglio1!E58)</f>
        <v>367134.38449298416</v>
      </c>
      <c r="C61">
        <f>C62*(1+Foglio1!I58)</f>
        <v>523247.49642346241</v>
      </c>
      <c r="D61" s="13">
        <f>D62*(1+'Historical Var'!D56)</f>
        <v>886154.44741474465</v>
      </c>
      <c r="F61">
        <f t="shared" si="21"/>
        <v>267499.0943060976</v>
      </c>
      <c r="G61">
        <f t="shared" si="22"/>
        <v>428558.05913209374</v>
      </c>
      <c r="H61">
        <f t="shared" si="23"/>
        <v>693481.32722095947</v>
      </c>
      <c r="J61" s="13">
        <f t="shared" si="24"/>
        <v>-18339.181406328222</v>
      </c>
      <c r="K61" s="13">
        <f t="shared" si="25"/>
        <v>11131.37815927522</v>
      </c>
      <c r="L61" s="13">
        <f t="shared" si="26"/>
        <v>-13248.579820797546</v>
      </c>
      <c r="N61" s="39">
        <v>50</v>
      </c>
      <c r="O61" s="32">
        <f t="shared" si="36"/>
        <v>-145919.62452741442</v>
      </c>
      <c r="P61">
        <f t="shared" si="36"/>
        <v>-215218.26404861212</v>
      </c>
      <c r="Q61">
        <f t="shared" si="36"/>
        <v>-338073.13880633359</v>
      </c>
      <c r="S61">
        <f t="shared" si="37"/>
        <v>-100269.56738681151</v>
      </c>
      <c r="T61">
        <f t="shared" si="37"/>
        <v>-139171.71165889443</v>
      </c>
      <c r="U61">
        <f t="shared" si="37"/>
        <v>-265957.77277886146</v>
      </c>
      <c r="W61">
        <f t="shared" si="38"/>
        <v>-69674.197519416761</v>
      </c>
      <c r="X61">
        <f t="shared" si="38"/>
        <v>-128026.0905648254</v>
      </c>
      <c r="Y61" s="33">
        <f t="shared" si="38"/>
        <v>-232906.55879058942</v>
      </c>
      <c r="AA61" s="32">
        <f t="shared" si="27"/>
        <v>-0.20647155734247535</v>
      </c>
      <c r="AB61">
        <f t="shared" si="28"/>
        <v>-0.30452689479277406</v>
      </c>
      <c r="AC61">
        <f t="shared" si="29"/>
        <v>-0.47836257591170339</v>
      </c>
      <c r="AE61">
        <f t="shared" si="30"/>
        <v>-0.3507912547292652</v>
      </c>
      <c r="AF61">
        <f t="shared" si="31"/>
        <v>-0.48688969772162821</v>
      </c>
      <c r="AG61">
        <f t="shared" si="32"/>
        <v>-0.93044842268232264</v>
      </c>
      <c r="AI61">
        <f t="shared" si="33"/>
        <v>-0.16691361787665346</v>
      </c>
      <c r="AJ61">
        <f t="shared" si="34"/>
        <v>-0.30670318022427046</v>
      </c>
      <c r="AK61" s="33">
        <f t="shared" si="35"/>
        <v>-0.55795800653613592</v>
      </c>
    </row>
    <row r="62" spans="2:37" x14ac:dyDescent="0.2">
      <c r="B62">
        <f>B63*(1+Foglio1!E59)</f>
        <v>392304.35411543463</v>
      </c>
      <c r="C62">
        <f>C63*(1+Foglio1!I59)</f>
        <v>509656.65236051526</v>
      </c>
      <c r="D62" s="13">
        <f>D63*(1+'Historical Var'!D57)</f>
        <v>903083.94135970308</v>
      </c>
      <c r="F62">
        <f t="shared" si="21"/>
        <v>287108.66804892552</v>
      </c>
      <c r="G62">
        <f t="shared" si="22"/>
        <v>408258.76484987402</v>
      </c>
      <c r="H62">
        <f t="shared" si="23"/>
        <v>700539.48554226675</v>
      </c>
      <c r="J62" s="13">
        <f t="shared" si="24"/>
        <v>1270.3923364997027</v>
      </c>
      <c r="K62" s="13">
        <f t="shared" si="25"/>
        <v>-9167.9161229445017</v>
      </c>
      <c r="L62" s="13">
        <f t="shared" si="26"/>
        <v>-6190.4214994902723</v>
      </c>
      <c r="N62" s="39">
        <v>51</v>
      </c>
      <c r="O62" s="32">
        <f t="shared" si="36"/>
        <v>-147371.59685185621</v>
      </c>
      <c r="P62">
        <f t="shared" si="36"/>
        <v>-217359.7920584672</v>
      </c>
      <c r="Q62">
        <f t="shared" si="36"/>
        <v>-341437.13349021343</v>
      </c>
      <c r="S62">
        <f t="shared" si="37"/>
        <v>-101267.2990990532</v>
      </c>
      <c r="T62">
        <f t="shared" si="37"/>
        <v>-140556.53891793077</v>
      </c>
      <c r="U62">
        <f t="shared" si="37"/>
        <v>-268604.18395758903</v>
      </c>
      <c r="W62">
        <f t="shared" si="38"/>
        <v>-70367.490192376441</v>
      </c>
      <c r="X62">
        <f t="shared" si="38"/>
        <v>-129300.01338986449</v>
      </c>
      <c r="Y62" s="33">
        <f t="shared" si="38"/>
        <v>-235224.09406824756</v>
      </c>
      <c r="AA62" s="32">
        <f t="shared" si="27"/>
        <v>-0.20852605130116389</v>
      </c>
      <c r="AB62">
        <f t="shared" si="28"/>
        <v>-0.30755708778236907</v>
      </c>
      <c r="AC62">
        <f t="shared" si="29"/>
        <v>-0.48312251977478526</v>
      </c>
      <c r="AE62">
        <f t="shared" si="30"/>
        <v>-0.35428180094724437</v>
      </c>
      <c r="AF62">
        <f t="shared" si="31"/>
        <v>-0.4917344906577204</v>
      </c>
      <c r="AG62">
        <f t="shared" si="32"/>
        <v>-0.93970684397713222</v>
      </c>
      <c r="AI62">
        <f t="shared" si="33"/>
        <v>-0.16857449080251424</v>
      </c>
      <c r="AJ62">
        <f t="shared" si="34"/>
        <v>-0.30975502832863738</v>
      </c>
      <c r="AK62" s="33">
        <f t="shared" si="35"/>
        <v>-0.56350996424103661</v>
      </c>
    </row>
    <row r="63" spans="2:37" x14ac:dyDescent="0.2">
      <c r="B63">
        <f>B64*(1+Foglio1!E60)</f>
        <v>390568.4941414725</v>
      </c>
      <c r="C63">
        <f>C64*(1+Foglio1!I60)</f>
        <v>521101.57367668115</v>
      </c>
      <c r="D63" s="13">
        <f>D64*(1+'Historical Var'!D58)</f>
        <v>911064.17710916989</v>
      </c>
      <c r="F63">
        <f t="shared" si="21"/>
        <v>278413.90491470048</v>
      </c>
      <c r="G63">
        <f t="shared" si="22"/>
        <v>399337.27785777842</v>
      </c>
      <c r="H63">
        <f t="shared" si="23"/>
        <v>682238.34184475429</v>
      </c>
      <c r="J63" s="13">
        <f t="shared" si="24"/>
        <v>-7424.3707977253362</v>
      </c>
      <c r="K63" s="13">
        <f t="shared" si="25"/>
        <v>-18089.403115040099</v>
      </c>
      <c r="L63" s="13">
        <f t="shared" si="26"/>
        <v>-24491.565197002725</v>
      </c>
      <c r="N63" s="39">
        <v>52</v>
      </c>
      <c r="O63" s="32">
        <f t="shared" si="36"/>
        <v>-148809.40257628367</v>
      </c>
      <c r="P63">
        <f t="shared" si="36"/>
        <v>-219480.42561308754</v>
      </c>
      <c r="Q63">
        <f t="shared" si="36"/>
        <v>-344768.30635901139</v>
      </c>
      <c r="S63">
        <f t="shared" si="37"/>
        <v>-102255.29614497171</v>
      </c>
      <c r="T63">
        <f t="shared" si="37"/>
        <v>-141927.85469776223</v>
      </c>
      <c r="U63">
        <f t="shared" si="37"/>
        <v>-271224.77463821805</v>
      </c>
      <c r="W63">
        <f t="shared" si="38"/>
        <v>-71054.018549084809</v>
      </c>
      <c r="X63">
        <f t="shared" si="38"/>
        <v>-130561.50680780836</v>
      </c>
      <c r="Y63" s="33">
        <f t="shared" si="38"/>
        <v>-237519.01762339211</v>
      </c>
      <c r="AA63" s="32">
        <f t="shared" si="27"/>
        <v>-0.21056049997823467</v>
      </c>
      <c r="AB63">
        <f t="shared" si="28"/>
        <v>-0.31055771579243435</v>
      </c>
      <c r="AC63">
        <f t="shared" si="29"/>
        <v>-0.48783602182925706</v>
      </c>
      <c r="AE63">
        <f t="shared" si="30"/>
        <v>-0.35773829061244411</v>
      </c>
      <c r="AF63">
        <f t="shared" si="31"/>
        <v>-0.49653201392997492</v>
      </c>
      <c r="AG63">
        <f t="shared" si="32"/>
        <v>-0.94887493272975787</v>
      </c>
      <c r="AI63">
        <f t="shared" si="33"/>
        <v>-0.17021915892748507</v>
      </c>
      <c r="AJ63">
        <f t="shared" si="34"/>
        <v>-0.31277710016890392</v>
      </c>
      <c r="AK63" s="33">
        <f t="shared" si="35"/>
        <v>-0.56900775261861758</v>
      </c>
    </row>
    <row r="64" spans="2:37" x14ac:dyDescent="0.2">
      <c r="B64">
        <f>B65*(1+Foglio1!E61)</f>
        <v>400983.6539852451</v>
      </c>
      <c r="C64">
        <f>C65*(1+Foglio1!I61)</f>
        <v>544706.72389127349</v>
      </c>
      <c r="D64" s="13">
        <f>D65*(1+'Historical Var'!D59)</f>
        <v>943770.32439486485</v>
      </c>
      <c r="F64">
        <f t="shared" si="21"/>
        <v>295816.20320136059</v>
      </c>
      <c r="G64">
        <f t="shared" si="22"/>
        <v>406418.94525913539</v>
      </c>
      <c r="H64">
        <f t="shared" si="23"/>
        <v>709746.63045556378</v>
      </c>
      <c r="J64" s="13">
        <f t="shared" si="24"/>
        <v>9977.9274889347726</v>
      </c>
      <c r="K64" s="13">
        <f t="shared" si="25"/>
        <v>-11007.735713683127</v>
      </c>
      <c r="L64" s="13">
        <f t="shared" si="26"/>
        <v>3016.7234138067579</v>
      </c>
      <c r="N64" s="39">
        <v>53</v>
      </c>
      <c r="O64" s="32">
        <f t="shared" si="36"/>
        <v>-150233.44844459536</v>
      </c>
      <c r="P64">
        <f t="shared" si="36"/>
        <v>-221580.76462297898</v>
      </c>
      <c r="Q64">
        <f t="shared" si="36"/>
        <v>-348067.599775257</v>
      </c>
      <c r="S64">
        <f t="shared" si="37"/>
        <v>-103233.83802113836</v>
      </c>
      <c r="T64">
        <f t="shared" si="37"/>
        <v>-143286.04693280652</v>
      </c>
      <c r="U64">
        <f t="shared" si="37"/>
        <v>-273820.28616518172</v>
      </c>
      <c r="W64">
        <f t="shared" si="38"/>
        <v>-71733.976802998892</v>
      </c>
      <c r="X64">
        <f t="shared" si="38"/>
        <v>-131810.92768519477</v>
      </c>
      <c r="Y64" s="33">
        <f t="shared" si="38"/>
        <v>-239791.97867179531</v>
      </c>
      <c r="AA64" s="32">
        <f t="shared" si="27"/>
        <v>-0.21257547890317147</v>
      </c>
      <c r="AB64">
        <f t="shared" si="28"/>
        <v>-0.31352962767696618</v>
      </c>
      <c r="AC64">
        <f t="shared" si="29"/>
        <v>-0.49250441548767154</v>
      </c>
      <c r="AE64">
        <f t="shared" si="30"/>
        <v>-0.36116170153852711</v>
      </c>
      <c r="AF64">
        <f t="shared" si="31"/>
        <v>-0.50128362471988441</v>
      </c>
      <c r="AG64">
        <f t="shared" si="32"/>
        <v>-0.95795528252019313</v>
      </c>
      <c r="AI64">
        <f t="shared" si="33"/>
        <v>-0.171848087515206</v>
      </c>
      <c r="AJ64">
        <f t="shared" si="34"/>
        <v>-0.31577025066535663</v>
      </c>
      <c r="AK64" s="33">
        <f t="shared" si="35"/>
        <v>-0.57445292694984629</v>
      </c>
    </row>
    <row r="65" spans="2:37" x14ac:dyDescent="0.2">
      <c r="B65">
        <f>B66*(1+Foglio1!E62)</f>
        <v>387458.41168812371</v>
      </c>
      <c r="C65">
        <f>C66*(1+Foglio1!I62)</f>
        <v>559459.94277539372</v>
      </c>
      <c r="D65" s="13">
        <f>D66*(1+'Historical Var'!D60)</f>
        <v>939758.90128598642</v>
      </c>
      <c r="F65">
        <f t="shared" si="21"/>
        <v>295206.40890523716</v>
      </c>
      <c r="G65">
        <f t="shared" si="22"/>
        <v>409443.28936305468</v>
      </c>
      <c r="H65">
        <f t="shared" si="23"/>
        <v>711552.98124931601</v>
      </c>
      <c r="J65" s="13">
        <f t="shared" si="24"/>
        <v>9368.1331928113359</v>
      </c>
      <c r="K65" s="13">
        <f t="shared" si="25"/>
        <v>-7983.391609763843</v>
      </c>
      <c r="L65" s="13">
        <f t="shared" si="26"/>
        <v>4823.0742075589951</v>
      </c>
      <c r="N65" s="39">
        <v>54</v>
      </c>
      <c r="O65" s="32">
        <f t="shared" si="36"/>
        <v>-151644.12210171329</v>
      </c>
      <c r="P65">
        <f t="shared" si="36"/>
        <v>-223661.38082938231</v>
      </c>
      <c r="Q65">
        <f t="shared" si="36"/>
        <v>-351335.91185211315</v>
      </c>
      <c r="S65">
        <f t="shared" si="37"/>
        <v>-104203.1911001453</v>
      </c>
      <c r="T65">
        <f t="shared" si="37"/>
        <v>-144631.48534171862</v>
      </c>
      <c r="U65">
        <f t="shared" si="37"/>
        <v>-276391.42507250817</v>
      </c>
      <c r="W65">
        <f t="shared" si="38"/>
        <v>-72407.550048131568</v>
      </c>
      <c r="X65">
        <f t="shared" si="38"/>
        <v>-133048.61613161524</v>
      </c>
      <c r="Y65" s="33">
        <f t="shared" si="38"/>
        <v>-242043.59594479715</v>
      </c>
      <c r="AA65" s="32">
        <f t="shared" si="27"/>
        <v>-0.21457153658102293</v>
      </c>
      <c r="AB65">
        <f t="shared" si="28"/>
        <v>-0.31647363243136012</v>
      </c>
      <c r="AC65">
        <f t="shared" si="29"/>
        <v>-0.49712897155115654</v>
      </c>
      <c r="AE65">
        <f t="shared" si="30"/>
        <v>-0.3645529656251541</v>
      </c>
      <c r="AF65">
        <f t="shared" si="31"/>
        <v>-0.50599061648142762</v>
      </c>
      <c r="AG65">
        <f t="shared" si="32"/>
        <v>-0.96695036514486299</v>
      </c>
      <c r="AI65">
        <f t="shared" si="33"/>
        <v>-0.1734617199825004</v>
      </c>
      <c r="AJ65">
        <f t="shared" si="34"/>
        <v>-0.31873529459483435</v>
      </c>
      <c r="AK65" s="33">
        <f t="shared" si="35"/>
        <v>-0.57984696948626113</v>
      </c>
    </row>
    <row r="66" spans="2:37" x14ac:dyDescent="0.2">
      <c r="B66">
        <f>B67*(1+Foglio1!E63)</f>
        <v>375162.73687255883</v>
      </c>
      <c r="C66">
        <f>C67*(1+Foglio1!I63)</f>
        <v>570368.38340486435</v>
      </c>
      <c r="D66" s="13">
        <f>D67*(1+'Historical Var'!D61)</f>
        <v>933388.99343996996</v>
      </c>
      <c r="F66">
        <f t="shared" si="21"/>
        <v>289805.14779522142</v>
      </c>
      <c r="G66">
        <f t="shared" si="22"/>
        <v>411810.20691704436</v>
      </c>
      <c r="H66">
        <f t="shared" si="23"/>
        <v>706879.39255531144</v>
      </c>
      <c r="J66" s="13">
        <f t="shared" si="24"/>
        <v>3966.8720827955985</v>
      </c>
      <c r="K66" s="13">
        <f t="shared" si="25"/>
        <v>-5616.4740557741607</v>
      </c>
      <c r="L66" s="13">
        <f t="shared" si="26"/>
        <v>149.48551355442032</v>
      </c>
      <c r="N66" s="39">
        <v>55</v>
      </c>
      <c r="O66" s="32">
        <f t="shared" si="36"/>
        <v>-153041.79332601849</v>
      </c>
      <c r="P66">
        <f t="shared" si="36"/>
        <v>-225722.8196220044</v>
      </c>
      <c r="Q66">
        <f t="shared" si="36"/>
        <v>-354574.09930873848</v>
      </c>
      <c r="S66">
        <f t="shared" si="37"/>
        <v>-105163.60947748116</v>
      </c>
      <c r="T66">
        <f t="shared" si="37"/>
        <v>-145964.52260283352</v>
      </c>
      <c r="U66">
        <f t="shared" si="37"/>
        <v>-278938.86533009651</v>
      </c>
      <c r="W66">
        <f t="shared" si="38"/>
        <v>-73074.914847519132</v>
      </c>
      <c r="X66">
        <f t="shared" si="38"/>
        <v>-134274.89658102204</v>
      </c>
      <c r="Y66" s="33">
        <f t="shared" si="38"/>
        <v>-244274.45965643178</v>
      </c>
      <c r="AA66" s="32">
        <f t="shared" si="27"/>
        <v>-0.21654919623625896</v>
      </c>
      <c r="AB66">
        <f t="shared" si="28"/>
        <v>-0.31939050176444228</v>
      </c>
      <c r="AC66">
        <f t="shared" si="29"/>
        <v>-0.50171090224966031</v>
      </c>
      <c r="AE66">
        <f t="shared" si="30"/>
        <v>-0.36791297182076288</v>
      </c>
      <c r="AF66">
        <f t="shared" si="31"/>
        <v>-0.51065422305333419</v>
      </c>
      <c r="AG66">
        <f t="shared" si="32"/>
        <v>-0.9758625384751809</v>
      </c>
      <c r="AI66">
        <f t="shared" si="33"/>
        <v>-0.17506047930912574</v>
      </c>
      <c r="AJ66">
        <f t="shared" si="34"/>
        <v>-0.3216730091811395</v>
      </c>
      <c r="AK66" s="33">
        <f t="shared" si="35"/>
        <v>-0.58519129416247861</v>
      </c>
    </row>
    <row r="67" spans="2:37" x14ac:dyDescent="0.2">
      <c r="B67">
        <f>B68*(1+Foglio1!E64)</f>
        <v>370027.48444958759</v>
      </c>
      <c r="C67">
        <f>C68*(1+Foglio1!I64)</f>
        <v>578147.35336194595</v>
      </c>
      <c r="D67" s="13">
        <f>D68*(1+'Historical Var'!D62)</f>
        <v>933191.60738727148</v>
      </c>
      <c r="F67">
        <f t="shared" si="21"/>
        <v>283840.95856847253</v>
      </c>
      <c r="G67">
        <f t="shared" si="22"/>
        <v>416332.08686877129</v>
      </c>
      <c r="H67">
        <f t="shared" si="23"/>
        <v>703334.13329266652</v>
      </c>
      <c r="J67" s="13">
        <f t="shared" si="24"/>
        <v>-1997.3171439532889</v>
      </c>
      <c r="K67" s="13">
        <f t="shared" si="25"/>
        <v>-1094.5941040472244</v>
      </c>
      <c r="L67" s="13">
        <f t="shared" si="26"/>
        <v>-3395.7737490904983</v>
      </c>
      <c r="N67" s="39">
        <v>56</v>
      </c>
      <c r="O67" s="32">
        <f t="shared" si="36"/>
        <v>-154426.81516138377</v>
      </c>
      <c r="P67">
        <f t="shared" si="36"/>
        <v>-227765.6017086643</v>
      </c>
      <c r="Q67">
        <f t="shared" si="36"/>
        <v>-357782.98009303136</v>
      </c>
      <c r="S67">
        <f t="shared" si="37"/>
        <v>-106115.33574941434</v>
      </c>
      <c r="T67">
        <f t="shared" si="37"/>
        <v>-147285.49543384922</v>
      </c>
      <c r="U67">
        <f t="shared" si="37"/>
        <v>-281463.25040699641</v>
      </c>
      <c r="W67">
        <f t="shared" si="38"/>
        <v>-73736.239773748064</v>
      </c>
      <c r="X67">
        <f t="shared" si="38"/>
        <v>-135490.07878494431</v>
      </c>
      <c r="Y67" s="33">
        <f t="shared" si="38"/>
        <v>-246485.13331029762</v>
      </c>
      <c r="AA67" s="32">
        <f t="shared" si="27"/>
        <v>-0.21850895741456075</v>
      </c>
      <c r="AB67">
        <f t="shared" si="28"/>
        <v>-0.32228097246096421</v>
      </c>
      <c r="AC67">
        <f t="shared" si="29"/>
        <v>-0.50625136495304957</v>
      </c>
      <c r="AE67">
        <f t="shared" si="30"/>
        <v>-0.37124256884397849</v>
      </c>
      <c r="AF67">
        <f t="shared" si="31"/>
        <v>-0.51527562243633596</v>
      </c>
      <c r="AG67">
        <f t="shared" si="32"/>
        <v>-0.98469405367589391</v>
      </c>
      <c r="AI67">
        <f t="shared" si="33"/>
        <v>-0.176644769332676</v>
      </c>
      <c r="AJ67">
        <f t="shared" si="34"/>
        <v>-0.32458413647441714</v>
      </c>
      <c r="AK67" s="33">
        <f t="shared" si="35"/>
        <v>-0.59048725092478682</v>
      </c>
    </row>
    <row r="68" spans="2:37" x14ac:dyDescent="0.2">
      <c r="B68">
        <f>B69*(1+Foglio1!E65)</f>
        <v>372631.27441053075</v>
      </c>
      <c r="C68">
        <f>C69*(1+Foglio1!I65)</f>
        <v>579667.38197424926</v>
      </c>
      <c r="D68" s="13">
        <f>D69*(1+'Historical Var'!D63)</f>
        <v>937697.15803984972</v>
      </c>
      <c r="F68">
        <f t="shared" si="21"/>
        <v>285727.35670749279</v>
      </c>
      <c r="G68">
        <f t="shared" si="22"/>
        <v>414994.19916374516</v>
      </c>
      <c r="H68">
        <f t="shared" si="23"/>
        <v>704533.61126778042</v>
      </c>
      <c r="J68" s="13">
        <f t="shared" si="24"/>
        <v>-110.91900493303547</v>
      </c>
      <c r="K68" s="13">
        <f t="shared" si="25"/>
        <v>-2432.4818090733606</v>
      </c>
      <c r="L68" s="13">
        <f t="shared" si="26"/>
        <v>-2196.2957739765989</v>
      </c>
      <c r="N68" s="39">
        <v>57</v>
      </c>
      <c r="O68" s="32">
        <f t="shared" si="36"/>
        <v>-155799.52495862311</v>
      </c>
      <c r="P68">
        <f t="shared" si="36"/>
        <v>-229790.22465133687</v>
      </c>
      <c r="Q68">
        <f t="shared" si="36"/>
        <v>-360963.33579450671</v>
      </c>
      <c r="S68">
        <f t="shared" si="37"/>
        <v>-107058.60172863131</v>
      </c>
      <c r="T68">
        <f t="shared" si="37"/>
        <v>-148594.72558511543</v>
      </c>
      <c r="U68">
        <f t="shared" si="37"/>
        <v>-283965.19516958663</v>
      </c>
      <c r="W68">
        <f t="shared" si="38"/>
        <v>-74391.685906229861</v>
      </c>
      <c r="X68">
        <f t="shared" si="38"/>
        <v>-136694.45872622883</v>
      </c>
      <c r="Y68" s="33">
        <f t="shared" si="38"/>
        <v>-248676.15536184542</v>
      </c>
      <c r="AA68" s="32">
        <f t="shared" si="27"/>
        <v>-0.22045129745643793</v>
      </c>
      <c r="AB68">
        <f t="shared" si="28"/>
        <v>-0.32514574855505551</v>
      </c>
      <c r="AC68">
        <f t="shared" si="29"/>
        <v>-0.51075146558525253</v>
      </c>
      <c r="AE68">
        <f t="shared" si="30"/>
        <v>-0.37454256768726135</v>
      </c>
      <c r="AF68">
        <f t="shared" si="31"/>
        <v>-0.51985594026816961</v>
      </c>
      <c r="AG68">
        <f t="shared" si="32"/>
        <v>-0.99344706184582621</v>
      </c>
      <c r="AI68">
        <f t="shared" si="33"/>
        <v>-0.17821497593986813</v>
      </c>
      <c r="AJ68">
        <f t="shared" si="34"/>
        <v>-0.32746938554013977</v>
      </c>
      <c r="AK68" s="33">
        <f t="shared" si="35"/>
        <v>-0.59573612971337209</v>
      </c>
    </row>
    <row r="69" spans="2:37" x14ac:dyDescent="0.2">
      <c r="B69">
        <f>B70*(1+Foglio1!E66)</f>
        <v>372775.92940836091</v>
      </c>
      <c r="C69">
        <f>C70*(1+Foglio1!I66)</f>
        <v>583065.09298998606</v>
      </c>
      <c r="D69" s="13">
        <f>D70*(1+'Historical Var'!D64)</f>
        <v>940620.31212722801</v>
      </c>
      <c r="F69">
        <f t="shared" si="21"/>
        <v>280879.02250178123</v>
      </c>
      <c r="G69">
        <f t="shared" si="22"/>
        <v>429005.4194836485</v>
      </c>
      <c r="H69">
        <f t="shared" si="23"/>
        <v>710400.84581134596</v>
      </c>
      <c r="J69" s="13">
        <f t="shared" si="24"/>
        <v>-4959.2532106445869</v>
      </c>
      <c r="K69" s="13">
        <f t="shared" si="25"/>
        <v>11578.738510829979</v>
      </c>
      <c r="L69" s="13">
        <f t="shared" si="26"/>
        <v>3670.9387695889454</v>
      </c>
      <c r="N69" s="39">
        <v>58</v>
      </c>
      <c r="O69" s="32">
        <f t="shared" si="36"/>
        <v>-157160.24533506259</v>
      </c>
      <c r="P69">
        <f t="shared" si="36"/>
        <v>-231797.16428143342</v>
      </c>
      <c r="Q69">
        <f t="shared" si="36"/>
        <v>-364115.91386747314</v>
      </c>
      <c r="S69">
        <f t="shared" si="37"/>
        <v>-107993.62910361179</v>
      </c>
      <c r="T69">
        <f t="shared" si="37"/>
        <v>-149892.52075482981</v>
      </c>
      <c r="U69">
        <f t="shared" si="37"/>
        <v>-286445.28763051989</v>
      </c>
      <c r="W69">
        <f t="shared" si="38"/>
        <v>-75041.407289380266</v>
      </c>
      <c r="X69">
        <f t="shared" si="38"/>
        <v>-137888.3194609425</v>
      </c>
      <c r="Y69" s="33">
        <f t="shared" si="38"/>
        <v>-250848.04074997711</v>
      </c>
      <c r="AA69" s="32">
        <f t="shared" si="27"/>
        <v>-0.22237667285499041</v>
      </c>
      <c r="AB69">
        <f t="shared" si="28"/>
        <v>-0.32798550333279969</v>
      </c>
      <c r="AC69">
        <f t="shared" si="29"/>
        <v>-0.51521226176998258</v>
      </c>
      <c r="AE69">
        <f t="shared" si="30"/>
        <v>-0.37781374392371886</v>
      </c>
      <c r="AF69">
        <f t="shared" si="31"/>
        <v>-0.52439625302537374</v>
      </c>
      <c r="AG69">
        <f t="shared" si="32"/>
        <v>-1.0021236201365304</v>
      </c>
      <c r="AI69">
        <f t="shared" si="33"/>
        <v>-0.17977146816417017</v>
      </c>
      <c r="AJ69">
        <f t="shared" si="34"/>
        <v>-0.33032943447599444</v>
      </c>
      <c r="AK69" s="33">
        <f t="shared" si="35"/>
        <v>-0.60093916413146464</v>
      </c>
    </row>
    <row r="70" spans="2:37" x14ac:dyDescent="0.2">
      <c r="B70">
        <f>B71*(1+Foglio1!E67)</f>
        <v>379357.7318096339</v>
      </c>
      <c r="C70">
        <f>C71*(1+Foglio1!I67)</f>
        <v>567328.32618025783</v>
      </c>
      <c r="D70" s="13">
        <f>D71*(1+'Historical Var'!D65)</f>
        <v>935759.73293224245</v>
      </c>
      <c r="F70">
        <f t="shared" si="21"/>
        <v>280438.03892848361</v>
      </c>
      <c r="G70">
        <f t="shared" si="22"/>
        <v>420875.94005601999</v>
      </c>
      <c r="H70">
        <f t="shared" si="23"/>
        <v>702973.82116863539</v>
      </c>
      <c r="J70" s="13">
        <f t="shared" si="24"/>
        <v>-5400.2367839422077</v>
      </c>
      <c r="K70" s="13">
        <f t="shared" si="25"/>
        <v>3449.2590832014685</v>
      </c>
      <c r="L70" s="13">
        <f t="shared" si="26"/>
        <v>-3756.0858731216285</v>
      </c>
      <c r="N70" s="39">
        <v>59</v>
      </c>
      <c r="O70" s="32">
        <f t="shared" si="36"/>
        <v>-158509.28505996577</v>
      </c>
      <c r="P70">
        <f t="shared" si="36"/>
        <v>-233786.87600572404</v>
      </c>
      <c r="Q70">
        <f t="shared" si="36"/>
        <v>-367241.42968242627</v>
      </c>
      <c r="S70">
        <f t="shared" si="37"/>
        <v>-108920.63004705413</v>
      </c>
      <c r="T70">
        <f t="shared" si="37"/>
        <v>-151179.17543351799</v>
      </c>
      <c r="U70">
        <f t="shared" si="37"/>
        <v>-288904.09056252753</v>
      </c>
      <c r="W70">
        <f t="shared" si="38"/>
        <v>-75685.551355395088</v>
      </c>
      <c r="X70">
        <f t="shared" si="38"/>
        <v>-139071.93189522173</v>
      </c>
      <c r="Y70" s="33">
        <f t="shared" si="38"/>
        <v>-253001.28231029905</v>
      </c>
      <c r="AA70" s="32">
        <f t="shared" si="27"/>
        <v>-0.22428552050875677</v>
      </c>
      <c r="AB70">
        <f t="shared" si="28"/>
        <v>-0.33080088118007261</v>
      </c>
      <c r="AC70">
        <f t="shared" si="29"/>
        <v>-0.5196347657333934</v>
      </c>
      <c r="AE70">
        <f t="shared" si="30"/>
        <v>-0.38105683983567074</v>
      </c>
      <c r="AF70">
        <f t="shared" si="31"/>
        <v>-0.52889759097768729</v>
      </c>
      <c r="AG70">
        <f t="shared" si="32"/>
        <v>-1.0107256973981544</v>
      </c>
      <c r="AI70">
        <f t="shared" si="33"/>
        <v>-0.18131459919861589</v>
      </c>
      <c r="AJ70">
        <f t="shared" si="34"/>
        <v>-0.33316493227292687</v>
      </c>
      <c r="AK70" s="33">
        <f t="shared" si="35"/>
        <v>-0.60609753483096995</v>
      </c>
    </row>
    <row r="71" spans="2:37" x14ac:dyDescent="0.2">
      <c r="B71">
        <f>B72*(1+Foglio1!E68)</f>
        <v>386662.8092000577</v>
      </c>
      <c r="C71">
        <f>C72*(1+Foglio1!I68)</f>
        <v>562678.82689556538</v>
      </c>
      <c r="D71" s="13">
        <f>D72*(1+'Historical Var'!D66)</f>
        <v>940759.62596902694</v>
      </c>
      <c r="F71">
        <f t="shared" si="21"/>
        <v>299978.6851116271</v>
      </c>
      <c r="G71">
        <f t="shared" si="22"/>
        <v>407645.26743667701</v>
      </c>
      <c r="H71">
        <f t="shared" si="23"/>
        <v>715930.58134147641</v>
      </c>
      <c r="J71" s="13">
        <f t="shared" si="24"/>
        <v>14140.409399201279</v>
      </c>
      <c r="K71" s="13">
        <f t="shared" si="25"/>
        <v>-9781.4135361415101</v>
      </c>
      <c r="L71" s="13">
        <f t="shared" si="26"/>
        <v>9200.6742997193942</v>
      </c>
      <c r="N71" s="39">
        <v>60</v>
      </c>
      <c r="O71" s="32">
        <f t="shared" si="36"/>
        <v>-159846.93987269799</v>
      </c>
      <c r="P71">
        <f t="shared" si="36"/>
        <v>-235759.79601305595</v>
      </c>
      <c r="Q71">
        <f t="shared" si="36"/>
        <v>-370340.56842160813</v>
      </c>
      <c r="S71">
        <f t="shared" si="37"/>
        <v>-109839.80777808199</v>
      </c>
      <c r="T71">
        <f t="shared" si="37"/>
        <v>-152454.97168436242</v>
      </c>
      <c r="U71">
        <f t="shared" si="37"/>
        <v>-291342.14298963168</v>
      </c>
      <c r="W71">
        <f t="shared" si="38"/>
        <v>-76324.259314910101</v>
      </c>
      <c r="X71">
        <f t="shared" si="38"/>
        <v>-140245.55550310836</v>
      </c>
      <c r="Y71" s="33">
        <f t="shared" si="38"/>
        <v>-255136.35208101792</v>
      </c>
      <c r="AA71" s="32">
        <f t="shared" si="27"/>
        <v>-0.22617825887939033</v>
      </c>
      <c r="AB71">
        <f t="shared" si="28"/>
        <v>-0.33359249929000973</v>
      </c>
      <c r="AC71">
        <f t="shared" si="29"/>
        <v>-0.52401994698623477</v>
      </c>
      <c r="AE71">
        <f t="shared" si="30"/>
        <v>-0.38427256638151869</v>
      </c>
      <c r="AF71">
        <f t="shared" si="31"/>
        <v>-0.533360940918015</v>
      </c>
      <c r="AG71">
        <f t="shared" si="32"/>
        <v>-1.0192551793964191</v>
      </c>
      <c r="AI71">
        <f t="shared" si="33"/>
        <v>-0.18284470733168129</v>
      </c>
      <c r="AJ71">
        <f t="shared" si="34"/>
        <v>-0.3359765005348106</v>
      </c>
      <c r="AK71" s="33">
        <f t="shared" si="35"/>
        <v>-0.6112123726409131</v>
      </c>
    </row>
    <row r="72" spans="2:37" x14ac:dyDescent="0.2">
      <c r="B72">
        <f>B73*(1+Foglio1!E69)</f>
        <v>368436.27947345562</v>
      </c>
      <c r="C72">
        <f>C73*(1+Foglio1!I69)</f>
        <v>576180.25751072995</v>
      </c>
      <c r="D72" s="13">
        <f>D73*(1+'Historical Var'!D67)</f>
        <v>928669.59498215618</v>
      </c>
      <c r="F72">
        <f t="shared" ref="F72:F103" si="39">$B$8*B72/B73</f>
        <v>293264.8895224767</v>
      </c>
      <c r="G72">
        <f t="shared" ref="G72:G103" si="40">$C$8*C72/C73</f>
        <v>418465.7019584385</v>
      </c>
      <c r="H72">
        <f t="shared" ref="H72:H103" si="41">$D$8*D72/D73</f>
        <v>716790.55471632071</v>
      </c>
      <c r="J72" s="13">
        <f t="shared" si="24"/>
        <v>7426.6138100508833</v>
      </c>
      <c r="K72" s="13">
        <f t="shared" si="25"/>
        <v>1039.0209856199799</v>
      </c>
      <c r="L72" s="13">
        <f t="shared" si="26"/>
        <v>10060.64767456369</v>
      </c>
      <c r="N72" s="39">
        <v>61</v>
      </c>
      <c r="O72" s="32">
        <f t="shared" si="36"/>
        <v>-161173.4932397705</v>
      </c>
      <c r="P72">
        <f t="shared" si="36"/>
        <v>-237716.34239092548</v>
      </c>
      <c r="Q72">
        <f t="shared" si="36"/>
        <v>-373413.98683296144</v>
      </c>
      <c r="S72">
        <f t="shared" si="37"/>
        <v>-110751.35708245188</v>
      </c>
      <c r="T72">
        <f t="shared" si="37"/>
        <v>-153720.17986523782</v>
      </c>
      <c r="U72">
        <f t="shared" si="37"/>
        <v>-293759.96156695829</v>
      </c>
      <c r="W72">
        <f t="shared" si="38"/>
        <v>-76957.666518477126</v>
      </c>
      <c r="X72">
        <f t="shared" si="38"/>
        <v>-141409.43899076083</v>
      </c>
      <c r="Y72" s="33">
        <f t="shared" si="38"/>
        <v>-257253.70251128092</v>
      </c>
      <c r="AA72" s="32">
        <f t="shared" si="27"/>
        <v>-0.22805528906285211</v>
      </c>
      <c r="AB72">
        <f t="shared" si="28"/>
        <v>-0.33636094924291926</v>
      </c>
      <c r="AC72">
        <f t="shared" si="29"/>
        <v>-0.52836873480564106</v>
      </c>
      <c r="AE72">
        <f t="shared" si="30"/>
        <v>-0.38746160501568316</v>
      </c>
      <c r="AF72">
        <f t="shared" si="31"/>
        <v>-0.53778724868845607</v>
      </c>
      <c r="AG72">
        <f t="shared" si="32"/>
        <v>-1.0277138736398699</v>
      </c>
      <c r="AI72">
        <f t="shared" si="33"/>
        <v>-0.18436211681324788</v>
      </c>
      <c r="AJ72">
        <f t="shared" si="34"/>
        <v>-0.33876473506965155</v>
      </c>
      <c r="AK72" s="33">
        <f t="shared" si="35"/>
        <v>-0.61628476146217503</v>
      </c>
    </row>
    <row r="73" spans="2:37" x14ac:dyDescent="0.2">
      <c r="B73">
        <f>B74*(1+Foglio1!E70)</f>
        <v>359106.03211340937</v>
      </c>
      <c r="C73">
        <f>C74*(1+Foglio1!I70)</f>
        <v>574749.64234620915</v>
      </c>
      <c r="D73" s="13">
        <f>D74*(1+'Historical Var'!D68)</f>
        <v>915635.07947449456</v>
      </c>
      <c r="F73">
        <f t="shared" si="39"/>
        <v>284805.74732333818</v>
      </c>
      <c r="G73">
        <f t="shared" si="40"/>
        <v>418077.08091200958</v>
      </c>
      <c r="H73">
        <f t="shared" si="41"/>
        <v>706004.03748799791</v>
      </c>
      <c r="J73" s="13">
        <f t="shared" ref="J73:J104" si="42">F73-$B$8</f>
        <v>-1032.5283890876453</v>
      </c>
      <c r="K73" s="13">
        <f t="shared" ref="K73:K104" si="43">G73-$C$8</f>
        <v>650.399939191062</v>
      </c>
      <c r="L73" s="13">
        <f t="shared" ref="L73:L104" si="44">H73-$D$8</f>
        <v>-725.86955375911202</v>
      </c>
      <c r="N73" s="39">
        <v>62</v>
      </c>
      <c r="O73" s="32">
        <f t="shared" ref="O73:Q92" si="45">O$12*SQRT($N73)</f>
        <v>-162489.21705625512</v>
      </c>
      <c r="P73">
        <f t="shared" si="45"/>
        <v>-239656.91616000087</v>
      </c>
      <c r="Q73">
        <f t="shared" si="45"/>
        <v>-376462.31485519826</v>
      </c>
      <c r="S73">
        <f t="shared" ref="S73:U92" si="46">S$12*SQRT($N73)</f>
        <v>-111655.46479453451</v>
      </c>
      <c r="T73">
        <f t="shared" si="46"/>
        <v>-154975.05929768959</v>
      </c>
      <c r="U73">
        <f t="shared" si="46"/>
        <v>-296158.04185915785</v>
      </c>
      <c r="W73">
        <f t="shared" ref="W73:Y92" si="47">W$12*SQRT($N73)</f>
        <v>-77585.902791477711</v>
      </c>
      <c r="X73">
        <f t="shared" si="47"/>
        <v>-142563.82091185675</v>
      </c>
      <c r="Y73" s="33">
        <f t="shared" si="47"/>
        <v>-259353.76758072383</v>
      </c>
      <c r="AA73" s="32">
        <f t="shared" si="27"/>
        <v>-0.22991699578188993</v>
      </c>
      <c r="AB73">
        <f t="shared" si="28"/>
        <v>-0.33910679847009895</v>
      </c>
      <c r="AC73">
        <f t="shared" si="29"/>
        <v>-0.5326820205345506</v>
      </c>
      <c r="AE73">
        <f t="shared" si="30"/>
        <v>-0.39062460937480625</v>
      </c>
      <c r="AF73">
        <f t="shared" si="31"/>
        <v>-0.54217742152071269</v>
      </c>
      <c r="AG73">
        <f t="shared" si="32"/>
        <v>-1.0361035138524082</v>
      </c>
      <c r="AI73">
        <f t="shared" si="33"/>
        <v>-0.18586713865693183</v>
      </c>
      <c r="AJ73">
        <f t="shared" si="34"/>
        <v>-0.3415302073638653</v>
      </c>
      <c r="AK73" s="33">
        <f t="shared" si="35"/>
        <v>-0.62131574094951569</v>
      </c>
    </row>
    <row r="74" spans="2:37" x14ac:dyDescent="0.2">
      <c r="B74">
        <f>B75*(1+Foglio1!E71)</f>
        <v>360407.92709388095</v>
      </c>
      <c r="C74">
        <f>C75*(1+Foglio1!I71)</f>
        <v>573855.50786838366</v>
      </c>
      <c r="D74" s="13">
        <f>D75*(1+'Historical Var'!D69)</f>
        <v>916576.47866097686</v>
      </c>
      <c r="F74">
        <f t="shared" si="39"/>
        <v>288443.12026630575</v>
      </c>
      <c r="G74">
        <f t="shared" si="40"/>
        <v>415355.72689667426</v>
      </c>
      <c r="H74">
        <f t="shared" si="41"/>
        <v>708196.99384097825</v>
      </c>
      <c r="J74" s="13">
        <f t="shared" si="42"/>
        <v>2604.8445538799278</v>
      </c>
      <c r="K74" s="13">
        <f t="shared" si="43"/>
        <v>-2070.9540761442622</v>
      </c>
      <c r="L74" s="13">
        <f t="shared" si="44"/>
        <v>1467.0867992212297</v>
      </c>
      <c r="N74" s="39">
        <v>63</v>
      </c>
      <c r="O74" s="32">
        <f t="shared" si="45"/>
        <v>-163794.37229648404</v>
      </c>
      <c r="P74">
        <f t="shared" si="45"/>
        <v>-241581.90223384625</v>
      </c>
      <c r="Q74">
        <f t="shared" si="45"/>
        <v>-379486.15712537104</v>
      </c>
      <c r="S74">
        <f t="shared" si="46"/>
        <v>-112552.31024444723</v>
      </c>
      <c r="T74">
        <f t="shared" si="46"/>
        <v>-156219.85888754262</v>
      </c>
      <c r="U74">
        <f t="shared" si="46"/>
        <v>-298536.85952639172</v>
      </c>
      <c r="W74">
        <f t="shared" si="47"/>
        <v>-78209.092744821712</v>
      </c>
      <c r="X74">
        <f t="shared" si="47"/>
        <v>-143708.93023850056</v>
      </c>
      <c r="Y74" s="33">
        <f t="shared" si="47"/>
        <v>-261436.96383807244</v>
      </c>
      <c r="AA74" s="32">
        <f t="shared" si="27"/>
        <v>-0.23176374830675769</v>
      </c>
      <c r="AB74">
        <f t="shared" si="28"/>
        <v>-0.34183059161181417</v>
      </c>
      <c r="AC74">
        <f t="shared" si="29"/>
        <v>-0.53696065971487061</v>
      </c>
      <c r="AE74">
        <f t="shared" si="30"/>
        <v>-0.39376220684203633</v>
      </c>
      <c r="AF74">
        <f t="shared" si="31"/>
        <v>-0.54653233020727854</v>
      </c>
      <c r="AG74">
        <f t="shared" si="32"/>
        <v>-1.0444257641224424</v>
      </c>
      <c r="AI74">
        <f t="shared" si="33"/>
        <v>-0.18736007138440303</v>
      </c>
      <c r="AJ74">
        <f t="shared" si="34"/>
        <v>-0.34427346594996028</v>
      </c>
      <c r="AK74" s="33">
        <f t="shared" si="35"/>
        <v>-0.62630630899967887</v>
      </c>
    </row>
    <row r="75" spans="2:37" x14ac:dyDescent="0.2">
      <c r="B75">
        <f>B76*(1+Foglio1!E72)</f>
        <v>357153.18964270205</v>
      </c>
      <c r="C75">
        <f>C76*(1+Foglio1!I72)</f>
        <v>576716.73819742515</v>
      </c>
      <c r="D75" s="13">
        <f>D76*(1+'Historical Var'!D70)</f>
        <v>914677.71706778358</v>
      </c>
      <c r="F75">
        <f t="shared" si="39"/>
        <v>284513.08314210013</v>
      </c>
      <c r="G75">
        <f t="shared" si="40"/>
        <v>421148.45804390422</v>
      </c>
      <c r="H75">
        <f t="shared" si="41"/>
        <v>708242.25243833801</v>
      </c>
      <c r="J75" s="13">
        <f t="shared" si="42"/>
        <v>-1325.1925703256857</v>
      </c>
      <c r="K75" s="13">
        <f t="shared" si="43"/>
        <v>3721.7770710857003</v>
      </c>
      <c r="L75" s="13">
        <f t="shared" si="44"/>
        <v>1512.3453965809895</v>
      </c>
      <c r="N75" s="39">
        <v>64</v>
      </c>
      <c r="O75" s="32">
        <f t="shared" si="45"/>
        <v>-165089.20961844735</v>
      </c>
      <c r="P75">
        <f t="shared" si="45"/>
        <v>-243491.67031035293</v>
      </c>
      <c r="Q75">
        <f t="shared" si="45"/>
        <v>-382486.09437916707</v>
      </c>
      <c r="S75">
        <f t="shared" si="46"/>
        <v>-113442.06567336945</v>
      </c>
      <c r="T75">
        <f t="shared" si="46"/>
        <v>-157454.81770134903</v>
      </c>
      <c r="U75">
        <f t="shared" si="46"/>
        <v>-300896.87142592622</v>
      </c>
      <c r="W75">
        <f t="shared" si="47"/>
        <v>-78827.356063536834</v>
      </c>
      <c r="X75">
        <f t="shared" si="47"/>
        <v>-144844.98689150577</v>
      </c>
      <c r="Y75" s="33">
        <f t="shared" si="47"/>
        <v>-263503.69136583852</v>
      </c>
      <c r="AA75" s="32">
        <f t="shared" si="27"/>
        <v>-0.23359590131041827</v>
      </c>
      <c r="AB75">
        <f t="shared" si="28"/>
        <v>-0.34453285177864457</v>
      </c>
      <c r="AC75">
        <f t="shared" si="29"/>
        <v>-0.54120547406884811</v>
      </c>
      <c r="AE75">
        <f t="shared" si="30"/>
        <v>-0.39687500000000159</v>
      </c>
      <c r="AF75">
        <f t="shared" si="31"/>
        <v>-0.55085281111813056</v>
      </c>
      <c r="AG75">
        <f t="shared" si="32"/>
        <v>-1.0526822227567958</v>
      </c>
      <c r="AI75">
        <f t="shared" si="33"/>
        <v>-0.1888412017167389</v>
      </c>
      <c r="AJ75">
        <f t="shared" si="34"/>
        <v>-0.34699503767689832</v>
      </c>
      <c r="AK75" s="33">
        <f t="shared" si="35"/>
        <v>-0.63125742406244756</v>
      </c>
    </row>
    <row r="76" spans="2:37" x14ac:dyDescent="0.2">
      <c r="B76">
        <f>B77*(1+Foglio1!E73)</f>
        <v>358816.72211774904</v>
      </c>
      <c r="C76">
        <f>C77*(1+Foglio1!I73)</f>
        <v>571620.17167382</v>
      </c>
      <c r="D76" s="13">
        <f>D77*(1+'Historical Var'!D71)</f>
        <v>912724.55961353646</v>
      </c>
      <c r="F76">
        <f t="shared" si="39"/>
        <v>286705.15281224105</v>
      </c>
      <c r="G76">
        <f t="shared" si="40"/>
        <v>421448.0056000044</v>
      </c>
      <c r="H76">
        <f t="shared" si="41"/>
        <v>711205.75504262943</v>
      </c>
      <c r="J76" s="13">
        <f t="shared" si="42"/>
        <v>866.87709981523221</v>
      </c>
      <c r="K76" s="13">
        <f t="shared" si="43"/>
        <v>4021.3246271858807</v>
      </c>
      <c r="L76" s="13">
        <f t="shared" si="44"/>
        <v>4475.8480008724146</v>
      </c>
      <c r="N76" s="39">
        <v>65</v>
      </c>
      <c r="O76" s="32">
        <f t="shared" si="45"/>
        <v>-166373.9699258513</v>
      </c>
      <c r="P76">
        <f t="shared" si="45"/>
        <v>-245386.57570072485</v>
      </c>
      <c r="Q76">
        <f t="shared" si="45"/>
        <v>-385462.68475311121</v>
      </c>
      <c r="S76">
        <f t="shared" si="46"/>
        <v>-114324.89661976446</v>
      </c>
      <c r="T76">
        <f t="shared" si="46"/>
        <v>-158680.16550245459</v>
      </c>
      <c r="U76">
        <f t="shared" si="46"/>
        <v>-303238.51663655823</v>
      </c>
      <c r="W76">
        <f t="shared" si="47"/>
        <v>-79440.807775142312</v>
      </c>
      <c r="X76">
        <f t="shared" si="47"/>
        <v>-145972.20223353052</v>
      </c>
      <c r="Y76" s="33">
        <f t="shared" si="47"/>
        <v>-265554.33467743761</v>
      </c>
      <c r="AA76" s="32">
        <f t="shared" ref="AA76:AA111" si="48">O76/$D$8</f>
        <v>-0.23541379566383785</v>
      </c>
      <c r="AB76">
        <f t="shared" ref="AB76:AB111" si="49">P76/$D$8</f>
        <v>-0.3472140817244716</v>
      </c>
      <c r="AC76">
        <f t="shared" ref="AC76:AC111" si="50">Q76/$D$8</f>
        <v>-0.54541725334164504</v>
      </c>
      <c r="AE76">
        <f t="shared" ref="AE76:AE111" si="51">S76/$B$8</f>
        <v>-0.39996356798199995</v>
      </c>
      <c r="AF76">
        <f t="shared" ref="AF76:AF111" si="52">T76/$B$8</f>
        <v>-0.55513966807614812</v>
      </c>
      <c r="AG76">
        <f t="shared" ref="AG76:AG111" si="53">U76/$B$8</f>
        <v>-1.0608744258646394</v>
      </c>
      <c r="AI76">
        <f t="shared" ref="AI76:AI111" si="54">W76/$C$8</f>
        <v>-0.19031080521734844</v>
      </c>
      <c r="AJ76">
        <f t="shared" ref="AJ76:AJ111" si="55">X76/$C$8</f>
        <v>-0.34969542889146504</v>
      </c>
      <c r="AK76" s="33">
        <f t="shared" ref="AK76:AK111" si="56">Y76/$C$8</f>
        <v>-0.63617000728980633</v>
      </c>
    </row>
    <row r="77" spans="2:37" x14ac:dyDescent="0.2">
      <c r="B77">
        <f>B78*(1+Foglio1!E74)</f>
        <v>357731.80963402276</v>
      </c>
      <c r="C77">
        <f>C78*(1+Foglio1!I74)</f>
        <v>566165.95135908481</v>
      </c>
      <c r="D77" s="13">
        <f>D78*(1+'Historical Var'!D72)</f>
        <v>906980.48855318828</v>
      </c>
      <c r="F77">
        <f t="shared" si="39"/>
        <v>284744.43336830981</v>
      </c>
      <c r="G77">
        <f t="shared" si="40"/>
        <v>418153.0998133028</v>
      </c>
      <c r="H77">
        <f t="shared" si="41"/>
        <v>705992.59108822618</v>
      </c>
      <c r="J77" s="13">
        <f t="shared" si="42"/>
        <v>-1093.8423441160121</v>
      </c>
      <c r="K77" s="13">
        <f t="shared" si="43"/>
        <v>726.41884048428619</v>
      </c>
      <c r="L77" s="13">
        <f t="shared" si="44"/>
        <v>-737.31595353083685</v>
      </c>
      <c r="N77" s="39">
        <v>66</v>
      </c>
      <c r="O77" s="32">
        <f t="shared" si="45"/>
        <v>-167648.88489140783</v>
      </c>
      <c r="P77">
        <f t="shared" si="45"/>
        <v>-247266.96010128313</v>
      </c>
      <c r="Q77">
        <f t="shared" si="45"/>
        <v>-388416.46499694599</v>
      </c>
      <c r="S77">
        <f t="shared" si="46"/>
        <v>-115200.96227896103</v>
      </c>
      <c r="T77">
        <f t="shared" si="46"/>
        <v>-159896.12325008921</v>
      </c>
      <c r="U77">
        <f t="shared" si="46"/>
        <v>-305562.21741237916</v>
      </c>
      <c r="W77">
        <f t="shared" si="47"/>
        <v>-80049.558499510822</v>
      </c>
      <c r="X77">
        <f t="shared" si="47"/>
        <v>-147090.77952819815</v>
      </c>
      <c r="Y77" s="33">
        <f t="shared" si="47"/>
        <v>-267589.26355242665</v>
      </c>
      <c r="AA77" s="32">
        <f t="shared" si="48"/>
        <v>-0.23721775917642371</v>
      </c>
      <c r="AB77">
        <f t="shared" si="49"/>
        <v>-0.34987476493855724</v>
      </c>
      <c r="AC77">
        <f t="shared" si="50"/>
        <v>-0.54959675701681665</v>
      </c>
      <c r="AE77">
        <f t="shared" si="51"/>
        <v>-0.40302846772998874</v>
      </c>
      <c r="AF77">
        <f t="shared" si="52"/>
        <v>-0.55939367410317153</v>
      </c>
      <c r="AG77">
        <f t="shared" si="53"/>
        <v>-1.0690038506942194</v>
      </c>
      <c r="AI77">
        <f t="shared" si="54"/>
        <v>-0.19176914689054914</v>
      </c>
      <c r="AJ77">
        <f t="shared" si="55"/>
        <v>-0.35237512653815301</v>
      </c>
      <c r="AK77" s="33">
        <f t="shared" si="56"/>
        <v>-0.64104494453686156</v>
      </c>
    </row>
    <row r="78" spans="2:37" x14ac:dyDescent="0.2">
      <c r="B78">
        <f>B79*(1+Foglio1!E75)</f>
        <v>359106.03211340937</v>
      </c>
      <c r="C78">
        <f>C79*(1+Foglio1!I75)</f>
        <v>565182.40343347681</v>
      </c>
      <c r="D78" s="13">
        <f>D79*(1+'Historical Var'!D73)</f>
        <v>907927.70980195608</v>
      </c>
      <c r="F78">
        <f t="shared" si="39"/>
        <v>283327.41842926614</v>
      </c>
      <c r="G78">
        <f t="shared" si="40"/>
        <v>420620.76365840685</v>
      </c>
      <c r="H78">
        <f t="shared" si="41"/>
        <v>706329.77521317021</v>
      </c>
      <c r="J78" s="13">
        <f t="shared" si="42"/>
        <v>-2510.857283159683</v>
      </c>
      <c r="K78" s="13">
        <f t="shared" si="43"/>
        <v>3194.0826855883352</v>
      </c>
      <c r="L78" s="13">
        <f t="shared" si="44"/>
        <v>-400.13182858680375</v>
      </c>
      <c r="N78" s="39">
        <v>67</v>
      </c>
      <c r="O78" s="32">
        <f t="shared" si="45"/>
        <v>-168914.17744457375</v>
      </c>
      <c r="P78">
        <f t="shared" si="45"/>
        <v>-249133.15231283751</v>
      </c>
      <c r="Q78">
        <f t="shared" si="45"/>
        <v>-391347.95160364785</v>
      </c>
      <c r="S78">
        <f t="shared" si="46"/>
        <v>-116070.41583830639</v>
      </c>
      <c r="T78">
        <f t="shared" si="46"/>
        <v>-161102.90356455109</v>
      </c>
      <c r="U78">
        <f t="shared" si="46"/>
        <v>-307868.38007174421</v>
      </c>
      <c r="W78">
        <f t="shared" si="47"/>
        <v>-80653.714681755984</v>
      </c>
      <c r="X78">
        <f t="shared" si="47"/>
        <v>-148200.91436802695</v>
      </c>
      <c r="Y78" s="33">
        <f t="shared" si="47"/>
        <v>-269608.83381499862</v>
      </c>
      <c r="AA78" s="32">
        <f t="shared" si="48"/>
        <v>-0.23900810728615945</v>
      </c>
      <c r="AB78">
        <f t="shared" si="49"/>
        <v>-0.35251536666343103</v>
      </c>
      <c r="AC78">
        <f t="shared" si="50"/>
        <v>-0.55374471591524865</v>
      </c>
      <c r="AE78">
        <f t="shared" si="51"/>
        <v>-0.40607023516711144</v>
      </c>
      <c r="AF78">
        <f t="shared" si="52"/>
        <v>-0.56361557304744025</v>
      </c>
      <c r="AG78">
        <f t="shared" si="53"/>
        <v>-1.0770719187428988</v>
      </c>
      <c r="AI78">
        <f t="shared" si="54"/>
        <v>-0.19321648173947917</v>
      </c>
      <c r="AJ78">
        <f t="shared" si="55"/>
        <v>-0.35503459918432312</v>
      </c>
      <c r="AK78" s="33">
        <f t="shared" si="56"/>
        <v>-0.64588308822682727</v>
      </c>
    </row>
    <row r="79" spans="2:37" x14ac:dyDescent="0.2">
      <c r="B79">
        <f>B80*(1+Foglio1!E76)</f>
        <v>362288.44206567324</v>
      </c>
      <c r="C79">
        <f>C80*(1+Foglio1!I76)</f>
        <v>560890.55793991452</v>
      </c>
      <c r="D79" s="13">
        <f>D80*(1+'Historical Var'!D74)</f>
        <v>908442.04572194198</v>
      </c>
      <c r="F79">
        <f t="shared" si="39"/>
        <v>286869.14907704684</v>
      </c>
      <c r="G79">
        <f t="shared" si="40"/>
        <v>417160.67703401152</v>
      </c>
      <c r="H79">
        <f t="shared" si="41"/>
        <v>707779.13401916821</v>
      </c>
      <c r="J79" s="13">
        <f t="shared" si="42"/>
        <v>1030.8733646210167</v>
      </c>
      <c r="K79" s="13">
        <f t="shared" si="43"/>
        <v>-266.00393880699994</v>
      </c>
      <c r="L79" s="13">
        <f t="shared" si="44"/>
        <v>1049.2269774111919</v>
      </c>
      <c r="N79" s="39">
        <v>68</v>
      </c>
      <c r="O79" s="32">
        <f t="shared" si="45"/>
        <v>-170170.06222664836</v>
      </c>
      <c r="P79">
        <f t="shared" si="45"/>
        <v>-250985.46891191421</v>
      </c>
      <c r="Q79">
        <f t="shared" si="45"/>
        <v>-394257.64186381781</v>
      </c>
      <c r="S79">
        <f t="shared" si="46"/>
        <v>-116933.40478988942</v>
      </c>
      <c r="T79">
        <f t="shared" si="46"/>
        <v>-162300.71116125886</v>
      </c>
      <c r="U79">
        <f t="shared" si="46"/>
        <v>-310157.39582674758</v>
      </c>
      <c r="W79">
        <f t="shared" si="47"/>
        <v>-81253.37880953378</v>
      </c>
      <c r="X79">
        <f t="shared" si="47"/>
        <v>-149302.79507372095</v>
      </c>
      <c r="Y79" s="33">
        <f t="shared" si="47"/>
        <v>-271613.38806037715</v>
      </c>
      <c r="AA79" s="32">
        <f t="shared" si="48"/>
        <v>-0.24078514370355333</v>
      </c>
      <c r="AB79">
        <f t="shared" si="49"/>
        <v>-0.35513633484465629</v>
      </c>
      <c r="AC79">
        <f t="shared" si="50"/>
        <v>-0.5578618336870852</v>
      </c>
      <c r="AE79">
        <f t="shared" si="51"/>
        <v>-0.4090893862917539</v>
      </c>
      <c r="AF79">
        <f t="shared" si="52"/>
        <v>-0.56780608110211672</v>
      </c>
      <c r="AG79">
        <f t="shared" si="53"/>
        <v>-1.085079998659062</v>
      </c>
      <c r="AI79">
        <f t="shared" si="54"/>
        <v>-0.19465305528667137</v>
      </c>
      <c r="AJ79">
        <f t="shared" si="55"/>
        <v>-0.35767429797675787</v>
      </c>
      <c r="AK79" s="33">
        <f t="shared" si="56"/>
        <v>-0.65068525909119768</v>
      </c>
    </row>
    <row r="80" spans="2:37" x14ac:dyDescent="0.2">
      <c r="B80">
        <f>B81*(1+Foglio1!E77)</f>
        <v>360986.54708520166</v>
      </c>
      <c r="C80">
        <f>C81*(1+Foglio1!I77)</f>
        <v>561248.21173104481</v>
      </c>
      <c r="D80" s="13">
        <f>D81*(1+'Historical Var'!D75)</f>
        <v>907095.35173793952</v>
      </c>
      <c r="F80">
        <f t="shared" si="39"/>
        <v>297460.14055060828</v>
      </c>
      <c r="G80">
        <f t="shared" si="40"/>
        <v>414783.48527249991</v>
      </c>
      <c r="H80">
        <f t="shared" si="41"/>
        <v>718859.78195657756</v>
      </c>
      <c r="J80" s="13">
        <f t="shared" si="42"/>
        <v>11621.864838182461</v>
      </c>
      <c r="K80" s="13">
        <f t="shared" si="43"/>
        <v>-2643.1957003186108</v>
      </c>
      <c r="L80" s="13">
        <f t="shared" si="44"/>
        <v>12129.874914820539</v>
      </c>
      <c r="N80" s="39">
        <v>69</v>
      </c>
      <c r="O80" s="32">
        <f t="shared" si="45"/>
        <v>-171416.74601585986</v>
      </c>
      <c r="P80">
        <f t="shared" si="45"/>
        <v>-252824.21487771976</v>
      </c>
      <c r="Q80">
        <f t="shared" si="45"/>
        <v>-397146.01485054049</v>
      </c>
      <c r="S80">
        <f t="shared" si="46"/>
        <v>-117790.07122264126</v>
      </c>
      <c r="T80">
        <f t="shared" si="46"/>
        <v>-163489.74325618014</v>
      </c>
      <c r="U80">
        <f t="shared" si="46"/>
        <v>-312429.64155799884</v>
      </c>
      <c r="W80">
        <f t="shared" si="47"/>
        <v>-81848.649616014358</v>
      </c>
      <c r="X80">
        <f t="shared" si="47"/>
        <v>-150396.6030671297</v>
      </c>
      <c r="Y80" s="33">
        <f t="shared" si="47"/>
        <v>-273603.25633330923</v>
      </c>
      <c r="AA80" s="32">
        <f t="shared" si="48"/>
        <v>-0.24254916101312199</v>
      </c>
      <c r="AB80">
        <f t="shared" si="49"/>
        <v>-0.35773810101796311</v>
      </c>
      <c r="AC80">
        <f t="shared" si="50"/>
        <v>-0.56194878820527283</v>
      </c>
      <c r="AE80">
        <f t="shared" si="51"/>
        <v>-0.41208641819945302</v>
      </c>
      <c r="AF80">
        <f t="shared" si="52"/>
        <v>-0.57196588822367078</v>
      </c>
      <c r="AG80">
        <f t="shared" si="53"/>
        <v>-1.0930294089526551</v>
      </c>
      <c r="AI80">
        <f t="shared" si="54"/>
        <v>-0.19607910406029863</v>
      </c>
      <c r="AJ80">
        <f t="shared" si="55"/>
        <v>-0.36029465753513501</v>
      </c>
      <c r="AK80" s="33">
        <f t="shared" si="56"/>
        <v>-0.6554522477951652</v>
      </c>
    </row>
    <row r="81" spans="2:37" x14ac:dyDescent="0.2">
      <c r="B81">
        <f>B82*(1+Foglio1!E78)</f>
        <v>346882.68479675963</v>
      </c>
      <c r="C81">
        <f>C82*(1+Foglio1!I78)</f>
        <v>564824.74964234664</v>
      </c>
      <c r="D81" s="13">
        <f>D82*(1+'Historical Var'!D76)</f>
        <v>891789.23303639144</v>
      </c>
      <c r="F81">
        <f t="shared" si="39"/>
        <v>281437.15260045044</v>
      </c>
      <c r="G81">
        <f t="shared" si="40"/>
        <v>413693.80980629037</v>
      </c>
      <c r="H81">
        <f t="shared" si="41"/>
        <v>698129.0647624454</v>
      </c>
      <c r="J81" s="13">
        <f t="shared" si="42"/>
        <v>-4401.1231119753793</v>
      </c>
      <c r="K81" s="13">
        <f t="shared" si="43"/>
        <v>-3732.8711665281444</v>
      </c>
      <c r="L81" s="13">
        <f t="shared" si="44"/>
        <v>-8600.8422793116188</v>
      </c>
      <c r="N81" s="39">
        <v>70</v>
      </c>
      <c r="O81" s="32">
        <f t="shared" si="45"/>
        <v>-172654.42812482466</v>
      </c>
      <c r="P81">
        <f t="shared" si="45"/>
        <v>-254649.68417835783</v>
      </c>
      <c r="Q81">
        <f t="shared" si="45"/>
        <v>-400013.53234023607</v>
      </c>
      <c r="S81">
        <f t="shared" si="46"/>
        <v>-118640.55209545203</v>
      </c>
      <c r="T81">
        <f t="shared" si="46"/>
        <v>-164670.1899449109</v>
      </c>
      <c r="U81">
        <f t="shared" si="46"/>
        <v>-314685.48053904471</v>
      </c>
      <c r="W81">
        <f t="shared" si="47"/>
        <v>-82439.622269662184</v>
      </c>
      <c r="X81">
        <f t="shared" si="47"/>
        <v>-151482.51321996882</v>
      </c>
      <c r="Y81" s="33">
        <f t="shared" si="47"/>
        <v>-275578.75676246162</v>
      </c>
      <c r="AA81" s="32">
        <f t="shared" si="48"/>
        <v>-0.24430044123578232</v>
      </c>
      <c r="AB81">
        <f t="shared" si="49"/>
        <v>-0.36032108113872685</v>
      </c>
      <c r="AC81">
        <f t="shared" si="50"/>
        <v>-0.5660062328685368</v>
      </c>
      <c r="AE81">
        <f t="shared" si="51"/>
        <v>-0.41506181003839071</v>
      </c>
      <c r="AF81">
        <f t="shared" si="52"/>
        <v>-0.57609565945808161</v>
      </c>
      <c r="AG81">
        <f t="shared" si="53"/>
        <v>-1.100921420529563</v>
      </c>
      <c r="AI81">
        <f t="shared" si="54"/>
        <v>-0.19749485604881684</v>
      </c>
      <c r="AJ81">
        <f t="shared" si="55"/>
        <v>-0.3628960967874329</v>
      </c>
      <c r="AK81" s="33">
        <f t="shared" si="56"/>
        <v>-0.66018481645739946</v>
      </c>
    </row>
    <row r="82" spans="2:37" x14ac:dyDescent="0.2">
      <c r="B82">
        <f>B83*(1+Foglio1!E79)</f>
        <v>352307.24721539119</v>
      </c>
      <c r="C82">
        <f>C83*(1+Foglio1!I79)</f>
        <v>569921.31616595178</v>
      </c>
      <c r="D82" s="13">
        <f>D83*(1+'Historical Var'!D77)</f>
        <v>902775.93868564581</v>
      </c>
      <c r="F82">
        <f t="shared" si="39"/>
        <v>280088.15952428611</v>
      </c>
      <c r="G82">
        <f t="shared" si="40"/>
        <v>421193.2348457725</v>
      </c>
      <c r="H82">
        <f t="shared" si="41"/>
        <v>702809.88608073851</v>
      </c>
      <c r="J82" s="13">
        <f t="shared" si="42"/>
        <v>-5750.1161881397129</v>
      </c>
      <c r="K82" s="13">
        <f t="shared" si="43"/>
        <v>3766.553872953984</v>
      </c>
      <c r="L82" s="13">
        <f t="shared" si="44"/>
        <v>-3920.020961018512</v>
      </c>
      <c r="N82" s="39">
        <v>71</v>
      </c>
      <c r="O82" s="32">
        <f t="shared" si="45"/>
        <v>-173883.30077254307</v>
      </c>
      <c r="P82">
        <f t="shared" si="45"/>
        <v>-256462.16031948914</v>
      </c>
      <c r="Q82">
        <f t="shared" si="45"/>
        <v>-402860.63967451628</v>
      </c>
      <c r="S82">
        <f t="shared" si="46"/>
        <v>-119484.97949278995</v>
      </c>
      <c r="T82">
        <f t="shared" si="46"/>
        <v>-165842.23455746839</v>
      </c>
      <c r="U82">
        <f t="shared" si="46"/>
        <v>-316925.26311438053</v>
      </c>
      <c r="W82">
        <f t="shared" si="47"/>
        <v>-83026.388551857875</v>
      </c>
      <c r="X82">
        <f t="shared" si="47"/>
        <v>-152560.69418019927</v>
      </c>
      <c r="Y82" s="33">
        <f t="shared" si="47"/>
        <v>-277540.19615417422</v>
      </c>
      <c r="AA82" s="32">
        <f t="shared" si="48"/>
        <v>-0.24603925635521351</v>
      </c>
      <c r="AB82">
        <f t="shared" si="49"/>
        <v>-0.36288567635830377</v>
      </c>
      <c r="AC82">
        <f t="shared" si="50"/>
        <v>-0.57003479782087862</v>
      </c>
      <c r="AE82">
        <f t="shared" si="51"/>
        <v>-0.4180160239036726</v>
      </c>
      <c r="AF82">
        <f t="shared" si="52"/>
        <v>-0.58019603618207449</v>
      </c>
      <c r="AG82">
        <f t="shared" si="53"/>
        <v>-1.1087572590636199</v>
      </c>
      <c r="AI82">
        <f t="shared" si="54"/>
        <v>-0.19890053112648132</v>
      </c>
      <c r="AJ82">
        <f t="shared" si="55"/>
        <v>-0.36547901975181485</v>
      </c>
      <c r="AK82" s="33">
        <f t="shared" si="56"/>
        <v>-0.66488370007246078</v>
      </c>
    </row>
    <row r="83" spans="2:37" x14ac:dyDescent="0.2">
      <c r="B83">
        <f>B84*(1+Foglio1!E80)</f>
        <v>359539.99710689997</v>
      </c>
      <c r="C83">
        <f>C84*(1+Foglio1!I80)</f>
        <v>564824.74964234675</v>
      </c>
      <c r="D83" s="13">
        <f>D84*(1+'Historical Var'!D78)</f>
        <v>907811.29842209723</v>
      </c>
      <c r="F83">
        <f t="shared" si="39"/>
        <v>292006.17931904417</v>
      </c>
      <c r="G83">
        <f t="shared" si="40"/>
        <v>414278.76570389548</v>
      </c>
      <c r="H83">
        <f t="shared" si="41"/>
        <v>711690.1111189723</v>
      </c>
      <c r="J83" s="13">
        <f t="shared" si="42"/>
        <v>6167.9036066183471</v>
      </c>
      <c r="K83" s="13">
        <f t="shared" si="43"/>
        <v>-3147.9152689230395</v>
      </c>
      <c r="L83" s="13">
        <f t="shared" si="44"/>
        <v>4960.2040772152832</v>
      </c>
      <c r="N83" s="39">
        <v>72</v>
      </c>
      <c r="O83" s="32">
        <f t="shared" si="45"/>
        <v>-175103.54943289727</v>
      </c>
      <c r="P83">
        <f t="shared" si="45"/>
        <v>-258261.91685833453</v>
      </c>
      <c r="Q83">
        <f t="shared" si="45"/>
        <v>-405687.76656760025</v>
      </c>
      <c r="S83">
        <f t="shared" si="46"/>
        <v>-120323.48086417379</v>
      </c>
      <c r="T83">
        <f t="shared" si="46"/>
        <v>-167006.0539906733</v>
      </c>
      <c r="U83">
        <f t="shared" si="46"/>
        <v>-319149.32733463368</v>
      </c>
      <c r="W83">
        <f t="shared" si="47"/>
        <v>-83609.037023300101</v>
      </c>
      <c r="X83">
        <f t="shared" si="47"/>
        <v>-153631.30867779045</v>
      </c>
      <c r="Y83" s="33">
        <f t="shared" si="47"/>
        <v>-279487.87054870726</v>
      </c>
      <c r="AA83" s="32">
        <f t="shared" si="48"/>
        <v>-0.2477658688109704</v>
      </c>
      <c r="AB83">
        <f t="shared" si="49"/>
        <v>-0.36543227375132886</v>
      </c>
      <c r="AC83">
        <f t="shared" si="50"/>
        <v>-0.57403509109404405</v>
      </c>
      <c r="AE83">
        <f t="shared" si="51"/>
        <v>-0.42094950567511819</v>
      </c>
      <c r="AF83">
        <f t="shared" si="52"/>
        <v>-0.58426763726595377</v>
      </c>
      <c r="AG83">
        <f t="shared" si="53"/>
        <v>-1.116538107218787</v>
      </c>
      <c r="AI83">
        <f t="shared" si="54"/>
        <v>-0.20029634145198413</v>
      </c>
      <c r="AJ83">
        <f t="shared" si="55"/>
        <v>-0.36804381626912447</v>
      </c>
      <c r="AK83" s="33">
        <f t="shared" si="56"/>
        <v>-0.66954960784336304</v>
      </c>
    </row>
    <row r="84" spans="2:37" x14ac:dyDescent="0.2">
      <c r="B84">
        <f>B85*(1+Foglio1!E81)</f>
        <v>351945.60972081579</v>
      </c>
      <c r="C84">
        <f>C85*(1+Foglio1!I81)</f>
        <v>569116.59513590892</v>
      </c>
      <c r="D84" s="13">
        <f>D85*(1+'Historical Var'!D79)</f>
        <v>901484.20572623902</v>
      </c>
      <c r="F84">
        <f t="shared" si="39"/>
        <v>271658.01750325464</v>
      </c>
      <c r="G84">
        <f t="shared" si="40"/>
        <v>424360.45749752276</v>
      </c>
      <c r="H84">
        <f t="shared" si="41"/>
        <v>695069.35477176053</v>
      </c>
      <c r="J84" s="13">
        <f t="shared" si="42"/>
        <v>-14180.258209171181</v>
      </c>
      <c r="K84" s="13">
        <f t="shared" si="43"/>
        <v>6933.7765247042407</v>
      </c>
      <c r="L84" s="13">
        <f t="shared" si="44"/>
        <v>-11660.552269996493</v>
      </c>
      <c r="N84" s="39">
        <v>73</v>
      </c>
      <c r="O84" s="32">
        <f t="shared" si="45"/>
        <v>-176315.35316144064</v>
      </c>
      <c r="P84">
        <f t="shared" si="45"/>
        <v>-260049.2178856596</v>
      </c>
      <c r="Q84">
        <f t="shared" si="45"/>
        <v>-408495.32786343474</v>
      </c>
      <c r="S84">
        <f t="shared" si="46"/>
        <v>-121156.17924872822</v>
      </c>
      <c r="T84">
        <f t="shared" si="46"/>
        <v>-168161.81901982689</v>
      </c>
      <c r="U84">
        <f t="shared" si="46"/>
        <v>-321357.99955218012</v>
      </c>
      <c r="W84">
        <f t="shared" si="47"/>
        <v>-84187.653180042151</v>
      </c>
      <c r="X84">
        <f t="shared" si="47"/>
        <v>-154694.51381143674</v>
      </c>
      <c r="Y84" s="33">
        <f t="shared" si="47"/>
        <v>-281422.06574183988</v>
      </c>
      <c r="AA84" s="32">
        <f t="shared" si="48"/>
        <v>-0.24948053196087974</v>
      </c>
      <c r="AB84">
        <f t="shared" si="49"/>
        <v>-0.3679612469977086</v>
      </c>
      <c r="AC84">
        <f t="shared" si="50"/>
        <v>-0.57800769967882348</v>
      </c>
      <c r="AE84">
        <f t="shared" si="51"/>
        <v>-0.42386268580286351</v>
      </c>
      <c r="AF84">
        <f t="shared" si="52"/>
        <v>-0.5883110601639997</v>
      </c>
      <c r="AG84">
        <f t="shared" si="53"/>
        <v>-1.1242651067329057</v>
      </c>
      <c r="AI84">
        <f t="shared" si="54"/>
        <v>-0.20168249184226003</v>
      </c>
      <c r="AJ84">
        <f t="shared" si="55"/>
        <v>-0.37059086268975211</v>
      </c>
      <c r="AK84" s="33">
        <f t="shared" si="56"/>
        <v>-0.6741832244311311</v>
      </c>
    </row>
    <row r="85" spans="2:37" x14ac:dyDescent="0.2">
      <c r="B85">
        <f>B86*(1+Foglio1!E82)</f>
        <v>370316.79444524809</v>
      </c>
      <c r="C85">
        <f>C86*(1+Foglio1!I82)</f>
        <v>559817.59656652401</v>
      </c>
      <c r="D85" s="13">
        <f>D86*(1+'Historical Var'!D80)</f>
        <v>916607.59395977564</v>
      </c>
      <c r="F85">
        <f t="shared" si="39"/>
        <v>280900.57037382346</v>
      </c>
      <c r="G85">
        <f t="shared" si="40"/>
        <v>418496.148850411</v>
      </c>
      <c r="H85">
        <f t="shared" si="41"/>
        <v>701531.05253854883</v>
      </c>
      <c r="J85" s="13">
        <f t="shared" si="42"/>
        <v>-4937.7053386023617</v>
      </c>
      <c r="K85" s="13">
        <f t="shared" si="43"/>
        <v>1069.467877592484</v>
      </c>
      <c r="L85" s="13">
        <f t="shared" si="44"/>
        <v>-5198.8545032081893</v>
      </c>
      <c r="N85" s="39">
        <v>74</v>
      </c>
      <c r="O85" s="32">
        <f t="shared" si="45"/>
        <v>-177518.88490210829</v>
      </c>
      <c r="P85">
        <f t="shared" si="45"/>
        <v>-261824.31847814526</v>
      </c>
      <c r="Q85">
        <f t="shared" si="45"/>
        <v>-411283.72424629494</v>
      </c>
      <c r="S85">
        <f t="shared" si="46"/>
        <v>-121983.19348594188</v>
      </c>
      <c r="T85">
        <f t="shared" si="46"/>
        <v>-169309.69459123819</v>
      </c>
      <c r="U85">
        <f t="shared" si="46"/>
        <v>-323551.59498016519</v>
      </c>
      <c r="W85">
        <f t="shared" si="47"/>
        <v>-84762.319599941082</v>
      </c>
      <c r="X85">
        <f t="shared" si="47"/>
        <v>-155750.46131765726</v>
      </c>
      <c r="Y85" s="33">
        <f t="shared" si="47"/>
        <v>-283343.05777441931</v>
      </c>
      <c r="AA85" s="32">
        <f t="shared" si="48"/>
        <v>-0.25118349051502586</v>
      </c>
      <c r="AB85">
        <f t="shared" si="49"/>
        <v>-0.37047295702271082</v>
      </c>
      <c r="AC85">
        <f t="shared" si="50"/>
        <v>-0.58195319053052941</v>
      </c>
      <c r="AE85">
        <f t="shared" si="51"/>
        <v>-0.42675598004469451</v>
      </c>
      <c r="AF85">
        <f t="shared" si="52"/>
        <v>-0.59232688193786931</v>
      </c>
      <c r="AG85">
        <f t="shared" si="53"/>
        <v>-1.1319393603734222</v>
      </c>
      <c r="AI85">
        <f t="shared" si="54"/>
        <v>-0.20305918012332452</v>
      </c>
      <c r="AJ85">
        <f t="shared" si="55"/>
        <v>-0.3731205225182988</v>
      </c>
      <c r="AK85" s="33">
        <f t="shared" si="56"/>
        <v>-0.67878521112757928</v>
      </c>
    </row>
    <row r="86" spans="2:37" x14ac:dyDescent="0.2">
      <c r="B86">
        <f>B87*(1+Foglio1!E83)</f>
        <v>376826.26934760594</v>
      </c>
      <c r="C86">
        <f>C87*(1+Foglio1!I83)</f>
        <v>558386.98140200321</v>
      </c>
      <c r="D86" s="13">
        <f>D87*(1+'Historical Var'!D81)</f>
        <v>923400.32180879812</v>
      </c>
      <c r="F86">
        <f t="shared" si="39"/>
        <v>283714.5011357856</v>
      </c>
      <c r="G86">
        <f t="shared" si="40"/>
        <v>416959.31264799292</v>
      </c>
      <c r="H86">
        <f t="shared" si="41"/>
        <v>703708.76800706936</v>
      </c>
      <c r="J86" s="13">
        <f t="shared" si="42"/>
        <v>-2123.7745766402222</v>
      </c>
      <c r="K86" s="13">
        <f t="shared" si="43"/>
        <v>-467.36832482559839</v>
      </c>
      <c r="L86" s="13">
        <f t="shared" si="44"/>
        <v>-3021.1390346876578</v>
      </c>
      <c r="N86" s="39">
        <v>75</v>
      </c>
      <c r="O86" s="32">
        <f t="shared" si="45"/>
        <v>-178714.31177533715</v>
      </c>
      <c r="P86">
        <f t="shared" si="45"/>
        <v>-263587.46512333851</v>
      </c>
      <c r="Q86">
        <f t="shared" si="45"/>
        <v>-414053.34290831391</v>
      </c>
      <c r="S86">
        <f t="shared" si="46"/>
        <v>-122804.63841365074</v>
      </c>
      <c r="T86">
        <f t="shared" si="46"/>
        <v>-170449.84009701997</v>
      </c>
      <c r="U86">
        <f t="shared" si="46"/>
        <v>-325730.41821764014</v>
      </c>
      <c r="W86">
        <f t="shared" si="47"/>
        <v>-85333.116080230262</v>
      </c>
      <c r="X86">
        <f t="shared" si="47"/>
        <v>-156799.29782358502</v>
      </c>
      <c r="Y86" s="33">
        <f t="shared" si="47"/>
        <v>-285251.11339223804</v>
      </c>
      <c r="AA86" s="32">
        <f t="shared" si="48"/>
        <v>-0.25287498094343114</v>
      </c>
      <c r="AB86">
        <f t="shared" si="49"/>
        <v>-0.37296775259825604</v>
      </c>
      <c r="AC86">
        <f t="shared" si="50"/>
        <v>-0.58587211151352847</v>
      </c>
      <c r="AE86">
        <f t="shared" si="51"/>
        <v>-0.42962979015868813</v>
      </c>
      <c r="AF86">
        <f t="shared" si="52"/>
        <v>-0.59631566021796523</v>
      </c>
      <c r="AG86">
        <f t="shared" si="53"/>
        <v>-1.1395619337745682</v>
      </c>
      <c r="AI86">
        <f t="shared" si="54"/>
        <v>-0.20442659745984679</v>
      </c>
      <c r="AJ86">
        <f t="shared" si="55"/>
        <v>-0.37563314701916545</v>
      </c>
      <c r="AK86" s="33">
        <f t="shared" si="56"/>
        <v>-0.68335620695700727</v>
      </c>
    </row>
    <row r="87" spans="2:37" x14ac:dyDescent="0.2">
      <c r="B87">
        <f>B88*(1+Foglio1!E84)</f>
        <v>379647.04180529434</v>
      </c>
      <c r="C87">
        <f>C88*(1+Foglio1!I84)</f>
        <v>559012.87553648103</v>
      </c>
      <c r="D87" s="13">
        <f>D88*(1+'Historical Var'!D82)</f>
        <v>927364.63330197486</v>
      </c>
      <c r="F87">
        <f t="shared" si="39"/>
        <v>283891.22217871773</v>
      </c>
      <c r="G87">
        <f t="shared" si="40"/>
        <v>421743.95756982255</v>
      </c>
      <c r="H87">
        <f t="shared" si="41"/>
        <v>707977.5917879825</v>
      </c>
      <c r="J87" s="13">
        <f t="shared" si="42"/>
        <v>-1947.0535337080946</v>
      </c>
      <c r="K87" s="13">
        <f t="shared" si="43"/>
        <v>4317.2765970040346</v>
      </c>
      <c r="L87" s="13">
        <f t="shared" si="44"/>
        <v>1247.6847462254809</v>
      </c>
      <c r="N87" s="39">
        <v>76</v>
      </c>
      <c r="O87" s="32">
        <f t="shared" si="45"/>
        <v>-179901.79534895375</v>
      </c>
      <c r="P87">
        <f t="shared" si="45"/>
        <v>-265338.89611918788</v>
      </c>
      <c r="Q87">
        <f t="shared" si="45"/>
        <v>-416804.55817708746</v>
      </c>
      <c r="S87">
        <f t="shared" si="46"/>
        <v>-123620.62505418046</v>
      </c>
      <c r="T87">
        <f t="shared" si="46"/>
        <v>-171582.40963344992</v>
      </c>
      <c r="U87">
        <f t="shared" si="46"/>
        <v>-327894.76374329097</v>
      </c>
      <c r="W87">
        <f t="shared" si="47"/>
        <v>-85900.119766863805</v>
      </c>
      <c r="X87">
        <f t="shared" si="47"/>
        <v>-157841.16508463683</v>
      </c>
      <c r="Y87" s="33">
        <f t="shared" si="47"/>
        <v>-287146.49047840532</v>
      </c>
      <c r="AA87" s="32">
        <f t="shared" si="48"/>
        <v>-0.25455523185935341</v>
      </c>
      <c r="AB87">
        <f t="shared" si="49"/>
        <v>-0.37544597090824738</v>
      </c>
      <c r="AC87">
        <f t="shared" si="50"/>
        <v>-0.58976499228928292</v>
      </c>
      <c r="AE87">
        <f t="shared" si="51"/>
        <v>-0.432484504554428</v>
      </c>
      <c r="AF87">
        <f t="shared" si="52"/>
        <v>-0.60027793410730745</v>
      </c>
      <c r="AG87">
        <f t="shared" si="53"/>
        <v>-1.1471338571646614</v>
      </c>
      <c r="AI87">
        <f t="shared" si="54"/>
        <v>-0.20578492866501111</v>
      </c>
      <c r="AJ87">
        <f t="shared" si="55"/>
        <v>-0.37812907578592214</v>
      </c>
      <c r="AK87" s="33">
        <f t="shared" si="56"/>
        <v>-0.6878968297120025</v>
      </c>
    </row>
    <row r="88" spans="2:37" x14ac:dyDescent="0.2">
      <c r="B88">
        <f>B89*(1+Foglio1!E85)</f>
        <v>382250.8317662375</v>
      </c>
      <c r="C88">
        <f>C89*(1+Foglio1!I85)</f>
        <v>553290.41487839795</v>
      </c>
      <c r="D88" s="13">
        <f>D89*(1+'Historical Var'!D83)</f>
        <v>925730.31786518567</v>
      </c>
      <c r="F88">
        <f t="shared" si="39"/>
        <v>293217.25293869764</v>
      </c>
      <c r="G88">
        <f t="shared" si="40"/>
        <v>419119.95811452233</v>
      </c>
      <c r="H88">
        <f t="shared" si="41"/>
        <v>717285.51305732375</v>
      </c>
      <c r="J88" s="13">
        <f t="shared" si="42"/>
        <v>7378.9772262718179</v>
      </c>
      <c r="K88" s="13">
        <f t="shared" si="43"/>
        <v>1693.2771417038166</v>
      </c>
      <c r="L88" s="13">
        <f t="shared" si="44"/>
        <v>10555.606015566736</v>
      </c>
      <c r="N88" s="39">
        <v>77</v>
      </c>
      <c r="O88" s="32">
        <f t="shared" si="45"/>
        <v>-181081.49189307357</v>
      </c>
      <c r="P88">
        <f t="shared" si="45"/>
        <v>-267078.84194999636</v>
      </c>
      <c r="Q88">
        <f t="shared" si="45"/>
        <v>-419537.73210623668</v>
      </c>
      <c r="S88">
        <f t="shared" si="46"/>
        <v>-124431.26078950192</v>
      </c>
      <c r="T88">
        <f t="shared" si="46"/>
        <v>-172707.55224408206</v>
      </c>
      <c r="U88">
        <f t="shared" si="46"/>
        <v>-330044.91638002614</v>
      </c>
      <c r="W88">
        <f t="shared" si="47"/>
        <v>-86463.405276226782</v>
      </c>
      <c r="X88">
        <f t="shared" si="47"/>
        <v>-158876.20020815523</v>
      </c>
      <c r="Y88" s="33">
        <f t="shared" si="47"/>
        <v>-289029.43846019974</v>
      </c>
      <c r="AA88" s="32">
        <f t="shared" si="48"/>
        <v>-0.25622446437996066</v>
      </c>
      <c r="AB88">
        <f t="shared" si="49"/>
        <v>-0.37790793808053186</v>
      </c>
      <c r="AC88">
        <f t="shared" si="50"/>
        <v>-0.59363234515197671</v>
      </c>
      <c r="AE88">
        <f t="shared" si="51"/>
        <v>-0.43532049890578284</v>
      </c>
      <c r="AF88">
        <f t="shared" si="52"/>
        <v>-0.60421422503205435</v>
      </c>
      <c r="AG88">
        <f t="shared" si="53"/>
        <v>-1.1546561269914581</v>
      </c>
      <c r="AI88">
        <f t="shared" si="54"/>
        <v>-0.2071343524920895</v>
      </c>
      <c r="AJ88">
        <f t="shared" si="55"/>
        <v>-0.38060863727707128</v>
      </c>
      <c r="AK88" s="33">
        <f t="shared" si="56"/>
        <v>-0.69240767692810801</v>
      </c>
    </row>
    <row r="89" spans="2:37" x14ac:dyDescent="0.2">
      <c r="B89">
        <f>B90*(1+Foglio1!E86)</f>
        <v>372631.27441053092</v>
      </c>
      <c r="C89">
        <f>C90*(1+Foglio1!I86)</f>
        <v>551055.07868383429</v>
      </c>
      <c r="D89" s="13">
        <f>D90*(1+'Historical Var'!D84)</f>
        <v>912107.22868497903</v>
      </c>
      <c r="F89">
        <f t="shared" si="39"/>
        <v>290518.60257850029</v>
      </c>
      <c r="G89">
        <f t="shared" si="40"/>
        <v>411484.42655717855</v>
      </c>
      <c r="H89">
        <f t="shared" si="41"/>
        <v>707485.61107481713</v>
      </c>
      <c r="J89" s="13">
        <f t="shared" si="42"/>
        <v>4680.3268660744652</v>
      </c>
      <c r="K89" s="13">
        <f t="shared" si="43"/>
        <v>-5942.2544156399672</v>
      </c>
      <c r="L89" s="13">
        <f t="shared" si="44"/>
        <v>755.70403306011576</v>
      </c>
      <c r="N89" s="39">
        <v>78</v>
      </c>
      <c r="O89" s="32">
        <f t="shared" si="45"/>
        <v>-182253.55262014977</v>
      </c>
      <c r="P89">
        <f t="shared" si="45"/>
        <v>-268807.52564047213</v>
      </c>
      <c r="Q89">
        <f t="shared" si="45"/>
        <v>-422253.21503156342</v>
      </c>
      <c r="S89">
        <f t="shared" si="46"/>
        <v>-125236.64952618224</v>
      </c>
      <c r="T89">
        <f t="shared" si="46"/>
        <v>-173825.41214869497</v>
      </c>
      <c r="U89">
        <f t="shared" si="46"/>
        <v>-332181.15173249715</v>
      </c>
      <c r="W89">
        <f t="shared" si="47"/>
        <v>-87023.044809754472</v>
      </c>
      <c r="X89">
        <f t="shared" si="47"/>
        <v>-159904.53586402134</v>
      </c>
      <c r="Y89" s="33">
        <f t="shared" si="47"/>
        <v>-290900.19869221799</v>
      </c>
      <c r="AA89" s="32">
        <f t="shared" si="48"/>
        <v>-0.25788289246599178</v>
      </c>
      <c r="AB89">
        <f t="shared" si="49"/>
        <v>-0.38035396968787072</v>
      </c>
      <c r="AC89">
        <f t="shared" si="50"/>
        <v>-0.59747466581545794</v>
      </c>
      <c r="AE89">
        <f t="shared" si="51"/>
        <v>-0.43813813672798479</v>
      </c>
      <c r="AF89">
        <f t="shared" si="52"/>
        <v>-0.60812503754247393</v>
      </c>
      <c r="AG89">
        <f t="shared" si="53"/>
        <v>-1.1621297074528103</v>
      </c>
      <c r="AI89">
        <f t="shared" si="54"/>
        <v>-0.20847504190902721</v>
      </c>
      <c r="AJ89">
        <f t="shared" si="55"/>
        <v>-0.38307214932059841</v>
      </c>
      <c r="AK89" s="33">
        <f t="shared" si="56"/>
        <v>-0.69688932680170601</v>
      </c>
    </row>
    <row r="90" spans="2:37" x14ac:dyDescent="0.2">
      <c r="B90">
        <f>B91*(1+Foglio1!E87)</f>
        <v>366628.09200057859</v>
      </c>
      <c r="C90">
        <f>C91*(1+Foglio1!I87)</f>
        <v>559012.87553648103</v>
      </c>
      <c r="D90" s="13">
        <f>D91*(1+'Historical Var'!D85)</f>
        <v>911132.95712311158</v>
      </c>
      <c r="F90">
        <f t="shared" si="39"/>
        <v>275931.10256832727</v>
      </c>
      <c r="G90">
        <f t="shared" si="40"/>
        <v>415499.38058303797</v>
      </c>
      <c r="H90">
        <f t="shared" si="41"/>
        <v>692850.73383251554</v>
      </c>
      <c r="J90" s="13">
        <f t="shared" si="42"/>
        <v>-9907.1731440985459</v>
      </c>
      <c r="K90" s="13">
        <f t="shared" si="43"/>
        <v>-1927.3003897805465</v>
      </c>
      <c r="L90" s="13">
        <f t="shared" si="44"/>
        <v>-13879.173209241475</v>
      </c>
      <c r="N90" s="39">
        <v>79</v>
      </c>
      <c r="O90" s="32">
        <f t="shared" si="45"/>
        <v>-183418.12391121584</v>
      </c>
      <c r="P90">
        <f t="shared" si="45"/>
        <v>-270525.16308941587</v>
      </c>
      <c r="Q90">
        <f t="shared" si="45"/>
        <v>-424951.34609521955</v>
      </c>
      <c r="S90">
        <f t="shared" si="46"/>
        <v>-126036.89185084884</v>
      </c>
      <c r="T90">
        <f t="shared" si="46"/>
        <v>-174936.12895907176</v>
      </c>
      <c r="U90">
        <f t="shared" si="46"/>
        <v>-334303.73659945547</v>
      </c>
      <c r="W90">
        <f t="shared" si="47"/>
        <v>-87579.108261959525</v>
      </c>
      <c r="X90">
        <f t="shared" si="47"/>
        <v>-160926.3004831539</v>
      </c>
      <c r="Y90" s="33">
        <f t="shared" si="47"/>
        <v>-292759.00481748697</v>
      </c>
      <c r="AA90" s="32">
        <f t="shared" si="48"/>
        <v>-0.25953072324188287</v>
      </c>
      <c r="AB90">
        <f t="shared" si="49"/>
        <v>-0.38278437122009601</v>
      </c>
      <c r="AC90">
        <f t="shared" si="50"/>
        <v>-0.60129243415492162</v>
      </c>
      <c r="AE90">
        <f t="shared" si="51"/>
        <v>-0.44093776992151729</v>
      </c>
      <c r="AF90">
        <f t="shared" si="52"/>
        <v>-0.61201086006784577</v>
      </c>
      <c r="AG90">
        <f t="shared" si="53"/>
        <v>-1.1695555319392894</v>
      </c>
      <c r="AI90">
        <f t="shared" si="54"/>
        <v>-0.2098071643572357</v>
      </c>
      <c r="AJ90">
        <f t="shared" si="55"/>
        <v>-0.38551991958950249</v>
      </c>
      <c r="AK90" s="33">
        <f t="shared" si="56"/>
        <v>-0.70134233905510823</v>
      </c>
    </row>
    <row r="91" spans="2:37" x14ac:dyDescent="0.2">
      <c r="B91">
        <f>B92*(1+Foglio1!E88)</f>
        <v>379791.69680312451</v>
      </c>
      <c r="C91">
        <f>C92*(1+Foglio1!I88)</f>
        <v>561605.86552217486</v>
      </c>
      <c r="D91" s="13">
        <f>D92*(1+'Historical Var'!D86)</f>
        <v>929384.75583105232</v>
      </c>
      <c r="F91">
        <f t="shared" si="39"/>
        <v>284591.73033104814</v>
      </c>
      <c r="G91">
        <f t="shared" si="40"/>
        <v>414129.99260626652</v>
      </c>
      <c r="H91">
        <f t="shared" si="41"/>
        <v>702398.12522846775</v>
      </c>
      <c r="J91" s="13">
        <f t="shared" si="42"/>
        <v>-1246.545381377684</v>
      </c>
      <c r="K91" s="13">
        <f t="shared" si="43"/>
        <v>-3296.6883665519999</v>
      </c>
      <c r="L91" s="13">
        <f t="shared" si="44"/>
        <v>-4331.7818132892717</v>
      </c>
      <c r="N91" s="39">
        <v>80</v>
      </c>
      <c r="O91" s="32">
        <f t="shared" si="45"/>
        <v>-184575.3475292802</v>
      </c>
      <c r="P91">
        <f t="shared" si="45"/>
        <v>-272231.96338445827</v>
      </c>
      <c r="Q91">
        <f t="shared" si="45"/>
        <v>-427632.45374010893</v>
      </c>
      <c r="S91">
        <f t="shared" si="46"/>
        <v>-126832.08517682478</v>
      </c>
      <c r="T91">
        <f t="shared" si="46"/>
        <v>-176039.83788252683</v>
      </c>
      <c r="U91">
        <f t="shared" si="46"/>
        <v>-336412.92936269258</v>
      </c>
      <c r="W91">
        <f t="shared" si="47"/>
        <v>-88131.663322324297</v>
      </c>
      <c r="X91">
        <f t="shared" si="47"/>
        <v>-161941.61844473644</v>
      </c>
      <c r="Y91" s="33">
        <f t="shared" si="47"/>
        <v>-294606.08310806967</v>
      </c>
      <c r="AA91" s="32">
        <f t="shared" si="48"/>
        <v>-0.26116815729771375</v>
      </c>
      <c r="AB91">
        <f t="shared" si="49"/>
        <v>-0.38519943852945437</v>
      </c>
      <c r="AC91">
        <f t="shared" si="50"/>
        <v>-0.60508611490647213</v>
      </c>
      <c r="AE91">
        <f t="shared" si="51"/>
        <v>-0.44371973928511632</v>
      </c>
      <c r="AF91">
        <f t="shared" si="52"/>
        <v>-0.615872165628496</v>
      </c>
      <c r="AG91">
        <f t="shared" si="53"/>
        <v>-1.1769345043948858</v>
      </c>
      <c r="AI91">
        <f t="shared" si="54"/>
        <v>-0.21113088199568908</v>
      </c>
      <c r="AJ91">
        <f t="shared" si="55"/>
        <v>-0.38795224605032269</v>
      </c>
      <c r="AK91" s="33">
        <f t="shared" si="56"/>
        <v>-0.70576725575252208</v>
      </c>
    </row>
    <row r="92" spans="2:37" x14ac:dyDescent="0.2">
      <c r="B92">
        <f>B93*(1+Foglio1!E89)</f>
        <v>381455.22927817155</v>
      </c>
      <c r="C92">
        <f>C93*(1+Foglio1!I89)</f>
        <v>566076.53791130218</v>
      </c>
      <c r="D92" s="13">
        <f>D93*(1+'Historical Var'!D87)</f>
        <v>935116.39411176054</v>
      </c>
      <c r="F92">
        <f t="shared" si="39"/>
        <v>291757.5123103027</v>
      </c>
      <c r="G92">
        <f t="shared" si="40"/>
        <v>419281.02764380677</v>
      </c>
      <c r="H92">
        <f t="shared" si="41"/>
        <v>715617.2725352759</v>
      </c>
      <c r="J92" s="13">
        <f t="shared" si="42"/>
        <v>5919.2365978768794</v>
      </c>
      <c r="K92" s="13">
        <f t="shared" si="43"/>
        <v>1854.3466709882487</v>
      </c>
      <c r="L92" s="13">
        <f t="shared" si="44"/>
        <v>8887.3654935188824</v>
      </c>
      <c r="N92" s="39">
        <v>81</v>
      </c>
      <c r="O92" s="32">
        <f t="shared" si="45"/>
        <v>-185725.36082075327</v>
      </c>
      <c r="P92">
        <f t="shared" si="45"/>
        <v>-273928.12909914705</v>
      </c>
      <c r="Q92">
        <f t="shared" si="45"/>
        <v>-430296.85617656296</v>
      </c>
      <c r="S92">
        <f t="shared" si="46"/>
        <v>-127622.32388254063</v>
      </c>
      <c r="T92">
        <f t="shared" si="46"/>
        <v>-177136.66991401766</v>
      </c>
      <c r="U92">
        <f t="shared" si="46"/>
        <v>-338508.980354167</v>
      </c>
      <c r="W92">
        <f t="shared" si="47"/>
        <v>-88680.775571478938</v>
      </c>
      <c r="X92">
        <f t="shared" si="47"/>
        <v>-162950.610252944</v>
      </c>
      <c r="Y92" s="33">
        <f t="shared" si="47"/>
        <v>-296441.65278656833</v>
      </c>
      <c r="AA92" s="32">
        <f t="shared" si="48"/>
        <v>-0.26279538897422056</v>
      </c>
      <c r="AB92">
        <f t="shared" si="49"/>
        <v>-0.38759945825097514</v>
      </c>
      <c r="AC92">
        <f t="shared" si="50"/>
        <v>-0.6088561583274541</v>
      </c>
      <c r="AE92">
        <f t="shared" si="51"/>
        <v>-0.44648437500000177</v>
      </c>
      <c r="AF92">
        <f t="shared" si="52"/>
        <v>-0.61970941250789691</v>
      </c>
      <c r="AG92">
        <f t="shared" si="53"/>
        <v>-1.1842675006013952</v>
      </c>
      <c r="AI92">
        <f t="shared" si="54"/>
        <v>-0.21244635193133124</v>
      </c>
      <c r="AJ92">
        <f t="shared" si="55"/>
        <v>-0.3903694173865106</v>
      </c>
      <c r="AK92" s="33">
        <f t="shared" si="56"/>
        <v>-0.71016460207025356</v>
      </c>
    </row>
    <row r="93" spans="2:37" x14ac:dyDescent="0.2">
      <c r="B93">
        <f>B94*(1+Foglio1!E90)</f>
        <v>373716.18689425715</v>
      </c>
      <c r="C93">
        <f>C94*(1+Foglio1!I90)</f>
        <v>563572.96137339086</v>
      </c>
      <c r="D93" s="13">
        <f>D94*(1+'Historical Var'!D88)</f>
        <v>923503.0338807957</v>
      </c>
      <c r="F93">
        <f t="shared" si="39"/>
        <v>304520.90115589777</v>
      </c>
      <c r="G93">
        <f t="shared" si="40"/>
        <v>413555.54388111836</v>
      </c>
      <c r="H93">
        <f t="shared" si="41"/>
        <v>726549.09124509862</v>
      </c>
      <c r="J93" s="13">
        <f t="shared" si="42"/>
        <v>18682.625443471945</v>
      </c>
      <c r="K93" s="13">
        <f t="shared" si="43"/>
        <v>-3871.1370917001623</v>
      </c>
      <c r="L93" s="13">
        <f t="shared" si="44"/>
        <v>19819.184203341603</v>
      </c>
      <c r="N93" s="39">
        <v>82</v>
      </c>
      <c r="O93" s="32">
        <f t="shared" ref="O93:Q111" si="57">O$12*SQRT($N93)</f>
        <v>-186868.29690571761</v>
      </c>
      <c r="P93">
        <f t="shared" si="57"/>
        <v>-275613.8565735782</v>
      </c>
      <c r="Q93">
        <f t="shared" si="57"/>
        <v>-432944.8618231669</v>
      </c>
      <c r="S93">
        <f t="shared" ref="S93:U111" si="58">S$12*SQRT($N93)</f>
        <v>-128407.69944227982</v>
      </c>
      <c r="T93">
        <f t="shared" si="58"/>
        <v>-178226.75201761656</v>
      </c>
      <c r="U93">
        <f t="shared" si="58"/>
        <v>-340592.13220279722</v>
      </c>
      <c r="W93">
        <f t="shared" ref="W93:Y111" si="59">W$12*SQRT($N93)</f>
        <v>-89226.508572052233</v>
      </c>
      <c r="X93">
        <f t="shared" si="59"/>
        <v>-163953.39270388131</v>
      </c>
      <c r="Y93" s="33">
        <f t="shared" si="59"/>
        <v>-298265.92632982036</v>
      </c>
      <c r="AA93" s="32">
        <f t="shared" si="48"/>
        <v>-0.26441260663202204</v>
      </c>
      <c r="AB93">
        <f t="shared" si="49"/>
        <v>-0.38998470819955494</v>
      </c>
      <c r="AC93">
        <f t="shared" si="50"/>
        <v>-0.6126030008202078</v>
      </c>
      <c r="AE93">
        <f t="shared" si="51"/>
        <v>-0.44923199708728773</v>
      </c>
      <c r="AF93">
        <f t="shared" si="52"/>
        <v>-0.62352304488754218</v>
      </c>
      <c r="AG93">
        <f t="shared" si="53"/>
        <v>-1.1915553693916687</v>
      </c>
      <c r="AI93">
        <f t="shared" si="54"/>
        <v>-0.21375372643672094</v>
      </c>
      <c r="AJ93">
        <f t="shared" si="55"/>
        <v>-0.39277171339835232</v>
      </c>
      <c r="AK93" s="33">
        <f t="shared" si="56"/>
        <v>-0.71453488702424961</v>
      </c>
    </row>
    <row r="94" spans="2:37" x14ac:dyDescent="0.2">
      <c r="B94">
        <f>B95*(1+Foglio1!E91)</f>
        <v>350788.36973817437</v>
      </c>
      <c r="C94">
        <f>C95*(1+Foglio1!I91)</f>
        <v>568848.35479256115</v>
      </c>
      <c r="D94" s="13">
        <f>D95*(1+'Historical Var'!D89)</f>
        <v>898311.23753643304</v>
      </c>
      <c r="F94">
        <f t="shared" si="39"/>
        <v>268926.40876920766</v>
      </c>
      <c r="G94">
        <f t="shared" si="40"/>
        <v>413205.0014546556</v>
      </c>
      <c r="H94">
        <f t="shared" si="41"/>
        <v>682248.98034185171</v>
      </c>
      <c r="J94" s="13">
        <f t="shared" si="42"/>
        <v>-16911.866943218163</v>
      </c>
      <c r="K94" s="13">
        <f t="shared" si="43"/>
        <v>-4221.6795181629132</v>
      </c>
      <c r="L94" s="13">
        <f t="shared" si="44"/>
        <v>-24480.926699905307</v>
      </c>
      <c r="N94" s="39">
        <v>83</v>
      </c>
      <c r="O94" s="32">
        <f t="shared" si="57"/>
        <v>-188004.28485778684</v>
      </c>
      <c r="P94">
        <f t="shared" si="57"/>
        <v>-277289.33617967152</v>
      </c>
      <c r="Q94">
        <f t="shared" si="57"/>
        <v>-435576.76972346491</v>
      </c>
      <c r="S94">
        <f t="shared" si="58"/>
        <v>-129188.30054976973</v>
      </c>
      <c r="T94">
        <f t="shared" si="58"/>
        <v>-179310.2072980518</v>
      </c>
      <c r="U94">
        <f t="shared" si="58"/>
        <v>-342662.62016227789</v>
      </c>
      <c r="W94">
        <f t="shared" si="59"/>
        <v>-89768.923954551239</v>
      </c>
      <c r="X94">
        <f t="shared" si="59"/>
        <v>-164950.07904338624</v>
      </c>
      <c r="Y94" s="33">
        <f t="shared" si="59"/>
        <v>-300079.10975597636</v>
      </c>
      <c r="AA94" s="32">
        <f t="shared" si="48"/>
        <v>-0.26601999290611406</v>
      </c>
      <c r="AB94">
        <f t="shared" si="49"/>
        <v>-0.39235545774531361</v>
      </c>
      <c r="AC94">
        <f t="shared" si="50"/>
        <v>-0.61632706552169292</v>
      </c>
      <c r="AE94">
        <f t="shared" si="51"/>
        <v>-0.45196291584036352</v>
      </c>
      <c r="AF94">
        <f t="shared" si="52"/>
        <v>-0.62731349344708109</v>
      </c>
      <c r="AG94">
        <f t="shared" si="53"/>
        <v>-1.1987989337964713</v>
      </c>
      <c r="AI94">
        <f t="shared" si="54"/>
        <v>-0.21505315315576751</v>
      </c>
      <c r="AJ94">
        <f t="shared" si="55"/>
        <v>-0.39515940538100691</v>
      </c>
      <c r="AK94" s="33">
        <f t="shared" si="56"/>
        <v>-0.71887860415783189</v>
      </c>
    </row>
    <row r="95" spans="2:37" x14ac:dyDescent="0.2">
      <c r="B95">
        <f>B96*(1+Foglio1!E92)</f>
        <v>372848.25690727599</v>
      </c>
      <c r="C95">
        <f>C96*(1+Foglio1!I92)</f>
        <v>574660.22889842663</v>
      </c>
      <c r="D95" s="13">
        <f>D96*(1+'Historical Var'!D90)</f>
        <v>930545.05860980647</v>
      </c>
      <c r="F95">
        <f t="shared" si="39"/>
        <v>288750.9918278571</v>
      </c>
      <c r="G95">
        <f t="shared" si="40"/>
        <v>422155.98404599604</v>
      </c>
      <c r="H95">
        <f t="shared" si="41"/>
        <v>714334.23106840788</v>
      </c>
      <c r="J95" s="13">
        <f t="shared" si="42"/>
        <v>2912.716115431278</v>
      </c>
      <c r="K95" s="13">
        <f t="shared" si="43"/>
        <v>4729.3030731775216</v>
      </c>
      <c r="L95" s="13">
        <f t="shared" si="44"/>
        <v>7604.3240266508656</v>
      </c>
      <c r="N95" s="39">
        <v>84</v>
      </c>
      <c r="O95" s="32">
        <f t="shared" si="57"/>
        <v>-189133.44987424166</v>
      </c>
      <c r="P95">
        <f t="shared" si="57"/>
        <v>-278954.75257210596</v>
      </c>
      <c r="Q95">
        <f t="shared" si="57"/>
        <v>-438192.86994013912</v>
      </c>
      <c r="S95">
        <f t="shared" si="58"/>
        <v>-129964.21323509175</v>
      </c>
      <c r="T95">
        <f t="shared" si="58"/>
        <v>-180387.15516297615</v>
      </c>
      <c r="U95">
        <f t="shared" si="58"/>
        <v>-344720.67242117546</v>
      </c>
      <c r="W95">
        <f t="shared" si="59"/>
        <v>-90308.081498598433</v>
      </c>
      <c r="X95">
        <f t="shared" si="59"/>
        <v>-165940.7791163029</v>
      </c>
      <c r="Y95" s="33">
        <f t="shared" si="59"/>
        <v>-301881.40289605915</v>
      </c>
      <c r="AA95" s="32">
        <f t="shared" si="48"/>
        <v>-0.26761772494660641</v>
      </c>
      <c r="AB95">
        <f t="shared" si="49"/>
        <v>-0.39471196816865989</v>
      </c>
      <c r="AC95">
        <f t="shared" si="50"/>
        <v>-0.62002876286123909</v>
      </c>
      <c r="AE95">
        <f t="shared" si="51"/>
        <v>-0.45467743223390156</v>
      </c>
      <c r="AF95">
        <f t="shared" si="52"/>
        <v>-0.6310811759320113</v>
      </c>
      <c r="AG95">
        <f t="shared" si="53"/>
        <v>-1.2059989921293452</v>
      </c>
      <c r="AI95">
        <f t="shared" si="54"/>
        <v>-0.21634477529834517</v>
      </c>
      <c r="AJ95">
        <f t="shared" si="55"/>
        <v>-0.39753275648211006</v>
      </c>
      <c r="AK95" s="33">
        <f t="shared" si="56"/>
        <v>-0.72319623219225104</v>
      </c>
    </row>
    <row r="96" spans="2:37" x14ac:dyDescent="0.2">
      <c r="B96">
        <f>B97*(1+Foglio1!E93)</f>
        <v>369087.22696369147</v>
      </c>
      <c r="C96">
        <f>C97*(1+Foglio1!I93)</f>
        <v>568222.4606580832</v>
      </c>
      <c r="D96" s="13">
        <f>D97*(1+'Historical Var'!D91)</f>
        <v>920639.09885132732</v>
      </c>
      <c r="F96">
        <f t="shared" si="39"/>
        <v>294316.52965304861</v>
      </c>
      <c r="G96">
        <f t="shared" si="40"/>
        <v>422815.83640138054</v>
      </c>
      <c r="H96">
        <f t="shared" si="41"/>
        <v>721773.16228415852</v>
      </c>
      <c r="J96" s="13">
        <f t="shared" si="42"/>
        <v>8478.2539406227879</v>
      </c>
      <c r="K96" s="13">
        <f t="shared" si="43"/>
        <v>5389.1554285620223</v>
      </c>
      <c r="L96" s="13">
        <f t="shared" si="44"/>
        <v>15043.255242401501</v>
      </c>
      <c r="N96" s="39">
        <v>85</v>
      </c>
      <c r="O96" s="32">
        <f t="shared" si="57"/>
        <v>-190255.91343707748</v>
      </c>
      <c r="P96">
        <f t="shared" si="57"/>
        <v>-280610.28492585017</v>
      </c>
      <c r="Q96">
        <f t="shared" si="57"/>
        <v>-440793.44392813172</v>
      </c>
      <c r="S96">
        <f t="shared" si="58"/>
        <v>-130735.52097534612</v>
      </c>
      <c r="T96">
        <f t="shared" si="58"/>
        <v>-181457.71147656679</v>
      </c>
      <c r="U96">
        <f t="shared" si="58"/>
        <v>-346766.51039645856</v>
      </c>
      <c r="W96">
        <f t="shared" si="59"/>
        <v>-90844.039209829236</v>
      </c>
      <c r="X96">
        <f t="shared" si="59"/>
        <v>-166925.59950778037</v>
      </c>
      <c r="Y96" s="33">
        <f t="shared" si="59"/>
        <v>-303672.99965101649</v>
      </c>
      <c r="AA96" s="32">
        <f t="shared" si="48"/>
        <v>-0.2692059746466004</v>
      </c>
      <c r="AB96">
        <f t="shared" si="49"/>
        <v>-0.39705449299638929</v>
      </c>
      <c r="AC96">
        <f t="shared" si="50"/>
        <v>-0.62370849108850224</v>
      </c>
      <c r="AE96">
        <f t="shared" si="51"/>
        <v>-0.45737583831101614</v>
      </c>
      <c r="AF96">
        <f t="shared" si="52"/>
        <v>-0.63482649769104582</v>
      </c>
      <c r="AG96">
        <f t="shared" si="53"/>
        <v>-1.2131563190135215</v>
      </c>
      <c r="AI96">
        <f t="shared" si="54"/>
        <v>-0.21762873182451101</v>
      </c>
      <c r="AJ96">
        <f t="shared" si="55"/>
        <v>-0.39989202204027302</v>
      </c>
      <c r="AK96" s="33">
        <f t="shared" si="56"/>
        <v>-0.72748823564249043</v>
      </c>
    </row>
    <row r="97" spans="2:42" x14ac:dyDescent="0.2">
      <c r="B97">
        <f>B98*(1+Foglio1!E94)</f>
        <v>358455.08462317364</v>
      </c>
      <c r="C97">
        <f>C98*(1+Foglio1!I94)</f>
        <v>560979.97138769692</v>
      </c>
      <c r="D97" s="13">
        <f>D98*(1+'Historical Var'!D92)</f>
        <v>901451.06350470067</v>
      </c>
      <c r="F97">
        <f t="shared" si="39"/>
        <v>280129.42345872696</v>
      </c>
      <c r="G97">
        <f t="shared" si="40"/>
        <v>418761.59200886841</v>
      </c>
      <c r="H97">
        <f t="shared" si="41"/>
        <v>700802.43529001228</v>
      </c>
      <c r="J97" s="13">
        <f t="shared" si="42"/>
        <v>-5708.8522536988603</v>
      </c>
      <c r="K97" s="13">
        <f t="shared" si="43"/>
        <v>1334.9110360498889</v>
      </c>
      <c r="L97" s="13">
        <f t="shared" si="44"/>
        <v>-5927.4717517447425</v>
      </c>
      <c r="N97" s="39">
        <v>86</v>
      </c>
      <c r="O97" s="32">
        <f t="shared" si="57"/>
        <v>-191371.79346555009</v>
      </c>
      <c r="P97">
        <f t="shared" si="57"/>
        <v>-282256.10716115386</v>
      </c>
      <c r="Q97">
        <f t="shared" si="57"/>
        <v>-443378.76488806988</v>
      </c>
      <c r="S97">
        <f t="shared" si="58"/>
        <v>-131502.30479947466</v>
      </c>
      <c r="T97">
        <f t="shared" si="58"/>
        <v>-182521.98870501685</v>
      </c>
      <c r="U97">
        <f t="shared" si="58"/>
        <v>-348800.34901153279</v>
      </c>
      <c r="W97">
        <f t="shared" si="59"/>
        <v>-91376.853392730074</v>
      </c>
      <c r="X97">
        <f t="shared" si="59"/>
        <v>-167904.64367711259</v>
      </c>
      <c r="Y97" s="33">
        <f t="shared" si="59"/>
        <v>-305454.08823520393</v>
      </c>
      <c r="AA97" s="32">
        <f t="shared" si="48"/>
        <v>-0.27078490885803552</v>
      </c>
      <c r="AB97">
        <f t="shared" si="49"/>
        <v>-0.39938327832003973</v>
      </c>
      <c r="AC97">
        <f t="shared" si="50"/>
        <v>-0.62736663677354876</v>
      </c>
      <c r="AE97">
        <f t="shared" si="51"/>
        <v>-0.46005841754998406</v>
      </c>
      <c r="AF97">
        <f t="shared" si="52"/>
        <v>-0.63854985218511218</v>
      </c>
      <c r="AG97">
        <f t="shared" si="53"/>
        <v>-1.2202716663546187</v>
      </c>
      <c r="AI97">
        <f t="shared" si="54"/>
        <v>-0.21890515761899809</v>
      </c>
      <c r="AJ97">
        <f t="shared" si="55"/>
        <v>-0.40223744990571408</v>
      </c>
      <c r="AK97" s="33">
        <f t="shared" si="56"/>
        <v>-0.73175506540056101</v>
      </c>
    </row>
    <row r="98" spans="2:42" x14ac:dyDescent="0.2">
      <c r="B98">
        <f>B99*(1+Foglio1!E95)</f>
        <v>365760.1620135975</v>
      </c>
      <c r="C98">
        <f>C99*(1+Foglio1!I95)</f>
        <v>559191.70243204606</v>
      </c>
      <c r="D98" s="13">
        <f>D99*(1+'Historical Var'!D93)</f>
        <v>909075.6456200484</v>
      </c>
      <c r="F98">
        <f t="shared" si="39"/>
        <v>301330.86518193403</v>
      </c>
      <c r="G98">
        <f t="shared" si="40"/>
        <v>421538.26300726749</v>
      </c>
      <c r="H98">
        <f t="shared" si="41"/>
        <v>729363.06392878236</v>
      </c>
      <c r="J98" s="13">
        <f t="shared" si="42"/>
        <v>15492.58946950821</v>
      </c>
      <c r="K98" s="13">
        <f t="shared" si="43"/>
        <v>4111.5820344489766</v>
      </c>
      <c r="L98" s="13">
        <f t="shared" si="44"/>
        <v>22633.15688702534</v>
      </c>
      <c r="N98" s="39">
        <v>87</v>
      </c>
      <c r="O98" s="32">
        <f t="shared" si="57"/>
        <v>-192481.2044607618</v>
      </c>
      <c r="P98">
        <f t="shared" si="57"/>
        <v>-283892.38815679925</v>
      </c>
      <c r="Q98">
        <f t="shared" si="57"/>
        <v>-445949.09810124931</v>
      </c>
      <c r="S98">
        <f t="shared" si="58"/>
        <v>-132264.64338761399</v>
      </c>
      <c r="T98">
        <f t="shared" si="58"/>
        <v>-183580.09605443513</v>
      </c>
      <c r="U98">
        <f t="shared" si="58"/>
        <v>-350822.39695976785</v>
      </c>
      <c r="W98">
        <f t="shared" si="59"/>
        <v>-91906.57871967589</v>
      </c>
      <c r="X98">
        <f t="shared" si="59"/>
        <v>-168878.01208459437</v>
      </c>
      <c r="Y98" s="33">
        <f t="shared" si="59"/>
        <v>-307224.85140716279</v>
      </c>
      <c r="AA98" s="32">
        <f t="shared" si="48"/>
        <v>-0.27235468959627468</v>
      </c>
      <c r="AB98">
        <f t="shared" si="49"/>
        <v>-0.40169856309763541</v>
      </c>
      <c r="AC98">
        <f t="shared" si="50"/>
        <v>-0.63100357528084694</v>
      </c>
      <c r="AE98">
        <f t="shared" si="51"/>
        <v>-0.46272544521182979</v>
      </c>
      <c r="AF98">
        <f t="shared" si="52"/>
        <v>-0.64225162146979264</v>
      </c>
      <c r="AG98">
        <f t="shared" si="53"/>
        <v>-1.2273457642625889</v>
      </c>
      <c r="AI98">
        <f t="shared" si="54"/>
        <v>-0.22017418365660377</v>
      </c>
      <c r="AJ98">
        <f t="shared" si="55"/>
        <v>-0.40456928074415821</v>
      </c>
      <c r="AK98" s="33">
        <f t="shared" si="56"/>
        <v>-0.73599715928835963</v>
      </c>
    </row>
    <row r="99" spans="2:42" x14ac:dyDescent="0.2">
      <c r="B99">
        <f>B100*(1+Foglio1!E96)</f>
        <v>346955.01229567471</v>
      </c>
      <c r="C99">
        <f>C100*(1+Foglio1!I96)</f>
        <v>553737.48211731063</v>
      </c>
      <c r="D99" s="13">
        <f>D100*(1+'Historical Var'!D94)</f>
        <v>880865.75574893004</v>
      </c>
      <c r="F99">
        <f t="shared" si="39"/>
        <v>280058.45763735834</v>
      </c>
      <c r="G99">
        <f t="shared" si="40"/>
        <v>415815.25418444013</v>
      </c>
      <c r="H99">
        <f t="shared" si="41"/>
        <v>698220.53582360724</v>
      </c>
      <c r="J99" s="13">
        <f t="shared" si="42"/>
        <v>-5779.8180750674801</v>
      </c>
      <c r="K99" s="13">
        <f t="shared" si="43"/>
        <v>-1611.4267883783905</v>
      </c>
      <c r="L99" s="13">
        <f t="shared" si="44"/>
        <v>-8509.3712181497831</v>
      </c>
      <c r="N99" s="39">
        <v>88</v>
      </c>
      <c r="O99" s="32">
        <f t="shared" si="57"/>
        <v>-193584.2576427898</v>
      </c>
      <c r="P99">
        <f t="shared" si="57"/>
        <v>-285519.29195235251</v>
      </c>
      <c r="Q99">
        <f t="shared" si="57"/>
        <v>-448504.70124733925</v>
      </c>
      <c r="S99">
        <f t="shared" si="58"/>
        <v>-133022.61316532415</v>
      </c>
      <c r="T99">
        <f t="shared" si="58"/>
        <v>-184632.13960163316</v>
      </c>
      <c r="U99">
        <f t="shared" si="58"/>
        <v>-352832.85695443215</v>
      </c>
      <c r="W99">
        <f t="shared" si="59"/>
        <v>-92433.268296406546</v>
      </c>
      <c r="X99">
        <f t="shared" si="59"/>
        <v>-169845.80231183418</v>
      </c>
      <c r="Y99" s="33">
        <f t="shared" si="59"/>
        <v>-308985.46668849449</v>
      </c>
      <c r="AA99" s="32">
        <f t="shared" si="48"/>
        <v>-0.27391547423413609</v>
      </c>
      <c r="AB99">
        <f t="shared" si="49"/>
        <v>-0.40400057943986606</v>
      </c>
      <c r="AC99">
        <f t="shared" si="50"/>
        <v>-0.63461967121880891</v>
      </c>
      <c r="AE99">
        <f t="shared" si="51"/>
        <v>-0.46537718866998279</v>
      </c>
      <c r="AF99">
        <f t="shared" si="52"/>
        <v>-0.64593217665287961</v>
      </c>
      <c r="AG99">
        <f t="shared" si="53"/>
        <v>-1.2343793219261081</v>
      </c>
      <c r="AI99">
        <f t="shared" si="54"/>
        <v>-0.22143593715904686</v>
      </c>
      <c r="AJ99">
        <f t="shared" si="55"/>
        <v>-0.40688774832506214</v>
      </c>
      <c r="AK99" s="33">
        <f t="shared" si="56"/>
        <v>-0.74021494258201148</v>
      </c>
    </row>
    <row r="100" spans="2:42" x14ac:dyDescent="0.2">
      <c r="B100">
        <f>B101*(1+Foglio1!E97)</f>
        <v>354115.4346882684</v>
      </c>
      <c r="C100">
        <f>C101*(1+Foglio1!I97)</f>
        <v>555883.40486409189</v>
      </c>
      <c r="D100" s="13">
        <f>D101*(1+'Historical Var'!D95)</f>
        <v>891601.06547479203</v>
      </c>
      <c r="F100">
        <f t="shared" si="39"/>
        <v>275865.20754741511</v>
      </c>
      <c r="G100">
        <f t="shared" si="40"/>
        <v>416555.64616501017</v>
      </c>
      <c r="H100">
        <f t="shared" si="41"/>
        <v>693663.43410468788</v>
      </c>
      <c r="J100" s="13">
        <f t="shared" si="42"/>
        <v>-9973.0681650107144</v>
      </c>
      <c r="K100" s="13">
        <f t="shared" si="43"/>
        <v>-871.03480780834798</v>
      </c>
      <c r="L100" s="13">
        <f t="shared" si="44"/>
        <v>-13066.472937069135</v>
      </c>
      <c r="N100" s="39">
        <v>89</v>
      </c>
      <c r="O100" s="32">
        <f t="shared" si="57"/>
        <v>-194681.06108082121</v>
      </c>
      <c r="P100">
        <f t="shared" si="57"/>
        <v>-287136.97794010205</v>
      </c>
      <c r="Q100">
        <f t="shared" si="57"/>
        <v>-451045.82470588543</v>
      </c>
      <c r="S100">
        <f t="shared" si="58"/>
        <v>-133776.28839301167</v>
      </c>
      <c r="T100">
        <f t="shared" si="58"/>
        <v>-185678.22241824237</v>
      </c>
      <c r="U100">
        <f t="shared" si="58"/>
        <v>-354831.92596588121</v>
      </c>
      <c r="W100">
        <f t="shared" si="59"/>
        <v>-92956.973724164272</v>
      </c>
      <c r="X100">
        <f t="shared" si="59"/>
        <v>-170808.10917593143</v>
      </c>
      <c r="Y100" s="33">
        <f t="shared" si="59"/>
        <v>-310736.10657157336</v>
      </c>
      <c r="AA100" s="32">
        <f t="shared" si="48"/>
        <v>-0.27546741568603028</v>
      </c>
      <c r="AB100">
        <f t="shared" si="49"/>
        <v>-0.4062895528816734</v>
      </c>
      <c r="AC100">
        <f t="shared" si="50"/>
        <v>-0.63821527886640783</v>
      </c>
      <c r="AE100">
        <f t="shared" si="51"/>
        <v>-0.46801390772312235</v>
      </c>
      <c r="AF100">
        <f t="shared" si="52"/>
        <v>-0.64959187832859799</v>
      </c>
      <c r="AG100">
        <f t="shared" si="53"/>
        <v>-1.2413730284423772</v>
      </c>
      <c r="AI100">
        <f t="shared" si="54"/>
        <v>-0.22269054174382621</v>
      </c>
      <c r="AJ100">
        <f t="shared" si="55"/>
        <v>-0.40919307979514108</v>
      </c>
      <c r="AK100" s="33">
        <f t="shared" si="56"/>
        <v>-0.74440882850947299</v>
      </c>
    </row>
    <row r="101" spans="2:42" x14ac:dyDescent="0.2">
      <c r="B101">
        <f>B102*(1+Foglio1!E98)</f>
        <v>366917.40199623886</v>
      </c>
      <c r="C101">
        <f>C102*(1+Foglio1!I98)</f>
        <v>557045.77968526492</v>
      </c>
      <c r="D101" s="13">
        <f>D102*(1+'Historical Var'!D96)</f>
        <v>908396.0709773167</v>
      </c>
      <c r="F101">
        <f t="shared" si="39"/>
        <v>275362.24319960811</v>
      </c>
      <c r="G101">
        <f t="shared" si="40"/>
        <v>419717.27283096506</v>
      </c>
      <c r="H101">
        <f t="shared" si="41"/>
        <v>695718.06649711879</v>
      </c>
      <c r="J101" s="13">
        <f t="shared" si="42"/>
        <v>-10476.032512817706</v>
      </c>
      <c r="K101" s="13">
        <f t="shared" si="43"/>
        <v>2290.5918581465376</v>
      </c>
      <c r="L101" s="13">
        <f t="shared" si="44"/>
        <v>-11011.840544638224</v>
      </c>
      <c r="N101" s="39">
        <v>90</v>
      </c>
      <c r="O101" s="32">
        <f t="shared" si="57"/>
        <v>-195771.71981672655</v>
      </c>
      <c r="P101">
        <f t="shared" si="57"/>
        <v>-288745.6010473175</v>
      </c>
      <c r="Q101">
        <f t="shared" si="57"/>
        <v>-453572.71184261038</v>
      </c>
      <c r="S101">
        <f t="shared" si="58"/>
        <v>-134525.74125084389</v>
      </c>
      <c r="T101">
        <f t="shared" si="58"/>
        <v>-186718.44468857278</v>
      </c>
      <c r="U101">
        <f t="shared" si="58"/>
        <v>-356819.79544678639</v>
      </c>
      <c r="W101">
        <f t="shared" si="59"/>
        <v>-93477.745158697871</v>
      </c>
      <c r="X101">
        <f t="shared" si="59"/>
        <v>-171765.02483789643</v>
      </c>
      <c r="Y101" s="33">
        <f t="shared" si="59"/>
        <v>-312476.93871678546</v>
      </c>
      <c r="AA101" s="32">
        <f t="shared" si="48"/>
        <v>-0.27701066258281243</v>
      </c>
      <c r="AB101">
        <f t="shared" si="49"/>
        <v>-0.40856570264014169</v>
      </c>
      <c r="AC101">
        <f t="shared" si="50"/>
        <v>-0.64179074257828328</v>
      </c>
      <c r="AE101">
        <f t="shared" si="51"/>
        <v>-0.47063585489224896</v>
      </c>
      <c r="AF101">
        <f t="shared" si="52"/>
        <v>-0.6532310769899311</v>
      </c>
      <c r="AG101">
        <f t="shared" si="53"/>
        <v>-1.2483275536050782</v>
      </c>
      <c r="AI101">
        <f t="shared" si="54"/>
        <v>-0.22393811756557278</v>
      </c>
      <c r="AJ101">
        <f t="shared" si="55"/>
        <v>-0.41148549593810274</v>
      </c>
      <c r="AK101" s="33">
        <f t="shared" si="56"/>
        <v>-0.74857921872304312</v>
      </c>
    </row>
    <row r="102" spans="2:42" x14ac:dyDescent="0.2">
      <c r="B102">
        <f>B103*(1+Foglio1!E99)</f>
        <v>380876.60928685073</v>
      </c>
      <c r="C102">
        <f>C103*(1+Foglio1!I99)</f>
        <v>554005.72246065829</v>
      </c>
      <c r="D102" s="13">
        <f>D103*(1+'Historical Var'!D97)</f>
        <v>922774.18355867162</v>
      </c>
      <c r="F102">
        <f t="shared" si="39"/>
        <v>288910.6257008895</v>
      </c>
      <c r="G102">
        <f t="shared" si="40"/>
        <v>424274.23151371122</v>
      </c>
      <c r="H102">
        <f t="shared" si="41"/>
        <v>716324.74079440557</v>
      </c>
      <c r="J102" s="13">
        <f t="shared" si="42"/>
        <v>3072.349988463684</v>
      </c>
      <c r="K102" s="13">
        <f t="shared" si="43"/>
        <v>6847.5505408926983</v>
      </c>
      <c r="L102" s="13">
        <f t="shared" si="44"/>
        <v>9594.8337526485557</v>
      </c>
      <c r="N102" s="39">
        <v>91</v>
      </c>
      <c r="O102" s="32">
        <f t="shared" si="57"/>
        <v>-196856.33598247051</v>
      </c>
      <c r="P102">
        <f t="shared" si="57"/>
        <v>-290345.31190942036</v>
      </c>
      <c r="Q102">
        <f t="shared" si="57"/>
        <v>-456085.59928143641</v>
      </c>
      <c r="S102">
        <f t="shared" si="58"/>
        <v>-135271.04191942845</v>
      </c>
      <c r="T102">
        <f t="shared" si="58"/>
        <v>-187752.90382159458</v>
      </c>
      <c r="U102">
        <f t="shared" si="58"/>
        <v>-358796.65154613176</v>
      </c>
      <c r="W102">
        <f t="shared" si="59"/>
        <v>-93995.631366324436</v>
      </c>
      <c r="X102">
        <f t="shared" si="59"/>
        <v>-172716.63890566371</v>
      </c>
      <c r="Y102" s="33">
        <f t="shared" si="59"/>
        <v>-314208.12613993161</v>
      </c>
      <c r="AA102" s="32">
        <f t="shared" si="48"/>
        <v>-0.27854535943791509</v>
      </c>
      <c r="AB102">
        <f t="shared" si="49"/>
        <v>-0.4108292418595289</v>
      </c>
      <c r="AC102">
        <f t="shared" si="50"/>
        <v>-0.64534639716964559</v>
      </c>
      <c r="AE102">
        <f t="shared" si="51"/>
        <v>-0.47324327570293978</v>
      </c>
      <c r="AF102">
        <f t="shared" si="52"/>
        <v>-0.65685011342038635</v>
      </c>
      <c r="AG102">
        <f t="shared" si="53"/>
        <v>-1.2552435486530411</v>
      </c>
      <c r="AI102">
        <f t="shared" si="54"/>
        <v>-0.22517878145035278</v>
      </c>
      <c r="AJ102">
        <f t="shared" si="55"/>
        <v>-0.41376521142142914</v>
      </c>
      <c r="AK102" s="33">
        <f t="shared" si="56"/>
        <v>-0.75272650374831174</v>
      </c>
    </row>
    <row r="103" spans="2:42" x14ac:dyDescent="0.2">
      <c r="B103">
        <f>B104*(1+Foglio1!E100)</f>
        <v>376826.26934760582</v>
      </c>
      <c r="C103">
        <f>C104*(1+Foglio1!I100)</f>
        <v>545064.37768240366</v>
      </c>
      <c r="D103" s="13">
        <f>D104*(1+'Historical Var'!D98)</f>
        <v>910414.05640089326</v>
      </c>
      <c r="F103">
        <f t="shared" si="39"/>
        <v>278488.53042762761</v>
      </c>
      <c r="G103">
        <f t="shared" si="40"/>
        <v>416265.83464915783</v>
      </c>
      <c r="H103">
        <f t="shared" si="41"/>
        <v>696661.15835742967</v>
      </c>
      <c r="J103" s="13">
        <f t="shared" si="42"/>
        <v>-7349.7452847982058</v>
      </c>
      <c r="K103" s="13">
        <f t="shared" si="43"/>
        <v>-1160.8463236606913</v>
      </c>
      <c r="L103" s="13">
        <f t="shared" si="44"/>
        <v>-10068.748684327351</v>
      </c>
      <c r="N103" s="39">
        <v>92</v>
      </c>
      <c r="O103" s="32">
        <f t="shared" si="57"/>
        <v>-197935.00891173279</v>
      </c>
      <c r="P103">
        <f t="shared" si="57"/>
        <v>-291936.25703461457</v>
      </c>
      <c r="Q103">
        <f t="shared" si="57"/>
        <v>-458584.71716309333</v>
      </c>
      <c r="S103">
        <f t="shared" si="58"/>
        <v>-136012.25865651423</v>
      </c>
      <c r="T103">
        <f t="shared" si="58"/>
        <v>-188781.69455739681</v>
      </c>
      <c r="U103">
        <f t="shared" si="58"/>
        <v>-360762.67531265778</v>
      </c>
      <c r="W103">
        <f t="shared" si="59"/>
        <v>-94510.679777226484</v>
      </c>
      <c r="X103">
        <f t="shared" si="59"/>
        <v>-173663.03853202524</v>
      </c>
      <c r="Y103" s="33">
        <f t="shared" si="59"/>
        <v>-315929.82739038847</v>
      </c>
      <c r="AA103" s="32">
        <f t="shared" si="48"/>
        <v>-0.28007164680528773</v>
      </c>
      <c r="AB103">
        <f t="shared" si="49"/>
        <v>-0.41308037784421309</v>
      </c>
      <c r="AC103">
        <f t="shared" si="50"/>
        <v>-0.64888256828219659</v>
      </c>
      <c r="AE103">
        <f t="shared" si="51"/>
        <v>-0.47583640895368573</v>
      </c>
      <c r="AF103">
        <f t="shared" si="52"/>
        <v>-0.66044931906643944</v>
      </c>
      <c r="AG103">
        <f t="shared" si="53"/>
        <v>-1.2621216469819856</v>
      </c>
      <c r="AI103">
        <f t="shared" si="54"/>
        <v>-0.22641264702334807</v>
      </c>
      <c r="AJ103">
        <f t="shared" si="55"/>
        <v>-0.41603243503098841</v>
      </c>
      <c r="AK103" s="33">
        <f t="shared" si="56"/>
        <v>-0.75685106341096775</v>
      </c>
    </row>
    <row r="104" spans="2:42" x14ac:dyDescent="0.2">
      <c r="B104">
        <f>B105*(1+Foglio1!E101)</f>
        <v>386771.30044843035</v>
      </c>
      <c r="C104">
        <f>C105*(1+Foglio1!I101)</f>
        <v>546584.40629470686</v>
      </c>
      <c r="D104" s="13">
        <f>D105*(1+'Historical Var'!D99)</f>
        <v>923572.14656081086</v>
      </c>
      <c r="F104">
        <f t="shared" ref="F104:F131" si="60">$B$8*B104/B105</f>
        <v>274963.15513081435</v>
      </c>
      <c r="G104">
        <f t="shared" ref="G104:G131" si="61">$C$8*C104/C105</f>
        <v>408930.97769019863</v>
      </c>
      <c r="H104">
        <f t="shared" ref="H104:H131" si="62">$D$8*D104/D105</f>
        <v>686093.7558394511</v>
      </c>
      <c r="J104" s="13">
        <f t="shared" si="42"/>
        <v>-10875.120581611467</v>
      </c>
      <c r="K104" s="13">
        <f t="shared" si="43"/>
        <v>-8495.7032826198847</v>
      </c>
      <c r="L104" s="13">
        <f t="shared" si="44"/>
        <v>-20636.151202305919</v>
      </c>
      <c r="N104" s="39">
        <v>93</v>
      </c>
      <c r="O104" s="32">
        <f t="shared" si="57"/>
        <v>-199007.83524608315</v>
      </c>
      <c r="P104">
        <f t="shared" si="57"/>
        <v>-293518.57896048512</v>
      </c>
      <c r="Q104">
        <f t="shared" si="57"/>
        <v>-461070.28939110972</v>
      </c>
      <c r="S104">
        <f t="shared" si="58"/>
        <v>-136749.45786995025</v>
      </c>
      <c r="T104">
        <f t="shared" si="58"/>
        <v>-189804.90906845269</v>
      </c>
      <c r="U104">
        <f t="shared" si="58"/>
        <v>-362718.04288837907</v>
      </c>
      <c r="W104">
        <f t="shared" si="59"/>
        <v>-95022.9365361487</v>
      </c>
      <c r="X104">
        <f t="shared" si="59"/>
        <v>-174604.30850778552</v>
      </c>
      <c r="Y104" s="33">
        <f t="shared" si="59"/>
        <v>-317642.19672057766</v>
      </c>
      <c r="AA104" s="32">
        <f t="shared" si="48"/>
        <v>-0.28158966142963127</v>
      </c>
      <c r="AB104">
        <f t="shared" si="49"/>
        <v>-0.41531931228027485</v>
      </c>
      <c r="AC104">
        <f t="shared" si="50"/>
        <v>-0.65239957273220006</v>
      </c>
      <c r="AE104">
        <f t="shared" si="51"/>
        <v>-0.47841548697113673</v>
      </c>
      <c r="AF104">
        <f t="shared" si="52"/>
        <v>-0.66402901639180856</v>
      </c>
      <c r="AG104">
        <f t="shared" si="53"/>
        <v>-1.268962464821541</v>
      </c>
      <c r="AI104">
        <f t="shared" si="54"/>
        <v>-0.22763982483030665</v>
      </c>
      <c r="AJ104">
        <f t="shared" si="55"/>
        <v>-0.4182873698941999</v>
      </c>
      <c r="AK104" s="33">
        <f t="shared" si="56"/>
        <v>-0.76095326724278434</v>
      </c>
    </row>
    <row r="105" spans="2:42" x14ac:dyDescent="0.2">
      <c r="B105">
        <f>B106*(1+Foglio1!E102)</f>
        <v>402068.56646897137</v>
      </c>
      <c r="C105">
        <f>C106*(1+Foglio1!I102)</f>
        <v>557939.91416309029</v>
      </c>
      <c r="D105" s="13">
        <f>D106*(1+'Historical Var'!D100)</f>
        <v>951351.11160815787</v>
      </c>
      <c r="F105">
        <f t="shared" si="60"/>
        <v>275911.61220444093</v>
      </c>
      <c r="G105">
        <f t="shared" si="61"/>
        <v>408907.76911623037</v>
      </c>
      <c r="H105">
        <f t="shared" si="62"/>
        <v>687246.63042474457</v>
      </c>
      <c r="J105" s="13">
        <f t="shared" ref="J105:J131" si="63">F105-$B$8</f>
        <v>-9926.6635079848929</v>
      </c>
      <c r="K105" s="13">
        <f t="shared" ref="K105:K131" si="64">G105-$C$8</f>
        <v>-8518.9118565881508</v>
      </c>
      <c r="L105" s="13">
        <f t="shared" ref="L105:L131" si="65">H105-$D$8</f>
        <v>-19483.276617012452</v>
      </c>
      <c r="N105" s="39">
        <v>94</v>
      </c>
      <c r="O105" s="32">
        <f t="shared" si="57"/>
        <v>-200074.90903603233</v>
      </c>
      <c r="P105">
        <f t="shared" si="57"/>
        <v>-295092.41640303889</v>
      </c>
      <c r="Q105">
        <f t="shared" si="57"/>
        <v>-463542.53386593232</v>
      </c>
      <c r="S105">
        <f t="shared" si="58"/>
        <v>-137482.70418712337</v>
      </c>
      <c r="T105">
        <f t="shared" si="58"/>
        <v>-190822.63705599745</v>
      </c>
      <c r="U105">
        <f t="shared" si="58"/>
        <v>-364662.92569276341</v>
      </c>
      <c r="W105">
        <f t="shared" si="59"/>
        <v>-95532.446550648121</v>
      </c>
      <c r="X105">
        <f t="shared" si="59"/>
        <v>-175540.5313504212</v>
      </c>
      <c r="Y105" s="33">
        <f t="shared" si="59"/>
        <v>-319345.38424725615</v>
      </c>
      <c r="AA105" s="32">
        <f t="shared" si="48"/>
        <v>-0.28309953638938185</v>
      </c>
      <c r="AB105">
        <f t="shared" si="49"/>
        <v>-0.41754624144638525</v>
      </c>
      <c r="AC105">
        <f t="shared" si="50"/>
        <v>-0.65589771884175263</v>
      </c>
      <c r="AE105">
        <f t="shared" si="51"/>
        <v>-0.48098073585302831</v>
      </c>
      <c r="AF105">
        <f t="shared" si="52"/>
        <v>-0.66758951921463083</v>
      </c>
      <c r="AG105">
        <f t="shared" si="53"/>
        <v>-1.2757666018795921</v>
      </c>
      <c r="AI105">
        <f t="shared" si="54"/>
        <v>-0.22886042245313229</v>
      </c>
      <c r="AJ105">
        <f t="shared" si="55"/>
        <v>-0.42053021369243004</v>
      </c>
      <c r="AK105" s="33">
        <f t="shared" si="56"/>
        <v>-0.76503347486801132</v>
      </c>
    </row>
    <row r="106" spans="2:42" x14ac:dyDescent="0.2">
      <c r="B106">
        <f>B107*(1+Foglio1!E103)</f>
        <v>416534.06625198887</v>
      </c>
      <c r="C106">
        <f>C107*(1+Foglio1!I103)</f>
        <v>569563.66237482138</v>
      </c>
      <c r="D106" s="13">
        <f>D107*(1+'Historical Var'!D101)</f>
        <v>978321.68672164867</v>
      </c>
      <c r="F106">
        <f t="shared" si="60"/>
        <v>282115.27503476618</v>
      </c>
      <c r="G106">
        <f t="shared" si="61"/>
        <v>417557.78231734515</v>
      </c>
      <c r="H106">
        <f t="shared" si="62"/>
        <v>702238.36296700232</v>
      </c>
      <c r="J106" s="13">
        <f t="shared" si="63"/>
        <v>-3723.000677659642</v>
      </c>
      <c r="K106" s="13">
        <f t="shared" si="64"/>
        <v>131.10134452662896</v>
      </c>
      <c r="L106" s="13">
        <f t="shared" si="65"/>
        <v>-4491.5440747546963</v>
      </c>
      <c r="N106" s="39">
        <v>95</v>
      </c>
      <c r="O106" s="32">
        <f t="shared" si="57"/>
        <v>-201136.321837258</v>
      </c>
      <c r="P106">
        <f t="shared" si="57"/>
        <v>-296657.90439862956</v>
      </c>
      <c r="Q106">
        <f t="shared" si="57"/>
        <v>-466001.66270786664</v>
      </c>
      <c r="S106">
        <f t="shared" si="58"/>
        <v>-138212.06052108054</v>
      </c>
      <c r="T106">
        <f t="shared" si="58"/>
        <v>-191834.96584180437</v>
      </c>
      <c r="U106">
        <f t="shared" si="58"/>
        <v>-366597.4905981159</v>
      </c>
      <c r="W106">
        <f t="shared" si="59"/>
        <v>-96039.253537040422</v>
      </c>
      <c r="X106">
        <f t="shared" si="59"/>
        <v>-176471.7873885071</v>
      </c>
      <c r="Y106" s="33">
        <f t="shared" si="59"/>
        <v>-321039.53610510513</v>
      </c>
      <c r="AA106" s="32">
        <f t="shared" si="48"/>
        <v>-0.28460140123286715</v>
      </c>
      <c r="AB106">
        <f t="shared" si="49"/>
        <v>-0.4197613564146247</v>
      </c>
      <c r="AC106">
        <f t="shared" si="50"/>
        <v>-0.65937730675423789</v>
      </c>
      <c r="AE106">
        <f t="shared" si="51"/>
        <v>-0.48353237569950908</v>
      </c>
      <c r="AF106">
        <f t="shared" si="52"/>
        <v>-0.67113113302853933</v>
      </c>
      <c r="AG106">
        <f t="shared" si="53"/>
        <v>-1.2825346419558581</v>
      </c>
      <c r="AI106">
        <f t="shared" si="54"/>
        <v>-0.23007454461995491</v>
      </c>
      <c r="AJ106">
        <f t="shared" si="55"/>
        <v>-0.42276115886324567</v>
      </c>
      <c r="AK106" s="33">
        <f t="shared" si="56"/>
        <v>-0.76909203637131718</v>
      </c>
    </row>
    <row r="107" spans="2:42" x14ac:dyDescent="0.2">
      <c r="B107">
        <f>B108*(1+Foglio1!E104)</f>
        <v>422030.95616953546</v>
      </c>
      <c r="C107">
        <f>C108*(1+Foglio1!I104)</f>
        <v>569384.83547925623</v>
      </c>
      <c r="D107" s="13">
        <f>D108*(1+'Historical Var'!D102)</f>
        <v>984579.07054874836</v>
      </c>
      <c r="F107">
        <f t="shared" si="60"/>
        <v>277100.23904004064</v>
      </c>
      <c r="G107">
        <f t="shared" si="61"/>
        <v>410718.95927609829</v>
      </c>
      <c r="H107">
        <f t="shared" si="62"/>
        <v>690249.28951652604</v>
      </c>
      <c r="J107" s="13">
        <f t="shared" si="63"/>
        <v>-8738.0366723851766</v>
      </c>
      <c r="K107" s="13">
        <f t="shared" si="64"/>
        <v>-6707.7216967202257</v>
      </c>
      <c r="L107" s="13">
        <f t="shared" si="65"/>
        <v>-16480.617525230977</v>
      </c>
      <c r="N107" s="39">
        <v>96</v>
      </c>
      <c r="O107" s="32">
        <f t="shared" si="57"/>
        <v>-202192.16280228438</v>
      </c>
      <c r="P107">
        <f t="shared" si="57"/>
        <v>-298215.17443917639</v>
      </c>
      <c r="Q107">
        <f t="shared" si="57"/>
        <v>-468447.88246948412</v>
      </c>
      <c r="S107">
        <f t="shared" si="58"/>
        <v>-138937.58813352705</v>
      </c>
      <c r="T107">
        <f t="shared" si="58"/>
        <v>-192841.98045562481</v>
      </c>
      <c r="U107">
        <f t="shared" si="58"/>
        <v>-368521.90009667748</v>
      </c>
      <c r="W107">
        <f t="shared" si="59"/>
        <v>-96543.40006417541</v>
      </c>
      <c r="X107">
        <f t="shared" si="59"/>
        <v>-177398.15484215363</v>
      </c>
      <c r="Y107" s="33">
        <f t="shared" si="59"/>
        <v>-322724.79459306283</v>
      </c>
      <c r="AA107" s="32">
        <f t="shared" si="48"/>
        <v>-0.28609538210803054</v>
      </c>
      <c r="AB107">
        <f t="shared" si="49"/>
        <v>-0.42196484324181344</v>
      </c>
      <c r="AC107">
        <f t="shared" si="50"/>
        <v>-0.66283862873487531</v>
      </c>
      <c r="AE107">
        <f t="shared" si="51"/>
        <v>-0.4860706208335388</v>
      </c>
      <c r="AF107">
        <f t="shared" si="52"/>
        <v>-0.67465415530857009</v>
      </c>
      <c r="AG107">
        <f t="shared" si="53"/>
        <v>-1.2892671535264837</v>
      </c>
      <c r="AI107">
        <f t="shared" si="54"/>
        <v>-0.23128229331000047</v>
      </c>
      <c r="AJ107">
        <f t="shared" si="55"/>
        <v>-0.42498039279311239</v>
      </c>
      <c r="AK107" s="33">
        <f t="shared" si="56"/>
        <v>-0.77312929264834807</v>
      </c>
    </row>
    <row r="108" spans="2:42" x14ac:dyDescent="0.2">
      <c r="B108">
        <f>B109*(1+Foglio1!E105)</f>
        <v>435339.21596991154</v>
      </c>
      <c r="C108">
        <f>C109*(1+Foglio1!I105)</f>
        <v>578683.83404864115</v>
      </c>
      <c r="D108" s="13">
        <f>D109*(1+'Historical Var'!D103)</f>
        <v>1008087.202076746</v>
      </c>
      <c r="F108">
        <f t="shared" si="60"/>
        <v>292197.78897980484</v>
      </c>
      <c r="G108">
        <f t="shared" si="61"/>
        <v>426858.18916986597</v>
      </c>
      <c r="H108">
        <f t="shared" si="62"/>
        <v>722575.86861530773</v>
      </c>
      <c r="J108" s="13">
        <f t="shared" si="63"/>
        <v>6359.5132673790213</v>
      </c>
      <c r="K108" s="13">
        <f t="shared" si="64"/>
        <v>9431.5081970474566</v>
      </c>
      <c r="L108" s="13">
        <f t="shared" si="65"/>
        <v>15845.96157355071</v>
      </c>
      <c r="N108" s="39">
        <v>97</v>
      </c>
      <c r="O108" s="32">
        <f t="shared" si="57"/>
        <v>-203242.51876787469</v>
      </c>
      <c r="P108">
        <f t="shared" si="57"/>
        <v>-299764.35460106051</v>
      </c>
      <c r="Q108">
        <f t="shared" si="57"/>
        <v>-470881.3943380976</v>
      </c>
      <c r="S108">
        <f t="shared" si="58"/>
        <v>-139659.34669487883</v>
      </c>
      <c r="T108">
        <f t="shared" si="58"/>
        <v>-193843.76371853935</v>
      </c>
      <c r="U108">
        <f t="shared" si="58"/>
        <v>-370436.31245990907</v>
      </c>
      <c r="W108">
        <f t="shared" si="59"/>
        <v>-97044.927595165515</v>
      </c>
      <c r="X108">
        <f t="shared" si="59"/>
        <v>-178319.70989968264</v>
      </c>
      <c r="Y108" s="33">
        <f t="shared" si="59"/>
        <v>-324401.29831381392</v>
      </c>
      <c r="AA108" s="32">
        <f t="shared" si="48"/>
        <v>-0.28758160188608822</v>
      </c>
      <c r="AB108">
        <f t="shared" si="49"/>
        <v>-0.42415688315189548</v>
      </c>
      <c r="AC108">
        <f t="shared" si="50"/>
        <v>-0.66628196945721674</v>
      </c>
      <c r="AE108">
        <f t="shared" si="51"/>
        <v>-0.48859568001098053</v>
      </c>
      <c r="AF108">
        <f t="shared" si="52"/>
        <v>-0.67815887580276457</v>
      </c>
      <c r="AG108">
        <f t="shared" si="53"/>
        <v>-1.2959646903012914</v>
      </c>
      <c r="AI108">
        <f t="shared" si="54"/>
        <v>-0.23248376785355693</v>
      </c>
      <c r="AJ108">
        <f t="shared" si="55"/>
        <v>-0.42718809800108165</v>
      </c>
      <c r="AK108" s="33">
        <f t="shared" si="56"/>
        <v>-0.77714557573989362</v>
      </c>
      <c r="AM108" s="113" t="s">
        <v>119</v>
      </c>
      <c r="AN108" s="114" t="s">
        <v>111</v>
      </c>
      <c r="AO108" s="115" t="s">
        <v>112</v>
      </c>
      <c r="AP108" s="116" t="s">
        <v>12</v>
      </c>
    </row>
    <row r="109" spans="2:42" x14ac:dyDescent="0.2">
      <c r="B109">
        <f>B110*(1+Foglio1!E106)</f>
        <v>425864.31361203513</v>
      </c>
      <c r="C109">
        <f>C110*(1+Foglio1!I106)</f>
        <v>565897.71101573692</v>
      </c>
      <c r="D109" s="13">
        <f>D110*(1+'Historical Var'!D104)</f>
        <v>985980.0272308602</v>
      </c>
      <c r="F109">
        <f t="shared" si="60"/>
        <v>293925.2126082367</v>
      </c>
      <c r="G109">
        <f t="shared" si="61"/>
        <v>427560.03623190941</v>
      </c>
      <c r="H109">
        <f t="shared" si="62"/>
        <v>725305.516120121</v>
      </c>
      <c r="J109" s="13">
        <f t="shared" si="63"/>
        <v>8086.9368958108826</v>
      </c>
      <c r="K109" s="13">
        <f t="shared" si="64"/>
        <v>10133.355259090895</v>
      </c>
      <c r="L109" s="13">
        <f t="shared" si="65"/>
        <v>18575.609078363981</v>
      </c>
      <c r="N109" s="39">
        <v>98</v>
      </c>
      <c r="O109" s="32">
        <f t="shared" si="57"/>
        <v>-204287.47433838018</v>
      </c>
      <c r="P109">
        <f t="shared" si="57"/>
        <v>-301305.56966805697</v>
      </c>
      <c r="Q109">
        <f t="shared" si="57"/>
        <v>-473302.39432886703</v>
      </c>
      <c r="S109">
        <f t="shared" si="58"/>
        <v>-140377.3943415361</v>
      </c>
      <c r="T109">
        <f t="shared" si="58"/>
        <v>-194840.3963224522</v>
      </c>
      <c r="U109">
        <f t="shared" si="58"/>
        <v>-372340.88189040596</v>
      </c>
      <c r="W109">
        <f t="shared" si="59"/>
        <v>-97543.876527183471</v>
      </c>
      <c r="X109">
        <f t="shared" si="59"/>
        <v>-179236.52679075557</v>
      </c>
      <c r="Y109" s="33">
        <f t="shared" si="59"/>
        <v>-326069.18230682518</v>
      </c>
      <c r="AA109" s="32">
        <f t="shared" si="48"/>
        <v>-0.28906018027946551</v>
      </c>
      <c r="AB109">
        <f t="shared" si="49"/>
        <v>-0.42633765270988366</v>
      </c>
      <c r="AC109">
        <f t="shared" si="50"/>
        <v>-0.66970760627638481</v>
      </c>
      <c r="AE109">
        <f t="shared" si="51"/>
        <v>-0.49110775662097128</v>
      </c>
      <c r="AF109">
        <f t="shared" si="52"/>
        <v>-0.68164557681027949</v>
      </c>
      <c r="AG109">
        <f t="shared" si="53"/>
        <v>-1.3026277917552513</v>
      </c>
      <c r="AI109">
        <f t="shared" si="54"/>
        <v>-0.23367906502731486</v>
      </c>
      <c r="AJ109">
        <f t="shared" si="55"/>
        <v>-0.42938445231397865</v>
      </c>
      <c r="AK109" s="33">
        <f t="shared" si="56"/>
        <v>-0.78114120915059038</v>
      </c>
      <c r="AM109" s="117">
        <v>0.95</v>
      </c>
      <c r="AN109" s="112">
        <f>AE111</f>
        <v>-0.496093750000002</v>
      </c>
      <c r="AO109" s="112">
        <f>AI111</f>
        <v>-0.2360515021459236</v>
      </c>
      <c r="AP109" s="112">
        <f>AA111</f>
        <v>-0.29199487663802282</v>
      </c>
    </row>
    <row r="110" spans="2:42" x14ac:dyDescent="0.2">
      <c r="B110">
        <f>B111*(1+Foglio1!E107)</f>
        <v>414147.2587877909</v>
      </c>
      <c r="C110">
        <f>C111*(1+Foglio1!I107)</f>
        <v>552485.69384835497</v>
      </c>
      <c r="D110" s="13">
        <f>D111*(1+'Historical Var'!D105)</f>
        <v>960728.35171226144</v>
      </c>
      <c r="F110">
        <f t="shared" si="60"/>
        <v>277785.12673614227</v>
      </c>
      <c r="G110">
        <f t="shared" si="61"/>
        <v>427599.38026045181</v>
      </c>
      <c r="H110">
        <f t="shared" si="62"/>
        <v>705385.78857985104</v>
      </c>
      <c r="J110" s="13">
        <f t="shared" si="63"/>
        <v>-8053.1489762835554</v>
      </c>
      <c r="K110" s="13">
        <f t="shared" si="64"/>
        <v>10172.699287633295</v>
      </c>
      <c r="L110" s="13">
        <f t="shared" si="65"/>
        <v>-1344.1184619059786</v>
      </c>
      <c r="N110" s="39">
        <v>99</v>
      </c>
      <c r="O110" s="32">
        <f t="shared" si="57"/>
        <v>-205327.1119652706</v>
      </c>
      <c r="P110">
        <f t="shared" si="57"/>
        <v>-302838.94124863518</v>
      </c>
      <c r="Q110">
        <f t="shared" si="57"/>
        <v>-475711.07346906024</v>
      </c>
      <c r="S110">
        <f t="shared" si="58"/>
        <v>-141091.78773053343</v>
      </c>
      <c r="T110">
        <f t="shared" si="58"/>
        <v>-195831.95690594416</v>
      </c>
      <c r="U110">
        <f t="shared" si="58"/>
        <v>-374235.75866685307</v>
      </c>
      <c r="W110">
        <f t="shared" si="59"/>
        <v>-98040.286229436868</v>
      </c>
      <c r="X110">
        <f t="shared" si="59"/>
        <v>-180148.67785615163</v>
      </c>
      <c r="Y110" s="33">
        <f t="shared" si="59"/>
        <v>-327728.57817528682</v>
      </c>
      <c r="AA110" s="32">
        <f t="shared" si="48"/>
        <v>-0.29053123395433</v>
      </c>
      <c r="AB110">
        <f t="shared" si="49"/>
        <v>-0.4285073239878357</v>
      </c>
      <c r="AC110">
        <f t="shared" si="50"/>
        <v>-0.67311580948979555</v>
      </c>
      <c r="AE110">
        <f t="shared" si="51"/>
        <v>-0.49360704887711421</v>
      </c>
      <c r="AF110">
        <f t="shared" si="52"/>
        <v>-0.68511453344675721</v>
      </c>
      <c r="AG110">
        <f t="shared" si="53"/>
        <v>-1.3092569836356052</v>
      </c>
      <c r="AI110">
        <f t="shared" si="54"/>
        <v>-0.23486827914534034</v>
      </c>
      <c r="AJ110">
        <f t="shared" si="55"/>
        <v>-0.43156962903356511</v>
      </c>
      <c r="AK110" s="33">
        <f t="shared" si="56"/>
        <v>-0.78511650815302692</v>
      </c>
      <c r="AM110" s="117">
        <v>0.99</v>
      </c>
      <c r="AN110" s="112">
        <f>AF111</f>
        <v>-0.68856601389766325</v>
      </c>
      <c r="AO110" s="112">
        <f>AJ111</f>
        <v>-0.43374379709612287</v>
      </c>
      <c r="AP110" s="112">
        <f>AB111</f>
        <v>-0.43066606472330571</v>
      </c>
    </row>
    <row r="111" spans="2:42" x14ac:dyDescent="0.2">
      <c r="B111">
        <f>B112*(1+Foglio1!E108)</f>
        <v>426153.62360769545</v>
      </c>
      <c r="C111">
        <f>C112*(1+Foglio1!I108)</f>
        <v>539341.91702432069</v>
      </c>
      <c r="D111" s="13">
        <f>D112*(1+'Historical Var'!D106)</f>
        <v>962559.02754287713</v>
      </c>
      <c r="F111">
        <f t="shared" si="60"/>
        <v>294536.39742875355</v>
      </c>
      <c r="G111">
        <f t="shared" si="61"/>
        <v>419652.95660467353</v>
      </c>
      <c r="H111">
        <f t="shared" si="62"/>
        <v>719367.49352920114</v>
      </c>
      <c r="J111" s="13">
        <f t="shared" si="63"/>
        <v>8698.1217163277324</v>
      </c>
      <c r="K111" s="13">
        <f t="shared" si="64"/>
        <v>2226.2756318550091</v>
      </c>
      <c r="L111" s="13">
        <f t="shared" si="65"/>
        <v>12637.586487444118</v>
      </c>
      <c r="N111" s="39">
        <v>100</v>
      </c>
      <c r="O111" s="34">
        <f t="shared" si="57"/>
        <v>-206361.51202305919</v>
      </c>
      <c r="P111" s="35">
        <f t="shared" si="57"/>
        <v>-304364.58788794116</v>
      </c>
      <c r="Q111" s="35">
        <f t="shared" si="57"/>
        <v>-478107.61797395884</v>
      </c>
      <c r="R111" s="35"/>
      <c r="S111" s="35">
        <f t="shared" si="58"/>
        <v>-141802.58209171181</v>
      </c>
      <c r="T111" s="35">
        <f t="shared" si="58"/>
        <v>-196818.52212668629</v>
      </c>
      <c r="U111" s="35">
        <f t="shared" si="58"/>
        <v>-376121.08928240777</v>
      </c>
      <c r="V111" s="35"/>
      <c r="W111" s="35">
        <f t="shared" si="59"/>
        <v>-98534.195079421042</v>
      </c>
      <c r="X111" s="35">
        <f t="shared" si="59"/>
        <v>-181056.23361438222</v>
      </c>
      <c r="Y111" s="36">
        <f t="shared" si="59"/>
        <v>-329379.61420729815</v>
      </c>
      <c r="AA111" s="34">
        <f t="shared" si="48"/>
        <v>-0.29199487663802282</v>
      </c>
      <c r="AB111" s="35">
        <f t="shared" si="49"/>
        <v>-0.43066606472330571</v>
      </c>
      <c r="AC111" s="35">
        <f t="shared" si="50"/>
        <v>-0.6765068425860602</v>
      </c>
      <c r="AD111" s="35"/>
      <c r="AE111" s="35">
        <f t="shared" si="51"/>
        <v>-0.496093750000002</v>
      </c>
      <c r="AF111" s="35">
        <f t="shared" si="52"/>
        <v>-0.68856601389766325</v>
      </c>
      <c r="AG111" s="35">
        <f t="shared" si="53"/>
        <v>-1.3158527784459946</v>
      </c>
      <c r="AH111" s="35"/>
      <c r="AI111" s="35">
        <f t="shared" si="54"/>
        <v>-0.2360515021459236</v>
      </c>
      <c r="AJ111" s="35">
        <f t="shared" si="55"/>
        <v>-0.43374379709612287</v>
      </c>
      <c r="AK111" s="36">
        <f t="shared" si="56"/>
        <v>-0.78907178007805945</v>
      </c>
      <c r="AM111" s="118">
        <v>0.995</v>
      </c>
      <c r="AN111" s="112">
        <f>AG111</f>
        <v>-1.3158527784459946</v>
      </c>
      <c r="AO111" s="112">
        <f>AK111</f>
        <v>-0.78907178007805945</v>
      </c>
      <c r="AP111" s="112">
        <f>AC111</f>
        <v>-0.6765068425860602</v>
      </c>
    </row>
    <row r="112" spans="2:42" x14ac:dyDescent="0.2">
      <c r="B112">
        <f>B113*(1+Foglio1!E109)</f>
        <v>413568.63879647024</v>
      </c>
      <c r="C112">
        <f>C113*(1+Foglio1!I109)</f>
        <v>536480.6866952792</v>
      </c>
      <c r="D112" s="13">
        <f>D113*(1+'Historical Var'!D107)</f>
        <v>945649.14063630474</v>
      </c>
      <c r="F112">
        <f t="shared" si="60"/>
        <v>270018.71146929631</v>
      </c>
      <c r="G112">
        <f t="shared" si="61"/>
        <v>408707.58580889541</v>
      </c>
      <c r="H112">
        <f t="shared" si="62"/>
        <v>679792.12426619988</v>
      </c>
      <c r="J112" s="13">
        <f t="shared" si="63"/>
        <v>-15819.564243129513</v>
      </c>
      <c r="K112" s="13">
        <f t="shared" si="64"/>
        <v>-8719.0951639231062</v>
      </c>
      <c r="L112" s="13">
        <f t="shared" si="65"/>
        <v>-26937.782775557134</v>
      </c>
    </row>
    <row r="113" spans="2:34" x14ac:dyDescent="0.2">
      <c r="B113">
        <f>B114*(1+Foglio1!E110)</f>
        <v>437798.3509330246</v>
      </c>
      <c r="C113">
        <f>C114*(1+Foglio1!I110)</f>
        <v>547925.60801144515</v>
      </c>
      <c r="D113" s="13">
        <f>D114*(1+'Historical Var'!D108)</f>
        <v>983121.90653492499</v>
      </c>
      <c r="F113">
        <f t="shared" si="60"/>
        <v>277717.34877805994</v>
      </c>
      <c r="G113">
        <f t="shared" si="61"/>
        <v>418519.42097536515</v>
      </c>
      <c r="H113">
        <f t="shared" si="62"/>
        <v>697615.52455416298</v>
      </c>
      <c r="J113" s="13">
        <f t="shared" si="63"/>
        <v>-8120.9269343658816</v>
      </c>
      <c r="K113" s="13">
        <f t="shared" si="64"/>
        <v>1092.7400025466341</v>
      </c>
      <c r="L113" s="13">
        <f t="shared" si="65"/>
        <v>-9114.3824875940336</v>
      </c>
      <c r="AE113" s="15" t="s">
        <v>47</v>
      </c>
    </row>
    <row r="114" spans="2:34" x14ac:dyDescent="0.2">
      <c r="B114">
        <f>B115*(1+Foglio1!E111)</f>
        <v>450600.31824099505</v>
      </c>
      <c r="C114">
        <f>C115*(1+Foglio1!I111)</f>
        <v>546494.99284692446</v>
      </c>
      <c r="D114" s="13">
        <f>D115*(1+'Historical Var'!D109)</f>
        <v>995966.44449703326</v>
      </c>
      <c r="F114">
        <f t="shared" si="60"/>
        <v>294829.87710073061</v>
      </c>
      <c r="G114">
        <f t="shared" si="61"/>
        <v>413636.81486800697</v>
      </c>
      <c r="H114">
        <f t="shared" si="62"/>
        <v>714637.44988334284</v>
      </c>
      <c r="J114" s="13">
        <f t="shared" si="63"/>
        <v>8991.6013883047854</v>
      </c>
      <c r="K114" s="13">
        <f t="shared" si="64"/>
        <v>-3789.8661048115464</v>
      </c>
      <c r="L114" s="13">
        <f t="shared" si="65"/>
        <v>7907.5428415858187</v>
      </c>
    </row>
    <row r="115" spans="2:34" ht="29" x14ac:dyDescent="0.35">
      <c r="B115">
        <f>B116*(1+Foglio1!E112)</f>
        <v>436858.09344712843</v>
      </c>
      <c r="C115">
        <f>C116*(1+Foglio1!I112)</f>
        <v>551502.14592274697</v>
      </c>
      <c r="D115" s="13">
        <f>D116*(1+'Historical Var'!D110)</f>
        <v>984945.9650498284</v>
      </c>
      <c r="F115">
        <f t="shared" si="60"/>
        <v>275133.57534709992</v>
      </c>
      <c r="G115">
        <f t="shared" si="61"/>
        <v>420631.88502537896</v>
      </c>
      <c r="H115">
        <f t="shared" si="62"/>
        <v>696209.62625018612</v>
      </c>
      <c r="J115" s="13">
        <f t="shared" si="63"/>
        <v>-10704.700365325902</v>
      </c>
      <c r="K115" s="13">
        <f t="shared" si="64"/>
        <v>3205.2040525604389</v>
      </c>
      <c r="L115" s="13">
        <f t="shared" si="65"/>
        <v>-10520.280791570898</v>
      </c>
      <c r="AC115" s="80" t="s">
        <v>48</v>
      </c>
      <c r="AF115" s="2">
        <f>AA111*-1</f>
        <v>0.29199487663802282</v>
      </c>
      <c r="AG115" s="96" t="s">
        <v>49</v>
      </c>
      <c r="AH115">
        <f>ABS(0.5*AI111+0.5*AE111)</f>
        <v>0.36607262607296281</v>
      </c>
    </row>
    <row r="116" spans="2:34" x14ac:dyDescent="0.2">
      <c r="B116">
        <f>B117*(1+Foglio1!E113)</f>
        <v>453855.05569217401</v>
      </c>
      <c r="C116">
        <f>C117*(1+Foglio1!I113)</f>
        <v>547299.71387696732</v>
      </c>
      <c r="D116" s="13">
        <f>D117*(1+'Historical Var'!D111)</f>
        <v>999829.28140478686</v>
      </c>
      <c r="F116">
        <f t="shared" si="60"/>
        <v>278126.09398286126</v>
      </c>
      <c r="G116">
        <f t="shared" si="61"/>
        <v>418795.06871572242</v>
      </c>
      <c r="H116">
        <f t="shared" si="62"/>
        <v>698354.17664821423</v>
      </c>
      <c r="J116" s="13">
        <f t="shared" si="63"/>
        <v>-7712.1817295645596</v>
      </c>
      <c r="K116" s="13">
        <f t="shared" si="64"/>
        <v>1368.3877429038985</v>
      </c>
      <c r="L116" s="13">
        <f t="shared" si="65"/>
        <v>-8375.7303935427917</v>
      </c>
      <c r="AF116">
        <f>ABS(AB111)</f>
        <v>0.43066606472330571</v>
      </c>
      <c r="AG116" s="96" t="s">
        <v>49</v>
      </c>
      <c r="AH116" s="2">
        <f>ABS(0.5*AJ111+0.5*AF111)</f>
        <v>0.56115490549689306</v>
      </c>
    </row>
    <row r="117" spans="2:34" x14ac:dyDescent="0.2">
      <c r="B117">
        <f>B118*(1+Foglio1!E114)</f>
        <v>466440.04050339921</v>
      </c>
      <c r="C117">
        <f>C118*(1+Foglio1!I114)</f>
        <v>545511.44492131635</v>
      </c>
      <c r="D117" s="13">
        <f>D118*(1+'Historical Var'!D112)</f>
        <v>1011820.7619180259</v>
      </c>
      <c r="F117">
        <f t="shared" si="60"/>
        <v>282379.14216749906</v>
      </c>
      <c r="G117">
        <f t="shared" si="61"/>
        <v>411557.88309876632</v>
      </c>
      <c r="H117">
        <f t="shared" si="62"/>
        <v>697485.46089823334</v>
      </c>
      <c r="J117" s="13">
        <f t="shared" si="63"/>
        <v>-3459.1335449267644</v>
      </c>
      <c r="K117" s="13">
        <f t="shared" si="64"/>
        <v>-5868.7978740521939</v>
      </c>
      <c r="L117" s="13">
        <f t="shared" si="65"/>
        <v>-9244.4461435236735</v>
      </c>
      <c r="AF117">
        <f>ABS(AC111)</f>
        <v>0.6765068425860602</v>
      </c>
      <c r="AG117" s="96" t="s">
        <v>49</v>
      </c>
      <c r="AH117">
        <f>ABS(0.5*AK111+0.5*AG111)</f>
        <v>1.0524622792620271</v>
      </c>
    </row>
    <row r="118" spans="2:34" x14ac:dyDescent="0.2">
      <c r="B118">
        <f>B119*(1+Foglio1!E115)</f>
        <v>472153.91291769117</v>
      </c>
      <c r="C118">
        <f>C119*(1+Foglio1!I115)</f>
        <v>553290.41487839783</v>
      </c>
      <c r="D118" s="13">
        <f>D119*(1+'Historical Var'!D113)</f>
        <v>1025231.39635391</v>
      </c>
      <c r="F118">
        <f t="shared" si="60"/>
        <v>296984.28519030969</v>
      </c>
      <c r="G118">
        <f t="shared" si="61"/>
        <v>420279.25510247325</v>
      </c>
      <c r="H118">
        <f t="shared" si="62"/>
        <v>722923.85396685917</v>
      </c>
      <c r="J118" s="13">
        <f t="shared" si="63"/>
        <v>11146.009477883868</v>
      </c>
      <c r="K118" s="13">
        <f t="shared" si="64"/>
        <v>2852.5741296547349</v>
      </c>
      <c r="L118" s="13">
        <f t="shared" si="65"/>
        <v>16193.946925102151</v>
      </c>
    </row>
    <row r="119" spans="2:34" x14ac:dyDescent="0.2">
      <c r="B119">
        <f>B120*(1+Foglio1!E116)</f>
        <v>454433.67568349477</v>
      </c>
      <c r="C119">
        <f>C120*(1+Foglio1!I116)</f>
        <v>549535.05007153098</v>
      </c>
      <c r="D119" s="13">
        <f>D120*(1+'Historical Var'!D114)</f>
        <v>1002265.5712156171</v>
      </c>
      <c r="F119">
        <f t="shared" si="60"/>
        <v>287071.91277192638</v>
      </c>
      <c r="G119">
        <f t="shared" si="61"/>
        <v>419542.82604398084</v>
      </c>
      <c r="H119">
        <f t="shared" si="62"/>
        <v>710046.36363661231</v>
      </c>
      <c r="J119" s="13">
        <f t="shared" si="63"/>
        <v>1233.6370595005574</v>
      </c>
      <c r="K119" s="13">
        <f t="shared" si="64"/>
        <v>2116.1450711623183</v>
      </c>
      <c r="L119" s="13">
        <f t="shared" si="65"/>
        <v>3316.4565948552918</v>
      </c>
    </row>
    <row r="120" spans="2:34" x14ac:dyDescent="0.2">
      <c r="B120">
        <f>B121*(1+Foglio1!E117)</f>
        <v>452480.83321278746</v>
      </c>
      <c r="C120">
        <f>C121*(1+Foglio1!I117)</f>
        <v>546763.233190272</v>
      </c>
      <c r="D120" s="13">
        <f>D121*(1+'Historical Var'!D115)</f>
        <v>997584.22865309741</v>
      </c>
      <c r="F120">
        <f t="shared" si="60"/>
        <v>292142.50169203337</v>
      </c>
      <c r="G120">
        <f t="shared" si="61"/>
        <v>416745.16802429146</v>
      </c>
      <c r="H120">
        <f t="shared" si="62"/>
        <v>713946.52636533196</v>
      </c>
      <c r="J120" s="13">
        <f t="shared" si="63"/>
        <v>6304.2259796075523</v>
      </c>
      <c r="K120" s="13">
        <f t="shared" si="64"/>
        <v>-681.51294852705905</v>
      </c>
      <c r="L120" s="13">
        <f t="shared" si="65"/>
        <v>7216.6193235749379</v>
      </c>
    </row>
    <row r="121" spans="2:34" x14ac:dyDescent="0.2">
      <c r="B121">
        <f>B122*(1+Foglio1!E118)</f>
        <v>442716.6208592506</v>
      </c>
      <c r="C121">
        <f>C122*(1+Foglio1!I118)</f>
        <v>547657.36766809749</v>
      </c>
      <c r="D121" s="13">
        <f>D122*(1+'Historical Var'!D116)</f>
        <v>987500.58043081069</v>
      </c>
      <c r="F121">
        <f t="shared" si="60"/>
        <v>275573.48962604481</v>
      </c>
      <c r="G121">
        <f t="shared" si="61"/>
        <v>411845.75079872966</v>
      </c>
      <c r="H121">
        <f t="shared" si="62"/>
        <v>689315.72435950651</v>
      </c>
      <c r="J121" s="13">
        <f t="shared" si="63"/>
        <v>-10264.786086381006</v>
      </c>
      <c r="K121" s="13">
        <f t="shared" si="64"/>
        <v>-5580.9301740888623</v>
      </c>
      <c r="L121" s="13">
        <f t="shared" si="65"/>
        <v>-17414.18268225051</v>
      </c>
    </row>
    <row r="122" spans="2:34" x14ac:dyDescent="0.2">
      <c r="B122">
        <f>B123*(1+Foglio1!E119)</f>
        <v>459207.29061189055</v>
      </c>
      <c r="C122">
        <f>C123*(1+Foglio1!I119)</f>
        <v>555078.6838340488</v>
      </c>
      <c r="D122" s="13">
        <f>D123*(1+'Historical Var'!D117)</f>
        <v>1012447.8069320328</v>
      </c>
      <c r="F122">
        <f t="shared" si="60"/>
        <v>288381.88661976659</v>
      </c>
      <c r="G122">
        <f t="shared" si="61"/>
        <v>415819.1327790849</v>
      </c>
      <c r="H122">
        <f t="shared" si="62"/>
        <v>708513.58211461117</v>
      </c>
      <c r="J122" s="13">
        <f t="shared" si="63"/>
        <v>2543.6109073407715</v>
      </c>
      <c r="K122" s="13">
        <f t="shared" si="64"/>
        <v>-1607.5481937336153</v>
      </c>
      <c r="L122" s="13">
        <f t="shared" si="65"/>
        <v>1783.6750728541519</v>
      </c>
    </row>
    <row r="123" spans="2:34" x14ac:dyDescent="0.2">
      <c r="B123">
        <f>B124*(1+Foglio1!E120)</f>
        <v>455156.9506726457</v>
      </c>
      <c r="C123">
        <f>C124*(1+Foglio1!I120)</f>
        <v>557224.60658082995</v>
      </c>
      <c r="D123" s="13">
        <f>D124*(1+'Historical Var'!D118)</f>
        <v>1009898.980824281</v>
      </c>
      <c r="F123">
        <f t="shared" si="60"/>
        <v>297466.55681466771</v>
      </c>
      <c r="G123">
        <f t="shared" si="61"/>
        <v>421757.9565211747</v>
      </c>
      <c r="H123">
        <f t="shared" si="62"/>
        <v>724771.82560274331</v>
      </c>
      <c r="J123" s="13">
        <f t="shared" si="63"/>
        <v>11628.28110224189</v>
      </c>
      <c r="K123" s="13">
        <f t="shared" si="64"/>
        <v>4331.2755483561778</v>
      </c>
      <c r="L123" s="13">
        <f t="shared" si="65"/>
        <v>18041.918560986291</v>
      </c>
    </row>
    <row r="124" spans="2:34" x14ac:dyDescent="0.2">
      <c r="B124">
        <f>B125*(1+Foglio1!E121)</f>
        <v>437364.38593953417</v>
      </c>
      <c r="C124">
        <f>C125*(1+Foglio1!I121)</f>
        <v>551502.14592274686</v>
      </c>
      <c r="D124" s="13">
        <f>D125*(1+'Historical Var'!D119)</f>
        <v>984759.32373054395</v>
      </c>
      <c r="F124">
        <f t="shared" si="60"/>
        <v>281371.3256117595</v>
      </c>
      <c r="G124">
        <f t="shared" si="61"/>
        <v>420631.8850253789</v>
      </c>
      <c r="H124">
        <f t="shared" si="62"/>
        <v>703920.98795236729</v>
      </c>
      <c r="J124" s="13">
        <f t="shared" si="63"/>
        <v>-4466.9501006663195</v>
      </c>
      <c r="K124" s="13">
        <f t="shared" si="64"/>
        <v>3205.2040525603807</v>
      </c>
      <c r="L124" s="13">
        <f t="shared" si="65"/>
        <v>-2808.9190893897321</v>
      </c>
    </row>
    <row r="125" spans="2:34" x14ac:dyDescent="0.2">
      <c r="B125">
        <f>B126*(1+Foglio1!E122)</f>
        <v>444307.82583538262</v>
      </c>
      <c r="C125">
        <f>C126*(1+Foglio1!I122)</f>
        <v>547299.7138769672</v>
      </c>
      <c r="D125" s="13">
        <f>D126*(1+'Historical Var'!D120)</f>
        <v>988688.89723413775</v>
      </c>
      <c r="F125">
        <f t="shared" si="60"/>
        <v>277964.94027250778</v>
      </c>
      <c r="G125">
        <f t="shared" si="61"/>
        <v>421837.33106069377</v>
      </c>
      <c r="H125">
        <f t="shared" si="62"/>
        <v>700730.32362258097</v>
      </c>
      <c r="J125" s="13">
        <f t="shared" si="63"/>
        <v>-7873.3354399180389</v>
      </c>
      <c r="K125" s="13">
        <f t="shared" si="64"/>
        <v>4410.6500878752558</v>
      </c>
      <c r="L125" s="13">
        <f t="shared" si="65"/>
        <v>-5999.5834191760514</v>
      </c>
    </row>
    <row r="126" spans="2:34" x14ac:dyDescent="0.2">
      <c r="B126">
        <f>B127*(1+Foglio1!E123)</f>
        <v>456892.81064660789</v>
      </c>
      <c r="C126">
        <f>C127*(1+Foglio1!I123)</f>
        <v>541577.25321888423</v>
      </c>
      <c r="D126" s="13">
        <f>D127*(1+'Historical Var'!D121)</f>
        <v>997153.95335430675</v>
      </c>
      <c r="F126">
        <f t="shared" si="60"/>
        <v>282528.61644115066</v>
      </c>
      <c r="G126">
        <f t="shared" si="61"/>
        <v>419852.77426973794</v>
      </c>
      <c r="H126">
        <f t="shared" si="62"/>
        <v>704692.13613438292</v>
      </c>
      <c r="J126" s="13">
        <f t="shared" si="63"/>
        <v>-3309.659271275159</v>
      </c>
      <c r="K126" s="13">
        <f t="shared" si="64"/>
        <v>2426.0932969194255</v>
      </c>
      <c r="L126" s="13">
        <f t="shared" si="65"/>
        <v>-2037.7709073740989</v>
      </c>
    </row>
    <row r="127" spans="2:34" x14ac:dyDescent="0.2">
      <c r="B127">
        <f>B128*(1+Foglio1!E124)</f>
        <v>462245.04556632432</v>
      </c>
      <c r="C127">
        <f>C128*(1+Foglio1!I124)</f>
        <v>538447.78254649509</v>
      </c>
      <c r="D127" s="13">
        <f>D128*(1+'Historical Var'!D122)</f>
        <v>1000037.441351583</v>
      </c>
      <c r="F127">
        <f t="shared" si="60"/>
        <v>277585.84106945951</v>
      </c>
      <c r="G127">
        <f t="shared" si="61"/>
        <v>420428.74608100246</v>
      </c>
      <c r="H127">
        <f t="shared" si="62"/>
        <v>699069.25374302862</v>
      </c>
      <c r="J127" s="13">
        <f t="shared" si="63"/>
        <v>-8252.4346429663128</v>
      </c>
      <c r="K127" s="13">
        <f t="shared" si="64"/>
        <v>3002.065108183946</v>
      </c>
      <c r="L127" s="13">
        <f t="shared" si="65"/>
        <v>-7660.6532987284008</v>
      </c>
    </row>
    <row r="128" spans="2:34" x14ac:dyDescent="0.2">
      <c r="B128">
        <f>B129*(1+Foglio1!E125)</f>
        <v>475987.270360191</v>
      </c>
      <c r="C128">
        <f>C129*(1+Foglio1!I125)</f>
        <v>534603.00429184549</v>
      </c>
      <c r="D128" s="13">
        <f>D129*(1+'Historical Var'!D123)</f>
        <v>1010996.2127221202</v>
      </c>
      <c r="F128">
        <f t="shared" si="60"/>
        <v>284154.33420898404</v>
      </c>
      <c r="G128">
        <f t="shared" si="61"/>
        <v>468429.8283664569</v>
      </c>
      <c r="H128">
        <f t="shared" si="62"/>
        <v>747823.93518727343</v>
      </c>
      <c r="J128" s="13">
        <f t="shared" si="63"/>
        <v>-1683.9415034417761</v>
      </c>
      <c r="K128" s="13">
        <f t="shared" si="64"/>
        <v>51003.147393638385</v>
      </c>
      <c r="L128" s="13">
        <f t="shared" si="65"/>
        <v>41094.028145516408</v>
      </c>
    </row>
    <row r="129" spans="2:12" x14ac:dyDescent="0.2">
      <c r="B129">
        <f>B130*(1+Foglio1!E126)</f>
        <v>478808.04281787941</v>
      </c>
      <c r="C129">
        <f>C130*(1+Foglio1!I126)</f>
        <v>476394.84978540766</v>
      </c>
      <c r="D129" s="13">
        <f>D130*(1+'Historical Var'!D124)</f>
        <v>955440.47979387536</v>
      </c>
      <c r="F129">
        <f t="shared" si="60"/>
        <v>275276.31440446014</v>
      </c>
      <c r="G129">
        <f t="shared" si="61"/>
        <v>411556.13549651683</v>
      </c>
      <c r="H129">
        <f t="shared" si="62"/>
        <v>688703.17565149686</v>
      </c>
      <c r="J129" s="13">
        <f t="shared" si="63"/>
        <v>-10561.961307965685</v>
      </c>
      <c r="K129" s="13">
        <f t="shared" si="64"/>
        <v>-5870.5454763016896</v>
      </c>
      <c r="L129" s="13">
        <f t="shared" si="65"/>
        <v>-18026.73139026016</v>
      </c>
    </row>
    <row r="130" spans="2:12" x14ac:dyDescent="0.2">
      <c r="B130">
        <f>B131*(1+Foglio1!E127)</f>
        <v>497179.22754231159</v>
      </c>
      <c r="C130">
        <f>C131*(1+Foglio1!I127)</f>
        <v>483190.2718168812</v>
      </c>
      <c r="D130" s="13">
        <f>D131*(1+'Historical Var'!D125)</f>
        <v>980449.03136957041</v>
      </c>
      <c r="F130">
        <f t="shared" si="60"/>
        <v>280452.79863648518</v>
      </c>
      <c r="G130">
        <f t="shared" si="61"/>
        <v>413145.38168078958</v>
      </c>
      <c r="H130">
        <f t="shared" si="62"/>
        <v>696447.90433904645</v>
      </c>
      <c r="J130" s="13">
        <f t="shared" si="63"/>
        <v>-5385.4770759406383</v>
      </c>
      <c r="K130" s="13">
        <f t="shared" si="64"/>
        <v>-4281.2992920289398</v>
      </c>
      <c r="L130" s="13">
        <f t="shared" si="65"/>
        <v>-10282.002702710568</v>
      </c>
    </row>
    <row r="131" spans="2:12" x14ac:dyDescent="0.2">
      <c r="B131">
        <f>B132*(1+Foglio1!E128)</f>
        <v>506726.45739910315</v>
      </c>
      <c r="C131">
        <f>C132*(1+Foglio1!I128)</f>
        <v>488197.42489270383</v>
      </c>
      <c r="D131" s="13">
        <f>D132*(1+'Historical Var'!D126)</f>
        <v>994923.88229180709</v>
      </c>
      <c r="F131">
        <f t="shared" si="60"/>
        <v>289683.63368165132</v>
      </c>
      <c r="G131">
        <f t="shared" si="61"/>
        <v>407573.26146487641</v>
      </c>
      <c r="H131">
        <f t="shared" si="62"/>
        <v>703142.46284571278</v>
      </c>
      <c r="J131" s="13">
        <f t="shared" si="63"/>
        <v>3845.3579692255007</v>
      </c>
      <c r="K131" s="13">
        <f t="shared" si="64"/>
        <v>-9853.4195079421042</v>
      </c>
      <c r="L131" s="13">
        <f t="shared" si="65"/>
        <v>-3587.4441960442346</v>
      </c>
    </row>
    <row r="132" spans="2:12" x14ac:dyDescent="0.2">
      <c r="B132">
        <v>500000</v>
      </c>
      <c r="C132">
        <v>500000</v>
      </c>
      <c r="D132" s="13">
        <v>1000000</v>
      </c>
    </row>
  </sheetData>
  <sortState xmlns:xlrd2="http://schemas.microsoft.com/office/spreadsheetml/2017/richdata2" ref="T7:T130">
    <sortCondition ref="T7:T130"/>
  </sortState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Foglio1</vt:lpstr>
      <vt:lpstr>EWMA</vt:lpstr>
      <vt:lpstr>MonteCarlo</vt:lpstr>
      <vt:lpstr>Historical Var</vt:lpstr>
      <vt:lpstr>Historycal simulation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Edoardo Pandolfo</dc:creator>
  <cp:lastModifiedBy>Edoardo Pandolfo</cp:lastModifiedBy>
  <dcterms:created xsi:type="dcterms:W3CDTF">2026-03-20T16:35:53Z</dcterms:created>
  <dcterms:modified xsi:type="dcterms:W3CDTF">2026-04-10T14:43:57Z</dcterms:modified>
</cp:coreProperties>
</file>