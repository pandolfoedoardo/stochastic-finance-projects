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5" codeName="{643B0D74-A683-FBA9-23B4-8A0AA6E0B6B9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/Users/edoardopandolfo/Desktop/Primo anno magistrale/Stochastic Methods For Finance/"/>
    </mc:Choice>
  </mc:AlternateContent>
  <xr:revisionPtr revIDLastSave="0" documentId="13_ncr:1_{33D12B5C-4E13-4C4E-B708-BF9FE141C6DA}" xr6:coauthVersionLast="47" xr6:coauthVersionMax="47" xr10:uidLastSave="{00000000-0000-0000-0000-000000000000}"/>
  <bookViews>
    <workbookView xWindow="0" yWindow="660" windowWidth="28800" windowHeight="16780" xr2:uid="{00000000-000D-0000-FFFF-FFFF00000000}"/>
  </bookViews>
  <sheets>
    <sheet name="Report 3" sheetId="2" r:id="rId1"/>
    <sheet name="Foglio1" sheetId="3" r:id="rId2"/>
  </sheets>
  <functionGroups builtInGroupCount="19"/>
  <definedNames>
    <definedName name="_xleta.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" i="3" l="1" a="1"/>
  <c r="F25" i="3" a="1"/>
  <c r="F29" i="3" a="1"/>
  <c r="F37" i="3" a="1"/>
  <c r="F41" i="3" a="1"/>
  <c r="F45" i="3" a="1"/>
  <c r="F49" i="3" a="1"/>
  <c r="F53" i="3" a="1"/>
  <c r="F57" i="3" a="1"/>
  <c r="F39" i="3" a="1"/>
  <c r="F51" i="3" a="1"/>
  <c r="F24" i="3" a="1"/>
  <c r="F36" i="3" a="1"/>
  <c r="F52" i="3" a="1"/>
  <c r="F26" i="3" a="1"/>
  <c r="F30" i="3" a="1"/>
  <c r="F38" i="3" a="1"/>
  <c r="F42" i="3" a="1"/>
  <c r="F50" i="3" a="1"/>
  <c r="F58" i="3" a="1"/>
  <c r="F23" i="3" a="1"/>
  <c r="F31" i="3" a="1"/>
  <c r="F43" i="3" a="1"/>
  <c r="F55" i="3" a="1"/>
  <c r="F28" i="3" a="1"/>
  <c r="F40" i="3" a="1"/>
  <c r="F48" i="3" a="1"/>
  <c r="F22" i="3" a="1"/>
  <c r="F34" i="3" a="1"/>
  <c r="F46" i="3" a="1"/>
  <c r="F54" i="3" a="1"/>
  <c r="F27" i="3" a="1"/>
  <c r="F35" i="3" a="1"/>
  <c r="F47" i="3" a="1"/>
  <c r="F32" i="3" a="1"/>
  <c r="F44" i="3" a="1"/>
  <c r="F56" i="3" a="1"/>
  <c r="F33" i="3" a="1"/>
  <c r="F12" i="3" a="1"/>
  <c r="F16" i="3" a="1"/>
  <c r="F20" i="3" a="1"/>
  <c r="F14" i="3" a="1"/>
  <c r="F18" i="3" a="1"/>
  <c r="F15" i="3" a="1"/>
  <c r="F19" i="3" a="1"/>
  <c r="F17" i="3" a="1"/>
  <c r="F13" i="3" a="1"/>
  <c r="F11" i="3" a="1"/>
  <c r="F10" i="3" a="1"/>
  <c r="F9" i="3" a="1"/>
  <c r="F2" i="3" a="1"/>
  <c r="E9" i="3" a="1"/>
  <c r="F33" i="3" l="1"/>
  <c r="F56" i="3"/>
  <c r="F44" i="3"/>
  <c r="F32" i="3"/>
  <c r="F47" i="3"/>
  <c r="F35" i="3"/>
  <c r="F27" i="3"/>
  <c r="F54" i="3"/>
  <c r="F46" i="3"/>
  <c r="F34" i="3"/>
  <c r="F22" i="3"/>
  <c r="F48" i="3"/>
  <c r="F40" i="3"/>
  <c r="F28" i="3"/>
  <c r="F55" i="3"/>
  <c r="F43" i="3"/>
  <c r="F31" i="3"/>
  <c r="F23" i="3"/>
  <c r="F58" i="3"/>
  <c r="F50" i="3"/>
  <c r="F42" i="3"/>
  <c r="F38" i="3"/>
  <c r="F30" i="3"/>
  <c r="F26" i="3"/>
  <c r="F52" i="3"/>
  <c r="F36" i="3"/>
  <c r="F24" i="3"/>
  <c r="F51" i="3"/>
  <c r="F39" i="3"/>
  <c r="F57" i="3"/>
  <c r="F53" i="3"/>
  <c r="F49" i="3"/>
  <c r="F45" i="3"/>
  <c r="F41" i="3"/>
  <c r="F37" i="3"/>
  <c r="F29" i="3"/>
  <c r="F25" i="3"/>
  <c r="F21" i="3"/>
  <c r="F13" i="3"/>
  <c r="F17" i="3"/>
  <c r="F19" i="3"/>
  <c r="F15" i="3"/>
  <c r="F18" i="3"/>
  <c r="F14" i="3"/>
  <c r="F20" i="3"/>
  <c r="F16" i="3"/>
  <c r="F12" i="3"/>
  <c r="F11" i="3"/>
  <c r="F10" i="3"/>
  <c r="F9" i="3"/>
  <c r="F2" i="3"/>
  <c r="E9" i="3"/>
  <c r="E10" i="3" a="1"/>
  <c r="E10" i="3"/>
  <c r="E11" i="3" a="1"/>
  <c r="E11" i="3"/>
  <c r="E12" i="3" a="1"/>
  <c r="E12" i="3"/>
  <c r="E13" i="3" a="1"/>
  <c r="E13" i="3"/>
  <c r="E14" i="3" a="1"/>
  <c r="E14" i="3"/>
  <c r="E15" i="3" a="1"/>
  <c r="E15" i="3"/>
  <c r="E16" i="3" a="1"/>
  <c r="E16" i="3"/>
  <c r="E17" i="3" a="1"/>
  <c r="E17" i="3"/>
  <c r="E18" i="3" a="1"/>
  <c r="E18" i="3"/>
  <c r="E19" i="3" a="1"/>
  <c r="E19" i="3"/>
  <c r="E20" i="3" a="1"/>
  <c r="E20" i="3"/>
  <c r="E21" i="3" a="1"/>
  <c r="E21" i="3"/>
  <c r="E22" i="3" a="1"/>
  <c r="E22" i="3"/>
  <c r="E23" i="3" a="1"/>
  <c r="E23" i="3"/>
  <c r="E24" i="3" a="1"/>
  <c r="E24" i="3"/>
  <c r="E25" i="3" a="1"/>
  <c r="E25" i="3"/>
  <c r="E26" i="3" a="1"/>
  <c r="E26" i="3"/>
  <c r="E27" i="3" a="1"/>
  <c r="E27" i="3"/>
  <c r="E28" i="3" a="1"/>
  <c r="E28" i="3"/>
  <c r="E29" i="3" a="1"/>
  <c r="E29" i="3"/>
  <c r="E30" i="3" a="1"/>
  <c r="E30" i="3"/>
  <c r="E31" i="3" a="1"/>
  <c r="E31" i="3"/>
  <c r="E32" i="3" a="1"/>
  <c r="E32" i="3"/>
  <c r="E33" i="3" a="1"/>
  <c r="E33" i="3"/>
  <c r="E34" i="3" a="1"/>
  <c r="E34" i="3"/>
  <c r="E35" i="3" a="1"/>
  <c r="E35" i="3"/>
  <c r="E36" i="3" a="1"/>
  <c r="E36" i="3"/>
  <c r="E37" i="3" a="1"/>
  <c r="E37" i="3"/>
  <c r="E38" i="3" a="1"/>
  <c r="E38" i="3"/>
  <c r="E39" i="3" a="1"/>
  <c r="E39" i="3"/>
  <c r="E40" i="3" a="1"/>
  <c r="E40" i="3"/>
  <c r="E41" i="3" a="1"/>
  <c r="E41" i="3"/>
  <c r="E42" i="3" a="1"/>
  <c r="E42" i="3"/>
  <c r="E43" i="3" a="1"/>
  <c r="E43" i="3"/>
  <c r="E44" i="3" a="1"/>
  <c r="E44" i="3"/>
  <c r="E45" i="3" a="1"/>
  <c r="E45" i="3"/>
  <c r="E46" i="3" a="1"/>
  <c r="E46" i="3"/>
  <c r="E47" i="3" a="1"/>
  <c r="E47" i="3"/>
  <c r="E48" i="3" a="1"/>
  <c r="E48" i="3"/>
  <c r="E49" i="3" a="1"/>
  <c r="E49" i="3"/>
  <c r="E50" i="3" a="1"/>
  <c r="E50" i="3"/>
  <c r="E51" i="3" a="1"/>
  <c r="E51" i="3"/>
  <c r="E52" i="3" a="1"/>
  <c r="E52" i="3"/>
  <c r="E53" i="3" a="1"/>
  <c r="E53" i="3"/>
  <c r="E54" i="3" a="1"/>
  <c r="E54" i="3"/>
  <c r="E55" i="3" a="1"/>
  <c r="E55" i="3"/>
  <c r="E56" i="3" a="1"/>
  <c r="E56" i="3"/>
  <c r="E57" i="3" a="1"/>
  <c r="E57" i="3"/>
  <c r="E58" i="3" a="1"/>
  <c r="E58" i="3"/>
  <c r="E59" i="3" a="1"/>
  <c r="E59" i="3"/>
  <c r="E60" i="3" a="1"/>
  <c r="E60" i="3"/>
  <c r="E61" i="3" a="1"/>
  <c r="E61" i="3"/>
  <c r="E62" i="3" a="1"/>
  <c r="E62" i="3"/>
  <c r="E63" i="3" a="1"/>
  <c r="E63" i="3"/>
  <c r="E64" i="3" a="1"/>
  <c r="E64" i="3"/>
  <c r="E65" i="3" a="1"/>
  <c r="E65" i="3"/>
  <c r="E66" i="3" a="1"/>
  <c r="E66" i="3"/>
  <c r="E67" i="3" a="1"/>
  <c r="E67" i="3"/>
  <c r="E68" i="3" a="1"/>
  <c r="E68" i="3"/>
  <c r="E69" i="3" a="1"/>
  <c r="E69" i="3"/>
  <c r="E70" i="3" a="1"/>
  <c r="E70" i="3"/>
  <c r="E71" i="3" a="1"/>
  <c r="E71" i="3"/>
  <c r="E72" i="3" a="1"/>
  <c r="E72" i="3"/>
  <c r="E73" i="3" a="1"/>
  <c r="E73" i="3"/>
  <c r="E74" i="3" a="1"/>
  <c r="E74" i="3"/>
  <c r="E75" i="3" a="1"/>
  <c r="E75" i="3"/>
  <c r="E76" i="3" a="1"/>
  <c r="E76" i="3"/>
  <c r="E77" i="3" a="1"/>
  <c r="E77" i="3"/>
  <c r="E78" i="3" a="1"/>
  <c r="E78" i="3"/>
  <c r="E79" i="3" a="1"/>
  <c r="E79" i="3"/>
  <c r="E80" i="3" a="1"/>
  <c r="E80" i="3"/>
  <c r="E81" i="3" a="1"/>
  <c r="E81" i="3"/>
  <c r="E82" i="3" a="1"/>
  <c r="E82" i="3"/>
  <c r="E83" i="3" a="1"/>
  <c r="E83" i="3"/>
  <c r="E84" i="3" a="1"/>
  <c r="E84" i="3"/>
  <c r="E85" i="3" a="1"/>
  <c r="E85" i="3"/>
  <c r="E86" i="3" a="1"/>
  <c r="E86" i="3"/>
  <c r="E87" i="3" a="1"/>
  <c r="E87" i="3"/>
  <c r="E88" i="3" a="1"/>
  <c r="E88" i="3"/>
  <c r="E89" i="3" a="1"/>
  <c r="E89" i="3"/>
  <c r="E90" i="3" a="1"/>
  <c r="E90" i="3"/>
  <c r="E91" i="3" a="1"/>
  <c r="E91" i="3"/>
  <c r="E92" i="3" a="1"/>
  <c r="E92" i="3"/>
  <c r="E93" i="3" a="1"/>
  <c r="E93" i="3"/>
  <c r="E94" i="3" a="1"/>
  <c r="E94" i="3"/>
  <c r="E95" i="3" a="1"/>
  <c r="E95" i="3"/>
  <c r="E96" i="3" a="1"/>
  <c r="E96" i="3"/>
  <c r="E97" i="3" a="1"/>
  <c r="E97" i="3"/>
  <c r="E98" i="3" a="1"/>
  <c r="E98" i="3"/>
  <c r="E99" i="3" a="1"/>
  <c r="E99" i="3"/>
  <c r="E100" i="3" a="1"/>
  <c r="E100" i="3"/>
  <c r="E101" i="3" a="1"/>
  <c r="E101" i="3"/>
  <c r="E102" i="3" a="1"/>
  <c r="E102" i="3"/>
  <c r="E103" i="3" a="1"/>
  <c r="E103" i="3"/>
  <c r="E104" i="3" a="1"/>
  <c r="E104" i="3"/>
  <c r="E105" i="3" a="1"/>
  <c r="E105" i="3"/>
  <c r="E106" i="3" a="1"/>
  <c r="E106" i="3"/>
  <c r="E107" i="3" a="1"/>
  <c r="E107" i="3"/>
  <c r="E108" i="3" a="1"/>
  <c r="E10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<sst xmlns="http://schemas.openxmlformats.org/spreadsheetml/2006/main" count="30" uniqueCount="30">
  <si>
    <t>1)</t>
  </si>
  <si>
    <t>REPORT 3</t>
  </si>
  <si>
    <t>Ex N 3</t>
  </si>
  <si>
    <t xml:space="preserve">0) </t>
  </si>
  <si>
    <t>Set S=100; r=1%; vol=20%, T=1,K=100</t>
  </si>
  <si>
    <t xml:space="preserve">2) </t>
  </si>
  <si>
    <t>Compare with the B&amp;S formula</t>
  </si>
  <si>
    <t xml:space="preserve">3) </t>
  </si>
  <si>
    <t>Investigate the rate of convergence and compare with the Leisen and Reimer method</t>
  </si>
  <si>
    <t>Write a VBA script that prices a Call with a binomial model where n (number of steps) is an input parameter</t>
  </si>
  <si>
    <t xml:space="preserve">4) </t>
  </si>
  <si>
    <t>Leisen Reimer paper at</t>
  </si>
  <si>
    <t>https://www.researchgate.net/profile/Dietmar-Leisen-2/publication/227603938_Binomial_Models_for_Option_Valuation-Examining_and_Improving_Convergence/links/00b49532955e5ac4cb000000/Binomial-Models-for-Option-Valuation-Examining-and-Improving-Convergence.pdf?origin=publication_detail</t>
  </si>
  <si>
    <t xml:space="preserve">5) </t>
  </si>
  <si>
    <t xml:space="preserve">Write a report in PDF copy with all relevant informations together with a Excel spreadsheet with the relevant executable macros. </t>
  </si>
  <si>
    <t>Deadline April 3</t>
  </si>
  <si>
    <t>S0</t>
  </si>
  <si>
    <t>r</t>
  </si>
  <si>
    <t>sigma</t>
  </si>
  <si>
    <t>T</t>
  </si>
  <si>
    <t>K</t>
  </si>
  <si>
    <t>N</t>
  </si>
  <si>
    <t>q</t>
  </si>
  <si>
    <t>B-S Price</t>
  </si>
  <si>
    <t>CRR</t>
  </si>
  <si>
    <t xml:space="preserve">we start from n=2 </t>
  </si>
  <si>
    <t xml:space="preserve">because of the truncation </t>
  </si>
  <si>
    <t>of Leisen</t>
  </si>
  <si>
    <t>LEISEN-Reimer</t>
  </si>
  <si>
    <t>COMPUTATIONS IN "FOGLIO 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</si>
</sst>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2" tint="-9.9978637043366805E-2"/>
      <name val="Calibri (Corpo)"/>
    </font>
    <font>
      <sz val="8"/>
      <color theme="2" tint="-9.9978637043366805E-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5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4" fillId="0" borderId="1" xfId="0" applyFont="1" applyBorder="1"/>
    <xf numFmtId="0" fontId="0" fillId="0" borderId="1" xfId="0" applyBorder="1"/>
    <xf numFmtId="9" fontId="0" fillId="0" borderId="1" xfId="0" applyNumberFormat="1" applyBorder="1"/>
    <xf numFmtId="0" fontId="5" fillId="0" borderId="1" xfId="0" applyFont="1" applyBorder="1"/>
    <xf numFmtId="0" fontId="9" fillId="0" borderId="0" xfId="0" applyFont="1"/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it-IT" sz="1200"/>
              <a:t>Convergence of the binomial model</a:t>
            </a:r>
          </a:p>
        </c:rich>
      </c:tx>
      <c:layout>
        <c:manualLayout>
          <c:xMode val="edge"/>
          <c:yMode val="edge"/>
          <c:x val="0.20940489840533538"/>
          <c:y val="3.6945571303253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2577346026908487"/>
          <c:y val="5.9758088707873726E-2"/>
          <c:w val="0.83362403064584589"/>
          <c:h val="0.76179955175495817"/>
        </c:manualLayout>
      </c:layout>
      <c:scatterChart>
        <c:scatterStyle val="smoothMarker"/>
        <c:varyColors val="0"/>
        <c:ser>
          <c:idx val="0"/>
          <c:order val="0"/>
          <c:tx>
            <c:v>Binomial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Foglio1!$C$9:$C$108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Foglio1!$E$9:$E$108</c:f>
              <c:numCache>
                <c:formatCode>General</c:formatCode>
                <c:ptCount val="100"/>
                <c:pt idx="0">
                  <c:v>10.414722119216913</c:v>
                </c:pt>
                <c:pt idx="1">
                  <c:v>7.5304594203259327</c:v>
                </c:pt>
                <c:pt idx="2">
                  <c:v>9.102713327404679</c:v>
                </c:pt>
                <c:pt idx="3">
                  <c:v>7.9570676315773943</c:v>
                </c:pt>
                <c:pt idx="4">
                  <c:v>8.8326905228238868</c:v>
                </c:pt>
                <c:pt idx="5">
                  <c:v>8.1108851422214716</c:v>
                </c:pt>
                <c:pt idx="6">
                  <c:v>8.7174734897470501</c:v>
                </c:pt>
                <c:pt idx="7">
                  <c:v>8.189780315427809</c:v>
                </c:pt>
                <c:pt idx="8">
                  <c:v>8.6537545151636035</c:v>
                </c:pt>
                <c:pt idx="9">
                  <c:v>8.2377064813940173</c:v>
                </c:pt>
                <c:pt idx="10">
                  <c:v>8.6133472237522888</c:v>
                </c:pt>
                <c:pt idx="11">
                  <c:v>8.2698895755617627</c:v>
                </c:pt>
                <c:pt idx="12">
                  <c:v>8.5854468264058266</c:v>
                </c:pt>
                <c:pt idx="13">
                  <c:v>8.2929867539169333</c:v>
                </c:pt>
                <c:pt idx="14">
                  <c:v>8.5650283826907323</c:v>
                </c:pt>
                <c:pt idx="15">
                  <c:v>8.3103675562953434</c:v>
                </c:pt>
                <c:pt idx="16">
                  <c:v>8.5494396000369601</c:v>
                </c:pt>
                <c:pt idx="17">
                  <c:v>8.3239194497314593</c:v>
                </c:pt>
                <c:pt idx="18">
                  <c:v>8.5371488340077182</c:v>
                </c:pt>
                <c:pt idx="19">
                  <c:v>8.3347816511341115</c:v>
                </c:pt>
                <c:pt idx="20">
                  <c:v>8.5272099533887662</c:v>
                </c:pt>
                <c:pt idx="21">
                  <c:v>8.3436823630808945</c:v>
                </c:pt>
                <c:pt idx="22">
                  <c:v>8.5190070379305833</c:v>
                </c:pt>
                <c:pt idx="23">
                  <c:v>8.351108748921817</c:v>
                </c:pt>
                <c:pt idx="24">
                  <c:v>8.5121219141174471</c:v>
                </c:pt>
                <c:pt idx="25">
                  <c:v>8.3573990191522505</c:v>
                </c:pt>
                <c:pt idx="26">
                  <c:v>8.5062607077408927</c:v>
                </c:pt>
                <c:pt idx="27">
                  <c:v>8.3627953062745508</c:v>
                </c:pt>
                <c:pt idx="28">
                  <c:v>8.5012108629683443</c:v>
                </c:pt>
                <c:pt idx="29">
                  <c:v>8.3674755134395653</c:v>
                </c:pt>
                <c:pt idx="30">
                  <c:v>8.4968148396020595</c:v>
                </c:pt>
                <c:pt idx="31">
                  <c:v>8.3715732838574031</c:v>
                </c:pt>
                <c:pt idx="32">
                  <c:v>8.4929533978409264</c:v>
                </c:pt>
                <c:pt idx="33">
                  <c:v>8.3751909570271312</c:v>
                </c:pt>
                <c:pt idx="34">
                  <c:v>8.4895346274148711</c:v>
                </c:pt>
                <c:pt idx="35">
                  <c:v>8.3784082260343027</c:v>
                </c:pt>
                <c:pt idx="36">
                  <c:v>8.486486542980165</c:v>
                </c:pt>
                <c:pt idx="37">
                  <c:v>8.3812880726620431</c:v>
                </c:pt>
                <c:pt idx="38">
                  <c:v>8.4837519629439058</c:v>
                </c:pt>
                <c:pt idx="39">
                  <c:v>8.3838809291104877</c:v>
                </c:pt>
                <c:pt idx="40">
                  <c:v>8.4812848904302456</c:v>
                </c:pt>
                <c:pt idx="41">
                  <c:v>8.3862276551311776</c:v>
                </c:pt>
                <c:pt idx="42">
                  <c:v>8.479047906346489</c:v>
                </c:pt>
                <c:pt idx="43">
                  <c:v>8.3883617061084426</c:v>
                </c:pt>
                <c:pt idx="44">
                  <c:v>8.4770102590655156</c:v>
                </c:pt>
                <c:pt idx="45">
                  <c:v>8.3903107374571579</c:v>
                </c:pt>
                <c:pt idx="46">
                  <c:v>8.4751464428242826</c:v>
                </c:pt>
                <c:pt idx="47">
                  <c:v>8.3920978092072964</c:v>
                </c:pt>
                <c:pt idx="48">
                  <c:v>8.4734351249531468</c:v>
                </c:pt>
                <c:pt idx="49">
                  <c:v>8.3937423023646716</c:v>
                </c:pt>
                <c:pt idx="50">
                  <c:v>8.4718583259955942</c:v>
                </c:pt>
                <c:pt idx="51">
                  <c:v>8.3952606244188193</c:v>
                </c:pt>
                <c:pt idx="52">
                  <c:v>8.4704007858091845</c:v>
                </c:pt>
                <c:pt idx="53">
                  <c:v>8.3966667585096904</c:v>
                </c:pt>
                <c:pt idx="54">
                  <c:v>8.4690494682191524</c:v>
                </c:pt>
                <c:pt idx="55">
                  <c:v>8.397972695224194</c:v>
                </c:pt>
                <c:pt idx="56">
                  <c:v>8.4677931701365559</c:v>
                </c:pt>
                <c:pt idx="57">
                  <c:v>8.3991887752847809</c:v>
                </c:pt>
                <c:pt idx="58">
                  <c:v>8.4666222103173894</c:v>
                </c:pt>
                <c:pt idx="59">
                  <c:v>8.4003239638714611</c:v>
                </c:pt>
                <c:pt idx="60">
                  <c:v>8.4655281794487625</c:v>
                </c:pt>
                <c:pt idx="61">
                  <c:v>8.4013860719716167</c:v>
                </c:pt>
                <c:pt idx="62">
                  <c:v>8.4645037379145762</c:v>
                </c:pt>
                <c:pt idx="63">
                  <c:v>8.402381936319248</c:v>
                </c:pt>
                <c:pt idx="64">
                  <c:v>8.4635424509586272</c:v>
                </c:pt>
                <c:pt idx="65">
                  <c:v>8.4033175666958915</c:v>
                </c:pt>
                <c:pt idx="66">
                  <c:v>8.4626386534172742</c:v>
                </c:pt>
                <c:pt idx="67">
                  <c:v>8.4041982672854498</c:v>
                </c:pt>
                <c:pt idx="68">
                  <c:v>8.4617873380055553</c:v>
                </c:pt>
                <c:pt idx="69">
                  <c:v>8.4050287372728683</c:v>
                </c:pt>
                <c:pt idx="70">
                  <c:v>8.4609840625226695</c:v>
                </c:pt>
                <c:pt idx="71">
                  <c:v>8.4058131547087989</c:v>
                </c:pt>
                <c:pt idx="72">
                  <c:v>8.4602248723237228</c:v>
                </c:pt>
                <c:pt idx="73">
                  <c:v>8.4065552468000142</c:v>
                </c:pt>
                <c:pt idx="74">
                  <c:v>8.4595062352205286</c:v>
                </c:pt>
                <c:pt idx="75">
                  <c:v>8.4072583491185178</c:v>
                </c:pt>
                <c:pt idx="76">
                  <c:v>8.4588249865387635</c:v>
                </c:pt>
                <c:pt idx="77">
                  <c:v>8.4079254557288774</c:v>
                </c:pt>
                <c:pt idx="78">
                  <c:v>8.4581782825331278</c:v>
                </c:pt>
                <c:pt idx="79">
                  <c:v>8.4085592617945153</c:v>
                </c:pt>
                <c:pt idx="80">
                  <c:v>8.4575635607104687</c:v>
                </c:pt>
                <c:pt idx="81">
                  <c:v>8.409162199975416</c:v>
                </c:pt>
                <c:pt idx="82">
                  <c:v>8.4569785059011213</c:v>
                </c:pt>
                <c:pt idx="83">
                  <c:v>8.4097364716204606</c:v>
                </c:pt>
                <c:pt idx="84">
                  <c:v>8.4564210211244326</c:v>
                </c:pt>
                <c:pt idx="85">
                  <c:v>8.4102840736261086</c:v>
                </c:pt>
                <c:pt idx="86">
                  <c:v>8.4558892024746086</c:v>
                </c:pt>
                <c:pt idx="87">
                  <c:v>8.4108068216299081</c:v>
                </c:pt>
                <c:pt idx="88">
                  <c:v>8.4553813174032211</c:v>
                </c:pt>
                <c:pt idx="89">
                  <c:v>8.4113063701232349</c:v>
                </c:pt>
                <c:pt idx="90">
                  <c:v>8.4548957858633411</c:v>
                </c:pt>
                <c:pt idx="91">
                  <c:v>8.4117842299362664</c:v>
                </c:pt>
                <c:pt idx="92">
                  <c:v>8.4544311638931724</c:v>
                </c:pt>
                <c:pt idx="93">
                  <c:v>8.4122417835042356</c:v>
                </c:pt>
                <c:pt idx="94">
                  <c:v>8.453986129274913</c:v>
                </c:pt>
                <c:pt idx="95">
                  <c:v>8.412680298219966</c:v>
                </c:pt>
                <c:pt idx="96">
                  <c:v>8.4535594689647748</c:v>
                </c:pt>
                <c:pt idx="97">
                  <c:v>8.4131009381537982</c:v>
                </c:pt>
                <c:pt idx="98">
                  <c:v>8.453150068059978</c:v>
                </c:pt>
                <c:pt idx="99">
                  <c:v>8.413504774380991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D5-574A-905D-27C9DC17BB29}"/>
            </c:ext>
          </c:extLst>
        </c:ser>
        <c:ser>
          <c:idx val="1"/>
          <c:order val="1"/>
          <c:tx>
            <c:v>B-S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9525" cap="rnd">
                <a:solidFill>
                  <a:schemeClr val="accent2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(Foglio1!$C$9,Foglio1!$C$108)</c:f>
              <c:numCache>
                <c:formatCode>General</c:formatCode>
                <c:ptCount val="2"/>
                <c:pt idx="0">
                  <c:v>1</c:v>
                </c:pt>
                <c:pt idx="1">
                  <c:v>100</c:v>
                </c:pt>
              </c:numCache>
            </c:numRef>
          </c:xVal>
          <c:yVal>
            <c:numRef>
              <c:f>(Foglio1!$F$2,Foglio1!$F$2)</c:f>
              <c:numCache>
                <c:formatCode>General</c:formatCode>
                <c:ptCount val="2"/>
                <c:pt idx="0">
                  <c:v>8.4333186901096084</c:v>
                </c:pt>
                <c:pt idx="1">
                  <c:v>8.4333186901096084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D5-574A-905D-27C9DC17B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08608"/>
        <c:axId val="1206113536"/>
      </c:scatterChart>
      <c:valAx>
        <c:axId val="120610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800"/>
                  <a:t>N</a:t>
                </a:r>
              </a:p>
            </c:rich>
          </c:tx>
          <c:layout>
            <c:manualLayout>
              <c:xMode val="edge"/>
              <c:yMode val="edge"/>
              <c:x val="0.4740673738016879"/>
              <c:y val="0.916265105966293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06113536"/>
        <c:crosses val="autoZero"/>
        <c:crossBetween val="midCat"/>
      </c:valAx>
      <c:valAx>
        <c:axId val="120611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800"/>
                  <a:t>price</a:t>
                </a:r>
              </a:p>
            </c:rich>
          </c:tx>
          <c:layout>
            <c:manualLayout>
              <c:xMode val="edge"/>
              <c:yMode val="edge"/>
              <c:x val="0"/>
              <c:y val="0.401370156470644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0610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5221333741607666"/>
          <c:y val="0.21316926547172632"/>
          <c:w val="0.1949283820678194"/>
          <c:h val="0.177720983015611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Convergence</a:t>
            </a:r>
            <a:r>
              <a:rPr lang="it-IT" baseline="0"/>
              <a:t> of Leisen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74711895353903"/>
          <c:y val="5.6289835030892924E-2"/>
          <c:w val="0.818904817464715"/>
          <c:h val="0.78876765957583983"/>
        </c:manualLayout>
      </c:layout>
      <c:scatterChart>
        <c:scatterStyle val="smoothMarker"/>
        <c:varyColors val="0"/>
        <c:ser>
          <c:idx val="0"/>
          <c:order val="0"/>
          <c:tx>
            <c:v>LeisenReimer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Foglio1!$C$10:$C$58</c:f>
              <c:numCache>
                <c:formatCode>General</c:formatCode>
                <c:ptCount val="4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</c:numCache>
            </c:numRef>
          </c:xVal>
          <c:yVal>
            <c:numRef>
              <c:f>Foglio1!$F$9:$F$58</c:f>
              <c:numCache>
                <c:formatCode>General</c:formatCode>
                <c:ptCount val="50"/>
                <c:pt idx="0">
                  <c:v>8.4032328381098278</c:v>
                </c:pt>
                <c:pt idx="1">
                  <c:v>8.4032328381098278</c:v>
                </c:pt>
                <c:pt idx="2">
                  <c:v>8.4209343027405499</c:v>
                </c:pt>
                <c:pt idx="3">
                  <c:v>8.4209343027405499</c:v>
                </c:pt>
                <c:pt idx="4">
                  <c:v>8.4265692233797633</c:v>
                </c:pt>
                <c:pt idx="5">
                  <c:v>8.4265692233797633</c:v>
                </c:pt>
                <c:pt idx="6">
                  <c:v>8.4290713834427642</c:v>
                </c:pt>
                <c:pt idx="7">
                  <c:v>8.4290713834427642</c:v>
                </c:pt>
                <c:pt idx="8">
                  <c:v>8.4303997829055852</c:v>
                </c:pt>
                <c:pt idx="9">
                  <c:v>8.4303997829055852</c:v>
                </c:pt>
                <c:pt idx="10">
                  <c:v>8.4311892752480766</c:v>
                </c:pt>
                <c:pt idx="11">
                  <c:v>8.4311892752480766</c:v>
                </c:pt>
                <c:pt idx="12">
                  <c:v>8.4316966308156438</c:v>
                </c:pt>
                <c:pt idx="13">
                  <c:v>8.4316966308156438</c:v>
                </c:pt>
                <c:pt idx="14">
                  <c:v>8.4320419715266954</c:v>
                </c:pt>
                <c:pt idx="15">
                  <c:v>8.4320419715266954</c:v>
                </c:pt>
                <c:pt idx="16">
                  <c:v>8.4322876414373233</c:v>
                </c:pt>
                <c:pt idx="17">
                  <c:v>8.4322876414373233</c:v>
                </c:pt>
                <c:pt idx="18">
                  <c:v>8.4324686288538455</c:v>
                </c:pt>
                <c:pt idx="19">
                  <c:v>8.4324686288538455</c:v>
                </c:pt>
                <c:pt idx="20">
                  <c:v>8.4326058081620321</c:v>
                </c:pt>
                <c:pt idx="21">
                  <c:v>8.4326058081620321</c:v>
                </c:pt>
                <c:pt idx="22">
                  <c:v>8.4327122618048218</c:v>
                </c:pt>
                <c:pt idx="23">
                  <c:v>8.4327122618048218</c:v>
                </c:pt>
                <c:pt idx="24">
                  <c:v>8.4327965280501438</c:v>
                </c:pt>
                <c:pt idx="25">
                  <c:v>8.4327965280501438</c:v>
                </c:pt>
                <c:pt idx="26">
                  <c:v>8.4328643720310978</c:v>
                </c:pt>
                <c:pt idx="27">
                  <c:v>8.4328643720310978</c:v>
                </c:pt>
                <c:pt idx="28">
                  <c:v>8.432919800629822</c:v>
                </c:pt>
                <c:pt idx="29">
                  <c:v>8.432919800629822</c:v>
                </c:pt>
                <c:pt idx="30">
                  <c:v>8.4329656689517041</c:v>
                </c:pt>
                <c:pt idx="31">
                  <c:v>8.4329656689517041</c:v>
                </c:pt>
                <c:pt idx="32">
                  <c:v>8.433004056018639</c:v>
                </c:pt>
                <c:pt idx="33">
                  <c:v>8.433004056018639</c:v>
                </c:pt>
                <c:pt idx="34">
                  <c:v>8.4330365048567462</c:v>
                </c:pt>
                <c:pt idx="35">
                  <c:v>8.4330365048567462</c:v>
                </c:pt>
                <c:pt idx="36">
                  <c:v>8.4330641801908399</c:v>
                </c:pt>
                <c:pt idx="37">
                  <c:v>8.4330641801908399</c:v>
                </c:pt>
                <c:pt idx="38">
                  <c:v>8.4330879745364058</c:v>
                </c:pt>
                <c:pt idx="39">
                  <c:v>8.4330879745364058</c:v>
                </c:pt>
                <c:pt idx="40">
                  <c:v>8.4331085811313677</c:v>
                </c:pt>
                <c:pt idx="41">
                  <c:v>8.4331085811313677</c:v>
                </c:pt>
                <c:pt idx="42">
                  <c:v>8.43312654504685</c:v>
                </c:pt>
                <c:pt idx="43">
                  <c:v>8.43312654504685</c:v>
                </c:pt>
                <c:pt idx="44">
                  <c:v>8.4331422996283667</c:v>
                </c:pt>
                <c:pt idx="45">
                  <c:v>8.4331422996283667</c:v>
                </c:pt>
                <c:pt idx="46">
                  <c:v>8.4331561928971528</c:v>
                </c:pt>
                <c:pt idx="47">
                  <c:v>8.4331561928971528</c:v>
                </c:pt>
                <c:pt idx="48">
                  <c:v>8.4331685069462683</c:v>
                </c:pt>
                <c:pt idx="49">
                  <c:v>8.4331685069462683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D8-3443-B155-695F6A502DB4}"/>
            </c:ext>
          </c:extLst>
        </c:ser>
        <c:ser>
          <c:idx val="1"/>
          <c:order val="1"/>
          <c:tx>
            <c:v>B-S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(Foglio1!$C$9,Foglio1!$C$58)</c:f>
              <c:numCache>
                <c:formatCode>General</c:formatCode>
                <c:ptCount val="2"/>
                <c:pt idx="0">
                  <c:v>1</c:v>
                </c:pt>
                <c:pt idx="1">
                  <c:v>50</c:v>
                </c:pt>
              </c:numCache>
            </c:numRef>
          </c:xVal>
          <c:yVal>
            <c:numRef>
              <c:f>(Foglio1!$F$2,Foglio1!$F$2)</c:f>
              <c:numCache>
                <c:formatCode>General</c:formatCode>
                <c:ptCount val="2"/>
                <c:pt idx="0">
                  <c:v>8.4333186901096084</c:v>
                </c:pt>
                <c:pt idx="1">
                  <c:v>8.4333186901096084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D8-3443-B155-695F6A502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393088"/>
        <c:axId val="1246935040"/>
      </c:scatterChart>
      <c:valAx>
        <c:axId val="108539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46935040"/>
        <c:crosses val="autoZero"/>
        <c:crossBetween val="midCat"/>
      </c:valAx>
      <c:valAx>
        <c:axId val="124693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3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0176459768376136"/>
          <c:y val="0.29528025777262995"/>
          <c:w val="0.40482465485564151"/>
          <c:h val="0.100412869999362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Binomial</a:t>
            </a:r>
            <a:r>
              <a:rPr lang="it-IT" baseline="0"/>
              <a:t> vs Leisen</a:t>
            </a:r>
          </a:p>
        </c:rich>
      </c:tx>
      <c:layout>
        <c:manualLayout>
          <c:xMode val="edge"/>
          <c:yMode val="edge"/>
          <c:x val="0.35001674738049715"/>
          <c:y val="8.10305859498443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6507374871656355"/>
          <c:y val="0.10021520582669588"/>
          <c:w val="0.76343388552590374"/>
          <c:h val="0.73518724107931699"/>
        </c:manualLayout>
      </c:layout>
      <c:scatterChart>
        <c:scatterStyle val="smoothMarker"/>
        <c:varyColors val="0"/>
        <c:ser>
          <c:idx val="0"/>
          <c:order val="0"/>
          <c:tx>
            <c:v>Binomial</c:v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Foglio1!$C$9:$C$108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Foglio1!$E$9:$E$108</c:f>
              <c:numCache>
                <c:formatCode>General</c:formatCode>
                <c:ptCount val="100"/>
                <c:pt idx="0">
                  <c:v>10.414722119216913</c:v>
                </c:pt>
                <c:pt idx="1">
                  <c:v>7.5304594203259327</c:v>
                </c:pt>
                <c:pt idx="2">
                  <c:v>9.102713327404679</c:v>
                </c:pt>
                <c:pt idx="3">
                  <c:v>7.9570676315773943</c:v>
                </c:pt>
                <c:pt idx="4">
                  <c:v>8.8326905228238868</c:v>
                </c:pt>
                <c:pt idx="5">
                  <c:v>8.1108851422214716</c:v>
                </c:pt>
                <c:pt idx="6">
                  <c:v>8.7174734897470501</c:v>
                </c:pt>
                <c:pt idx="7">
                  <c:v>8.189780315427809</c:v>
                </c:pt>
                <c:pt idx="8">
                  <c:v>8.6537545151636035</c:v>
                </c:pt>
                <c:pt idx="9">
                  <c:v>8.2377064813940173</c:v>
                </c:pt>
                <c:pt idx="10">
                  <c:v>8.6133472237522888</c:v>
                </c:pt>
                <c:pt idx="11">
                  <c:v>8.2698895755617627</c:v>
                </c:pt>
                <c:pt idx="12">
                  <c:v>8.5854468264058266</c:v>
                </c:pt>
                <c:pt idx="13">
                  <c:v>8.2929867539169333</c:v>
                </c:pt>
                <c:pt idx="14">
                  <c:v>8.5650283826907323</c:v>
                </c:pt>
                <c:pt idx="15">
                  <c:v>8.3103675562953434</c:v>
                </c:pt>
                <c:pt idx="16">
                  <c:v>8.5494396000369601</c:v>
                </c:pt>
                <c:pt idx="17">
                  <c:v>8.3239194497314593</c:v>
                </c:pt>
                <c:pt idx="18">
                  <c:v>8.5371488340077182</c:v>
                </c:pt>
                <c:pt idx="19">
                  <c:v>8.3347816511341115</c:v>
                </c:pt>
                <c:pt idx="20">
                  <c:v>8.5272099533887662</c:v>
                </c:pt>
                <c:pt idx="21">
                  <c:v>8.3436823630808945</c:v>
                </c:pt>
                <c:pt idx="22">
                  <c:v>8.5190070379305833</c:v>
                </c:pt>
                <c:pt idx="23">
                  <c:v>8.351108748921817</c:v>
                </c:pt>
                <c:pt idx="24">
                  <c:v>8.5121219141174471</c:v>
                </c:pt>
                <c:pt idx="25">
                  <c:v>8.3573990191522505</c:v>
                </c:pt>
                <c:pt idx="26">
                  <c:v>8.5062607077408927</c:v>
                </c:pt>
                <c:pt idx="27">
                  <c:v>8.3627953062745508</c:v>
                </c:pt>
                <c:pt idx="28">
                  <c:v>8.5012108629683443</c:v>
                </c:pt>
                <c:pt idx="29">
                  <c:v>8.3674755134395653</c:v>
                </c:pt>
                <c:pt idx="30">
                  <c:v>8.4968148396020595</c:v>
                </c:pt>
                <c:pt idx="31">
                  <c:v>8.3715732838574031</c:v>
                </c:pt>
                <c:pt idx="32">
                  <c:v>8.4929533978409264</c:v>
                </c:pt>
                <c:pt idx="33">
                  <c:v>8.3751909570271312</c:v>
                </c:pt>
                <c:pt idx="34">
                  <c:v>8.4895346274148711</c:v>
                </c:pt>
                <c:pt idx="35">
                  <c:v>8.3784082260343027</c:v>
                </c:pt>
                <c:pt idx="36">
                  <c:v>8.486486542980165</c:v>
                </c:pt>
                <c:pt idx="37">
                  <c:v>8.3812880726620431</c:v>
                </c:pt>
                <c:pt idx="38">
                  <c:v>8.4837519629439058</c:v>
                </c:pt>
                <c:pt idx="39">
                  <c:v>8.3838809291104877</c:v>
                </c:pt>
                <c:pt idx="40">
                  <c:v>8.4812848904302456</c:v>
                </c:pt>
                <c:pt idx="41">
                  <c:v>8.3862276551311776</c:v>
                </c:pt>
                <c:pt idx="42">
                  <c:v>8.479047906346489</c:v>
                </c:pt>
                <c:pt idx="43">
                  <c:v>8.3883617061084426</c:v>
                </c:pt>
                <c:pt idx="44">
                  <c:v>8.4770102590655156</c:v>
                </c:pt>
                <c:pt idx="45">
                  <c:v>8.3903107374571579</c:v>
                </c:pt>
                <c:pt idx="46">
                  <c:v>8.4751464428242826</c:v>
                </c:pt>
                <c:pt idx="47">
                  <c:v>8.3920978092072964</c:v>
                </c:pt>
                <c:pt idx="48">
                  <c:v>8.4734351249531468</c:v>
                </c:pt>
                <c:pt idx="49">
                  <c:v>8.3937423023646716</c:v>
                </c:pt>
                <c:pt idx="50">
                  <c:v>8.4718583259955942</c:v>
                </c:pt>
                <c:pt idx="51">
                  <c:v>8.3952606244188193</c:v>
                </c:pt>
                <c:pt idx="52">
                  <c:v>8.4704007858091845</c:v>
                </c:pt>
                <c:pt idx="53">
                  <c:v>8.3966667585096904</c:v>
                </c:pt>
                <c:pt idx="54">
                  <c:v>8.4690494682191524</c:v>
                </c:pt>
                <c:pt idx="55">
                  <c:v>8.397972695224194</c:v>
                </c:pt>
                <c:pt idx="56">
                  <c:v>8.4677931701365559</c:v>
                </c:pt>
                <c:pt idx="57">
                  <c:v>8.3991887752847809</c:v>
                </c:pt>
                <c:pt idx="58">
                  <c:v>8.4666222103173894</c:v>
                </c:pt>
                <c:pt idx="59">
                  <c:v>8.4003239638714611</c:v>
                </c:pt>
                <c:pt idx="60">
                  <c:v>8.4655281794487625</c:v>
                </c:pt>
                <c:pt idx="61">
                  <c:v>8.4013860719716167</c:v>
                </c:pt>
                <c:pt idx="62">
                  <c:v>8.4645037379145762</c:v>
                </c:pt>
                <c:pt idx="63">
                  <c:v>8.402381936319248</c:v>
                </c:pt>
                <c:pt idx="64">
                  <c:v>8.4635424509586272</c:v>
                </c:pt>
                <c:pt idx="65">
                  <c:v>8.4033175666958915</c:v>
                </c:pt>
                <c:pt idx="66">
                  <c:v>8.4626386534172742</c:v>
                </c:pt>
                <c:pt idx="67">
                  <c:v>8.4041982672854498</c:v>
                </c:pt>
                <c:pt idx="68">
                  <c:v>8.4617873380055553</c:v>
                </c:pt>
                <c:pt idx="69">
                  <c:v>8.4050287372728683</c:v>
                </c:pt>
                <c:pt idx="70">
                  <c:v>8.4609840625226695</c:v>
                </c:pt>
                <c:pt idx="71">
                  <c:v>8.4058131547087989</c:v>
                </c:pt>
                <c:pt idx="72">
                  <c:v>8.4602248723237228</c:v>
                </c:pt>
                <c:pt idx="73">
                  <c:v>8.4065552468000142</c:v>
                </c:pt>
                <c:pt idx="74">
                  <c:v>8.4595062352205286</c:v>
                </c:pt>
                <c:pt idx="75">
                  <c:v>8.4072583491185178</c:v>
                </c:pt>
                <c:pt idx="76">
                  <c:v>8.4588249865387635</c:v>
                </c:pt>
                <c:pt idx="77">
                  <c:v>8.4079254557288774</c:v>
                </c:pt>
                <c:pt idx="78">
                  <c:v>8.4581782825331278</c:v>
                </c:pt>
                <c:pt idx="79">
                  <c:v>8.4085592617945153</c:v>
                </c:pt>
                <c:pt idx="80">
                  <c:v>8.4575635607104687</c:v>
                </c:pt>
                <c:pt idx="81">
                  <c:v>8.409162199975416</c:v>
                </c:pt>
                <c:pt idx="82">
                  <c:v>8.4569785059011213</c:v>
                </c:pt>
                <c:pt idx="83">
                  <c:v>8.4097364716204606</c:v>
                </c:pt>
                <c:pt idx="84">
                  <c:v>8.4564210211244326</c:v>
                </c:pt>
                <c:pt idx="85">
                  <c:v>8.4102840736261086</c:v>
                </c:pt>
                <c:pt idx="86">
                  <c:v>8.4558892024746086</c:v>
                </c:pt>
                <c:pt idx="87">
                  <c:v>8.4108068216299081</c:v>
                </c:pt>
                <c:pt idx="88">
                  <c:v>8.4553813174032211</c:v>
                </c:pt>
                <c:pt idx="89">
                  <c:v>8.4113063701232349</c:v>
                </c:pt>
                <c:pt idx="90">
                  <c:v>8.4548957858633411</c:v>
                </c:pt>
                <c:pt idx="91">
                  <c:v>8.4117842299362664</c:v>
                </c:pt>
                <c:pt idx="92">
                  <c:v>8.4544311638931724</c:v>
                </c:pt>
                <c:pt idx="93">
                  <c:v>8.4122417835042356</c:v>
                </c:pt>
                <c:pt idx="94">
                  <c:v>8.453986129274913</c:v>
                </c:pt>
                <c:pt idx="95">
                  <c:v>8.412680298219966</c:v>
                </c:pt>
                <c:pt idx="96">
                  <c:v>8.4535594689647748</c:v>
                </c:pt>
                <c:pt idx="97">
                  <c:v>8.4131009381537982</c:v>
                </c:pt>
                <c:pt idx="98">
                  <c:v>8.453150068059978</c:v>
                </c:pt>
                <c:pt idx="99">
                  <c:v>8.413504774380991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4F-5041-8DC4-E05CB978E337}"/>
            </c:ext>
          </c:extLst>
        </c:ser>
        <c:ser>
          <c:idx val="1"/>
          <c:order val="1"/>
          <c:tx>
            <c:v>LeisenReimer</c:v>
          </c:tx>
          <c:spPr>
            <a:ln w="158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Foglio1!$C$10:$C$58</c:f>
              <c:numCache>
                <c:formatCode>General</c:formatCode>
                <c:ptCount val="4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</c:numCache>
            </c:numRef>
          </c:xVal>
          <c:yVal>
            <c:numRef>
              <c:f>Foglio1!$F$9:$F$58</c:f>
              <c:numCache>
                <c:formatCode>General</c:formatCode>
                <c:ptCount val="50"/>
                <c:pt idx="0">
                  <c:v>8.4032328381098278</c:v>
                </c:pt>
                <c:pt idx="1">
                  <c:v>8.4032328381098278</c:v>
                </c:pt>
                <c:pt idx="2">
                  <c:v>8.4209343027405499</c:v>
                </c:pt>
                <c:pt idx="3">
                  <c:v>8.4209343027405499</c:v>
                </c:pt>
                <c:pt idx="4">
                  <c:v>8.4265692233797633</c:v>
                </c:pt>
                <c:pt idx="5">
                  <c:v>8.4265692233797633</c:v>
                </c:pt>
                <c:pt idx="6">
                  <c:v>8.4290713834427642</c:v>
                </c:pt>
                <c:pt idx="7">
                  <c:v>8.4290713834427642</c:v>
                </c:pt>
                <c:pt idx="8">
                  <c:v>8.4303997829055852</c:v>
                </c:pt>
                <c:pt idx="9">
                  <c:v>8.4303997829055852</c:v>
                </c:pt>
                <c:pt idx="10">
                  <c:v>8.4311892752480766</c:v>
                </c:pt>
                <c:pt idx="11">
                  <c:v>8.4311892752480766</c:v>
                </c:pt>
                <c:pt idx="12">
                  <c:v>8.4316966308156438</c:v>
                </c:pt>
                <c:pt idx="13">
                  <c:v>8.4316966308156438</c:v>
                </c:pt>
                <c:pt idx="14">
                  <c:v>8.4320419715266954</c:v>
                </c:pt>
                <c:pt idx="15">
                  <c:v>8.4320419715266954</c:v>
                </c:pt>
                <c:pt idx="16">
                  <c:v>8.4322876414373233</c:v>
                </c:pt>
                <c:pt idx="17">
                  <c:v>8.4322876414373233</c:v>
                </c:pt>
                <c:pt idx="18">
                  <c:v>8.4324686288538455</c:v>
                </c:pt>
                <c:pt idx="19">
                  <c:v>8.4324686288538455</c:v>
                </c:pt>
                <c:pt idx="20">
                  <c:v>8.4326058081620321</c:v>
                </c:pt>
                <c:pt idx="21">
                  <c:v>8.4326058081620321</c:v>
                </c:pt>
                <c:pt idx="22">
                  <c:v>8.4327122618048218</c:v>
                </c:pt>
                <c:pt idx="23">
                  <c:v>8.4327122618048218</c:v>
                </c:pt>
                <c:pt idx="24">
                  <c:v>8.4327965280501438</c:v>
                </c:pt>
                <c:pt idx="25">
                  <c:v>8.4327965280501438</c:v>
                </c:pt>
                <c:pt idx="26">
                  <c:v>8.4328643720310978</c:v>
                </c:pt>
                <c:pt idx="27">
                  <c:v>8.4328643720310978</c:v>
                </c:pt>
                <c:pt idx="28">
                  <c:v>8.432919800629822</c:v>
                </c:pt>
                <c:pt idx="29">
                  <c:v>8.432919800629822</c:v>
                </c:pt>
                <c:pt idx="30">
                  <c:v>8.4329656689517041</c:v>
                </c:pt>
                <c:pt idx="31">
                  <c:v>8.4329656689517041</c:v>
                </c:pt>
                <c:pt idx="32">
                  <c:v>8.433004056018639</c:v>
                </c:pt>
                <c:pt idx="33">
                  <c:v>8.433004056018639</c:v>
                </c:pt>
                <c:pt idx="34">
                  <c:v>8.4330365048567462</c:v>
                </c:pt>
                <c:pt idx="35">
                  <c:v>8.4330365048567462</c:v>
                </c:pt>
                <c:pt idx="36">
                  <c:v>8.4330641801908399</c:v>
                </c:pt>
                <c:pt idx="37">
                  <c:v>8.4330641801908399</c:v>
                </c:pt>
                <c:pt idx="38">
                  <c:v>8.4330879745364058</c:v>
                </c:pt>
                <c:pt idx="39">
                  <c:v>8.4330879745364058</c:v>
                </c:pt>
                <c:pt idx="40">
                  <c:v>8.4331085811313677</c:v>
                </c:pt>
                <c:pt idx="41">
                  <c:v>8.4331085811313677</c:v>
                </c:pt>
                <c:pt idx="42">
                  <c:v>8.43312654504685</c:v>
                </c:pt>
                <c:pt idx="43">
                  <c:v>8.43312654504685</c:v>
                </c:pt>
                <c:pt idx="44">
                  <c:v>8.4331422996283667</c:v>
                </c:pt>
                <c:pt idx="45">
                  <c:v>8.4331422996283667</c:v>
                </c:pt>
                <c:pt idx="46">
                  <c:v>8.4331561928971528</c:v>
                </c:pt>
                <c:pt idx="47">
                  <c:v>8.4331561928971528</c:v>
                </c:pt>
                <c:pt idx="48">
                  <c:v>8.4331685069462683</c:v>
                </c:pt>
                <c:pt idx="49">
                  <c:v>8.4331685069462683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4F-5041-8DC4-E05CB978E337}"/>
            </c:ext>
          </c:extLst>
        </c:ser>
        <c:ser>
          <c:idx val="2"/>
          <c:order val="2"/>
          <c:tx>
            <c:v>B-S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Lit>
              <c:formatCode>General</c:formatCode>
              <c:ptCount val="2"/>
              <c:pt idx="0">
                <c:v>50</c:v>
              </c:pt>
              <c:pt idx="1">
                <c:v>100</c:v>
              </c:pt>
            </c:numLit>
          </c:xVal>
          <c:yVal>
            <c:numRef>
              <c:f>(Foglio1!$F$2,Foglio1!$F$2)</c:f>
              <c:numCache>
                <c:formatCode>General</c:formatCode>
                <c:ptCount val="2"/>
                <c:pt idx="0">
                  <c:v>8.4333186901096084</c:v>
                </c:pt>
                <c:pt idx="1">
                  <c:v>8.4333186901096084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4F-5041-8DC4-E05CB978E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544064"/>
        <c:axId val="962558848"/>
      </c:scatterChart>
      <c:valAx>
        <c:axId val="962544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2558848"/>
        <c:crosses val="autoZero"/>
        <c:crossBetween val="midCat"/>
      </c:valAx>
      <c:valAx>
        <c:axId val="96255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2544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524500297477586"/>
          <c:y val="0.22696033777211713"/>
          <c:w val="0.21908098460186401"/>
          <c:h val="0.233433528798602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339112</xdr:colOff>
      <xdr:row>5</xdr:row>
      <xdr:rowOff>79791</xdr:rowOff>
    </xdr:from>
    <xdr:to>
      <xdr:col>12</xdr:col>
      <xdr:colOff>234125</xdr:colOff>
      <xdr:row>17</xdr:row>
      <xdr:rowOff>53194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C82D8CE-DCE5-4348-7B0F-764EAD7330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336424</xdr:colOff>
      <xdr:row>17</xdr:row>
      <xdr:rowOff>83434</xdr:rowOff>
    </xdr:from>
    <xdr:to>
      <xdr:col>12</xdr:col>
      <xdr:colOff>294372</xdr:colOff>
      <xdr:row>28</xdr:row>
      <xdr:rowOff>75696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6AB52F8F-465F-89CD-FDA6-0C0CFD2661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270820</xdr:colOff>
      <xdr:row>29</xdr:row>
      <xdr:rowOff>16148</xdr:rowOff>
    </xdr:from>
    <xdr:to>
      <xdr:col>12</xdr:col>
      <xdr:colOff>721628</xdr:colOff>
      <xdr:row>43</xdr:row>
      <xdr:rowOff>51137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990B7847-4878-4E87-B96A-FAE7FF2692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researchgate.net/profile/Dietmar-Leisen-2/publication/227603938_Binomial_Models_for_Option_Valuation-Examining_and_Improving_Convergence/links/00b49532955e5ac4cb000000/Binomial-Models-for-Option-Valuation-Examining-and-Improving-Convergence.pdf?origin=publication_detai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/>
  <dimension ref="A2:D17"/>
  <sheetViews>
    <sheetView tabSelected="1" zoomScale="164" zoomScaleNormal="164" workbookViewId="0">
      <selection activeCell="F15" sqref="F15"/>
    </sheetView>
  </sheetViews>
  <sheetFormatPr baseColWidth="10" defaultColWidth="8.83203125" defaultRowHeight="15" x14ac:dyDescent="0.2"/>
  <sheetData>
    <row r="2" spans="1:2" x14ac:dyDescent="0.2">
      <c r="A2" t="s">
        <v>1</v>
      </c>
    </row>
    <row r="3" spans="1:2" x14ac:dyDescent="0.2">
      <c r="A3" t="s">
        <v>2</v>
      </c>
    </row>
    <row r="4" spans="1:2" x14ac:dyDescent="0.2">
      <c r="A4" t="s">
        <v>3</v>
      </c>
      <c r="B4" t="s">
        <v>4</v>
      </c>
    </row>
    <row r="5" spans="1:2" x14ac:dyDescent="0.2">
      <c r="A5" t="s">
        <v>0</v>
      </c>
      <c r="B5" t="s">
        <v>9</v>
      </c>
    </row>
    <row r="6" spans="1:2" x14ac:dyDescent="0.2">
      <c r="A6" t="s">
        <v>5</v>
      </c>
      <c r="B6" t="s">
        <v>6</v>
      </c>
    </row>
    <row r="7" spans="1:2" x14ac:dyDescent="0.2">
      <c r="A7" t="s">
        <v>7</v>
      </c>
      <c r="B7" t="s">
        <v>8</v>
      </c>
    </row>
    <row r="8" spans="1:2" x14ac:dyDescent="0.2">
      <c r="A8" t="s">
        <v>10</v>
      </c>
      <c r="B8" t="s">
        <v>14</v>
      </c>
    </row>
    <row r="9" spans="1:2" x14ac:dyDescent="0.2">
      <c r="A9" t="s">
        <v>13</v>
      </c>
      <c r="B9" t="s">
        <v>15</v>
      </c>
    </row>
    <row r="11" spans="1:2" x14ac:dyDescent="0.2">
      <c r="A11" t="s">
        <v>11</v>
      </c>
    </row>
    <row r="12" spans="1:2" x14ac:dyDescent="0.2">
      <c r="A12" s="1" t="s">
        <v>12</v>
      </c>
    </row>
    <row r="17" spans="4:4" ht="26" x14ac:dyDescent="0.3">
      <c r="D17" s="11" t="s">
        <v>29</v>
      </c>
    </row>
  </sheetData>
  <hyperlinks>
    <hyperlink ref="A12" r:id="rId1" display="https://www.researchgate.net/profile/Dietmar-Leisen-2/publication/227603938_Binomial_Models_for_Option_Valuation-Examining_and_Improving_Convergence/links/00b49532955e5ac4cb000000/Binomial-Models-for-Option-Valuation-Examining-and-Improving-Convergence.pdf?origin=publication_detail" xr:uid="{3D4F2D36-273F-5546-9E73-23C46A138C0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DFF7B-7C99-DC4F-A5AA-D03E2A0CB21A}">
  <sheetPr codeName="Foglio2"/>
  <dimension ref="B2:G108"/>
  <sheetViews>
    <sheetView zoomScale="150" zoomScaleNormal="150" workbookViewId="0">
      <selection activeCell="G3" sqref="G3"/>
    </sheetView>
  </sheetViews>
  <sheetFormatPr baseColWidth="10" defaultRowHeight="15" x14ac:dyDescent="0.2"/>
  <sheetData>
    <row r="2" spans="2:7" ht="19" x14ac:dyDescent="0.25">
      <c r="B2" s="7" t="s">
        <v>16</v>
      </c>
      <c r="C2" s="8">
        <v>100</v>
      </c>
      <c r="E2" s="6" t="s">
        <v>23</v>
      </c>
      <c r="F2" cm="1">
        <f t="array" ref="F2">BlackScholesCall(C2,C3,C4,C5,C6,C7)</f>
        <v>8.4333186901096084</v>
      </c>
    </row>
    <row r="3" spans="2:7" ht="19" x14ac:dyDescent="0.25">
      <c r="B3" s="7" t="s">
        <v>20</v>
      </c>
      <c r="C3" s="8">
        <v>100</v>
      </c>
    </row>
    <row r="4" spans="2:7" ht="19" x14ac:dyDescent="0.25">
      <c r="B4" s="7" t="s">
        <v>17</v>
      </c>
      <c r="C4" s="9">
        <v>0.01</v>
      </c>
    </row>
    <row r="5" spans="2:7" ht="19" x14ac:dyDescent="0.25">
      <c r="B5" s="7" t="s">
        <v>18</v>
      </c>
      <c r="C5" s="9">
        <v>0.2</v>
      </c>
    </row>
    <row r="6" spans="2:7" ht="19" x14ac:dyDescent="0.25">
      <c r="B6" s="7" t="s">
        <v>22</v>
      </c>
      <c r="C6" s="8">
        <v>0</v>
      </c>
    </row>
    <row r="7" spans="2:7" ht="19" x14ac:dyDescent="0.25">
      <c r="B7" s="7" t="s">
        <v>19</v>
      </c>
      <c r="C7" s="8">
        <v>1</v>
      </c>
      <c r="E7" s="4" t="s">
        <v>24</v>
      </c>
      <c r="F7" s="5" t="s">
        <v>28</v>
      </c>
    </row>
    <row r="9" spans="2:7" x14ac:dyDescent="0.2">
      <c r="B9" s="10" t="s">
        <v>21</v>
      </c>
      <c r="C9">
        <v>1</v>
      </c>
      <c r="E9" cm="1">
        <f t="array" ref="E9">European_Call_Binomial($C$2,$C$3,$C$4,$C$5,$C$6,$C$7,C9)</f>
        <v>10.414722119216913</v>
      </c>
      <c r="F9" cm="1">
        <f t="array" ref="F9">LeisenReimerTrunc("e","c",$C$2,$C$3,$C$7,$C$4,0.01,$C$5,C10)</f>
        <v>8.4032328381098278</v>
      </c>
      <c r="G9" s="2" t="s">
        <v>25</v>
      </c>
    </row>
    <row r="10" spans="2:7" x14ac:dyDescent="0.2">
      <c r="C10">
        <v>2</v>
      </c>
      <c r="E10" cm="1">
        <f t="array" ref="E10">European_Call_Binomial($C$2,$C$3,$C$4,$C$5,$C$6,$C$7,C10)</f>
        <v>7.5304594203259327</v>
      </c>
      <c r="F10" cm="1">
        <f t="array" ref="F10">LeisenReimerTrunc("e","c",$C$2,$C$3,$C$7,$C$4,0.01,$C$5,C11)</f>
        <v>8.4032328381098278</v>
      </c>
      <c r="G10" s="3" t="s">
        <v>26</v>
      </c>
    </row>
    <row r="11" spans="2:7" x14ac:dyDescent="0.2">
      <c r="C11">
        <v>3</v>
      </c>
      <c r="E11" cm="1">
        <f t="array" ref="E11">European_Call_Binomial($C$2,$C$3,$C$4,$C$5,$C$6,$C$7,C11)</f>
        <v>9.102713327404679</v>
      </c>
      <c r="F11" cm="1">
        <f t="array" ref="F11">LeisenReimerTrunc("e","c",$C$2,$C$3,$C$7,$C$4,0.01,$C$5,C12)</f>
        <v>8.4209343027405499</v>
      </c>
      <c r="G11" s="3" t="s">
        <v>27</v>
      </c>
    </row>
    <row r="12" spans="2:7" x14ac:dyDescent="0.2">
      <c r="C12">
        <v>4</v>
      </c>
      <c r="E12" cm="1">
        <f t="array" ref="E12">European_Call_Binomial($C$2,$C$3,$C$4,$C$5,$C$6,$C$7,C12)</f>
        <v>7.9570676315773943</v>
      </c>
      <c r="F12" cm="1">
        <f t="array" ref="F12">LeisenReimerTrunc("e","c",$C$2,$C$3,$C$7,$C$4,0.01,$C$5,C13)</f>
        <v>8.4209343027405499</v>
      </c>
    </row>
    <row r="13" spans="2:7" x14ac:dyDescent="0.2">
      <c r="C13">
        <v>5</v>
      </c>
      <c r="E13" cm="1">
        <f t="array" ref="E13">European_Call_Binomial($C$2,$C$3,$C$4,$C$5,$C$6,$C$7,C13)</f>
        <v>8.8326905228238868</v>
      </c>
      <c r="F13" cm="1">
        <f t="array" ref="F13">LeisenReimerTrunc("e","c",$C$2,$C$3,$C$7,$C$4,0.01,$C$5,C14)</f>
        <v>8.4265692233797633</v>
      </c>
    </row>
    <row r="14" spans="2:7" x14ac:dyDescent="0.2">
      <c r="C14">
        <v>6</v>
      </c>
      <c r="E14" cm="1">
        <f t="array" ref="E14">European_Call_Binomial($C$2,$C$3,$C$4,$C$5,$C$6,$C$7,C14)</f>
        <v>8.1108851422214716</v>
      </c>
      <c r="F14" cm="1">
        <f t="array" ref="F14">LeisenReimerTrunc("e","c",$C$2,$C$3,$C$7,$C$4,0.01,$C$5,C15)</f>
        <v>8.4265692233797633</v>
      </c>
    </row>
    <row r="15" spans="2:7" x14ac:dyDescent="0.2">
      <c r="C15">
        <v>7</v>
      </c>
      <c r="E15" cm="1">
        <f t="array" ref="E15">European_Call_Binomial($C$2,$C$3,$C$4,$C$5,$C$6,$C$7,C15)</f>
        <v>8.7174734897470501</v>
      </c>
      <c r="F15" cm="1">
        <f t="array" ref="F15">LeisenReimerTrunc("e","c",$C$2,$C$3,$C$7,$C$4,0.01,$C$5,C16)</f>
        <v>8.4290713834427642</v>
      </c>
    </row>
    <row r="16" spans="2:7" x14ac:dyDescent="0.2">
      <c r="C16">
        <v>8</v>
      </c>
      <c r="E16" cm="1">
        <f t="array" ref="E16">European_Call_Binomial($C$2,$C$3,$C$4,$C$5,$C$6,$C$7,C16)</f>
        <v>8.189780315427809</v>
      </c>
      <c r="F16" cm="1">
        <f t="array" ref="F16">LeisenReimerTrunc("e","c",$C$2,$C$3,$C$7,$C$4,0.01,$C$5,C17)</f>
        <v>8.4290713834427642</v>
      </c>
    </row>
    <row r="17" spans="3:6" x14ac:dyDescent="0.2">
      <c r="C17">
        <v>9</v>
      </c>
      <c r="E17" cm="1">
        <f t="array" ref="E17">European_Call_Binomial($C$2,$C$3,$C$4,$C$5,$C$6,$C$7,C17)</f>
        <v>8.6537545151636035</v>
      </c>
      <c r="F17" cm="1">
        <f t="array" ref="F17">LeisenReimerTrunc("e","c",$C$2,$C$3,$C$7,$C$4,0.01,$C$5,C18)</f>
        <v>8.4303997829055852</v>
      </c>
    </row>
    <row r="18" spans="3:6" x14ac:dyDescent="0.2">
      <c r="C18">
        <v>10</v>
      </c>
      <c r="E18" cm="1">
        <f t="array" ref="E18">European_Call_Binomial($C$2,$C$3,$C$4,$C$5,$C$6,$C$7,C18)</f>
        <v>8.2377064813940173</v>
      </c>
      <c r="F18" cm="1">
        <f t="array" ref="F18">LeisenReimerTrunc("e","c",$C$2,$C$3,$C$7,$C$4,0.01,$C$5,C19)</f>
        <v>8.4303997829055852</v>
      </c>
    </row>
    <row r="19" spans="3:6" x14ac:dyDescent="0.2">
      <c r="C19">
        <v>11</v>
      </c>
      <c r="E19" cm="1">
        <f t="array" ref="E19">European_Call_Binomial($C$2,$C$3,$C$4,$C$5,$C$6,$C$7,C19)</f>
        <v>8.6133472237522888</v>
      </c>
      <c r="F19" cm="1">
        <f t="array" ref="F19">LeisenReimerTrunc("e","c",$C$2,$C$3,$C$7,$C$4,0.01,$C$5,C20)</f>
        <v>8.4311892752480766</v>
      </c>
    </row>
    <row r="20" spans="3:6" x14ac:dyDescent="0.2">
      <c r="C20">
        <v>12</v>
      </c>
      <c r="E20" cm="1">
        <f t="array" ref="E20">European_Call_Binomial($C$2,$C$3,$C$4,$C$5,$C$6,$C$7,C20)</f>
        <v>8.2698895755617627</v>
      </c>
      <c r="F20" cm="1">
        <f t="array" ref="F20">LeisenReimerTrunc("e","c",$C$2,$C$3,$C$7,$C$4,0.01,$C$5,C21)</f>
        <v>8.4311892752480766</v>
      </c>
    </row>
    <row r="21" spans="3:6" x14ac:dyDescent="0.2">
      <c r="C21">
        <v>13</v>
      </c>
      <c r="E21" cm="1">
        <f t="array" ref="E21">European_Call_Binomial($C$2,$C$3,$C$4,$C$5,$C$6,$C$7,C21)</f>
        <v>8.5854468264058266</v>
      </c>
      <c r="F21" cm="1">
        <f t="array" ref="F21">LeisenReimerTrunc("e","c",$C$2,$C$3,$C$7,$C$4,0.01,$C$5,C22)</f>
        <v>8.4316966308156438</v>
      </c>
    </row>
    <row r="22" spans="3:6" x14ac:dyDescent="0.2">
      <c r="C22">
        <v>14</v>
      </c>
      <c r="E22" cm="1">
        <f t="array" ref="E22">European_Call_Binomial($C$2,$C$3,$C$4,$C$5,$C$6,$C$7,C22)</f>
        <v>8.2929867539169333</v>
      </c>
      <c r="F22" cm="1">
        <f t="array" ref="F22">LeisenReimerTrunc("e","c",$C$2,$C$3,$C$7,$C$4,0.01,$C$5,C23)</f>
        <v>8.4316966308156438</v>
      </c>
    </row>
    <row r="23" spans="3:6" x14ac:dyDescent="0.2">
      <c r="C23">
        <v>15</v>
      </c>
      <c r="E23" cm="1">
        <f t="array" ref="E23">European_Call_Binomial($C$2,$C$3,$C$4,$C$5,$C$6,$C$7,C23)</f>
        <v>8.5650283826907323</v>
      </c>
      <c r="F23" cm="1">
        <f t="array" ref="F23">LeisenReimerTrunc("e","c",$C$2,$C$3,$C$7,$C$4,0.01,$C$5,C24)</f>
        <v>8.4320419715266954</v>
      </c>
    </row>
    <row r="24" spans="3:6" x14ac:dyDescent="0.2">
      <c r="C24">
        <v>16</v>
      </c>
      <c r="E24" cm="1">
        <f t="array" ref="E24">European_Call_Binomial($C$2,$C$3,$C$4,$C$5,$C$6,$C$7,C24)</f>
        <v>8.3103675562953434</v>
      </c>
      <c r="F24" cm="1">
        <f t="array" ref="F24">LeisenReimerTrunc("e","c",$C$2,$C$3,$C$7,$C$4,0.01,$C$5,C25)</f>
        <v>8.4320419715266954</v>
      </c>
    </row>
    <row r="25" spans="3:6" x14ac:dyDescent="0.2">
      <c r="C25">
        <v>17</v>
      </c>
      <c r="E25" cm="1">
        <f t="array" ref="E25">European_Call_Binomial($C$2,$C$3,$C$4,$C$5,$C$6,$C$7,C25)</f>
        <v>8.5494396000369601</v>
      </c>
      <c r="F25" cm="1">
        <f t="array" ref="F25">LeisenReimerTrunc("e","c",$C$2,$C$3,$C$7,$C$4,0.01,$C$5,C26)</f>
        <v>8.4322876414373233</v>
      </c>
    </row>
    <row r="26" spans="3:6" x14ac:dyDescent="0.2">
      <c r="C26">
        <v>18</v>
      </c>
      <c r="E26" cm="1">
        <f t="array" ref="E26">European_Call_Binomial($C$2,$C$3,$C$4,$C$5,$C$6,$C$7,C26)</f>
        <v>8.3239194497314593</v>
      </c>
      <c r="F26" cm="1">
        <f t="array" ref="F26">LeisenReimerTrunc("e","c",$C$2,$C$3,$C$7,$C$4,0.01,$C$5,C27)</f>
        <v>8.4322876414373233</v>
      </c>
    </row>
    <row r="27" spans="3:6" x14ac:dyDescent="0.2">
      <c r="C27">
        <v>19</v>
      </c>
      <c r="E27" cm="1">
        <f t="array" ref="E27">European_Call_Binomial($C$2,$C$3,$C$4,$C$5,$C$6,$C$7,C27)</f>
        <v>8.5371488340077182</v>
      </c>
      <c r="F27" cm="1">
        <f t="array" ref="F27">LeisenReimerTrunc("e","c",$C$2,$C$3,$C$7,$C$4,0.01,$C$5,C28)</f>
        <v>8.4324686288538455</v>
      </c>
    </row>
    <row r="28" spans="3:6" x14ac:dyDescent="0.2">
      <c r="C28">
        <v>20</v>
      </c>
      <c r="E28" cm="1">
        <f t="array" ref="E28">European_Call_Binomial($C$2,$C$3,$C$4,$C$5,$C$6,$C$7,C28)</f>
        <v>8.3347816511341115</v>
      </c>
      <c r="F28" cm="1">
        <f t="array" ref="F28">LeisenReimerTrunc("e","c",$C$2,$C$3,$C$7,$C$4,0.01,$C$5,C29)</f>
        <v>8.4324686288538455</v>
      </c>
    </row>
    <row r="29" spans="3:6" x14ac:dyDescent="0.2">
      <c r="C29">
        <v>21</v>
      </c>
      <c r="E29" cm="1">
        <f t="array" ref="E29">European_Call_Binomial($C$2,$C$3,$C$4,$C$5,$C$6,$C$7,C29)</f>
        <v>8.5272099533887662</v>
      </c>
      <c r="F29" cm="1">
        <f t="array" ref="F29">LeisenReimerTrunc("e","c",$C$2,$C$3,$C$7,$C$4,0.01,$C$5,C30)</f>
        <v>8.4326058081620321</v>
      </c>
    </row>
    <row r="30" spans="3:6" x14ac:dyDescent="0.2">
      <c r="C30">
        <v>22</v>
      </c>
      <c r="E30" cm="1">
        <f t="array" ref="E30">European_Call_Binomial($C$2,$C$3,$C$4,$C$5,$C$6,$C$7,C30)</f>
        <v>8.3436823630808945</v>
      </c>
      <c r="F30" cm="1">
        <f t="array" ref="F30">LeisenReimerTrunc("e","c",$C$2,$C$3,$C$7,$C$4,0.01,$C$5,C31)</f>
        <v>8.4326058081620321</v>
      </c>
    </row>
    <row r="31" spans="3:6" x14ac:dyDescent="0.2">
      <c r="C31">
        <v>23</v>
      </c>
      <c r="E31" cm="1">
        <f t="array" ref="E31">European_Call_Binomial($C$2,$C$3,$C$4,$C$5,$C$6,$C$7,C31)</f>
        <v>8.5190070379305833</v>
      </c>
      <c r="F31" cm="1">
        <f t="array" ref="F31">LeisenReimerTrunc("e","c",$C$2,$C$3,$C$7,$C$4,0.01,$C$5,C32)</f>
        <v>8.4327122618048218</v>
      </c>
    </row>
    <row r="32" spans="3:6" x14ac:dyDescent="0.2">
      <c r="C32">
        <v>24</v>
      </c>
      <c r="E32" cm="1">
        <f t="array" ref="E32">European_Call_Binomial($C$2,$C$3,$C$4,$C$5,$C$6,$C$7,C32)</f>
        <v>8.351108748921817</v>
      </c>
      <c r="F32" cm="1">
        <f t="array" ref="F32">LeisenReimerTrunc("e","c",$C$2,$C$3,$C$7,$C$4,0.01,$C$5,C33)</f>
        <v>8.4327122618048218</v>
      </c>
    </row>
    <row r="33" spans="3:6" x14ac:dyDescent="0.2">
      <c r="C33">
        <v>25</v>
      </c>
      <c r="E33" cm="1">
        <f t="array" ref="E33">European_Call_Binomial($C$2,$C$3,$C$4,$C$5,$C$6,$C$7,C33)</f>
        <v>8.5121219141174471</v>
      </c>
      <c r="F33" cm="1">
        <f t="array" ref="F33">LeisenReimerTrunc("e","c",$C$2,$C$3,$C$7,$C$4,0.01,$C$5,C34)</f>
        <v>8.4327965280501438</v>
      </c>
    </row>
    <row r="34" spans="3:6" x14ac:dyDescent="0.2">
      <c r="C34">
        <v>26</v>
      </c>
      <c r="E34" cm="1">
        <f t="array" ref="E34">European_Call_Binomial($C$2,$C$3,$C$4,$C$5,$C$6,$C$7,C34)</f>
        <v>8.3573990191522505</v>
      </c>
      <c r="F34" cm="1">
        <f t="array" ref="F34">LeisenReimerTrunc("e","c",$C$2,$C$3,$C$7,$C$4,0.01,$C$5,C35)</f>
        <v>8.4327965280501438</v>
      </c>
    </row>
    <row r="35" spans="3:6" x14ac:dyDescent="0.2">
      <c r="C35">
        <v>27</v>
      </c>
      <c r="E35" cm="1">
        <f t="array" ref="E35">European_Call_Binomial($C$2,$C$3,$C$4,$C$5,$C$6,$C$7,C35)</f>
        <v>8.5062607077408927</v>
      </c>
      <c r="F35" cm="1">
        <f t="array" ref="F35">LeisenReimerTrunc("e","c",$C$2,$C$3,$C$7,$C$4,0.01,$C$5,C36)</f>
        <v>8.4328643720310978</v>
      </c>
    </row>
    <row r="36" spans="3:6" x14ac:dyDescent="0.2">
      <c r="C36">
        <v>28</v>
      </c>
      <c r="E36" cm="1">
        <f t="array" ref="E36">European_Call_Binomial($C$2,$C$3,$C$4,$C$5,$C$6,$C$7,C36)</f>
        <v>8.3627953062745508</v>
      </c>
      <c r="F36" cm="1">
        <f t="array" ref="F36">LeisenReimerTrunc("e","c",$C$2,$C$3,$C$7,$C$4,0.01,$C$5,C37)</f>
        <v>8.4328643720310978</v>
      </c>
    </row>
    <row r="37" spans="3:6" x14ac:dyDescent="0.2">
      <c r="C37">
        <v>29</v>
      </c>
      <c r="E37" cm="1">
        <f t="array" ref="E37">European_Call_Binomial($C$2,$C$3,$C$4,$C$5,$C$6,$C$7,C37)</f>
        <v>8.5012108629683443</v>
      </c>
      <c r="F37" cm="1">
        <f t="array" ref="F37">LeisenReimerTrunc("e","c",$C$2,$C$3,$C$7,$C$4,0.01,$C$5,C38)</f>
        <v>8.432919800629822</v>
      </c>
    </row>
    <row r="38" spans="3:6" x14ac:dyDescent="0.2">
      <c r="C38">
        <v>30</v>
      </c>
      <c r="E38" cm="1">
        <f t="array" ref="E38">European_Call_Binomial($C$2,$C$3,$C$4,$C$5,$C$6,$C$7,C38)</f>
        <v>8.3674755134395653</v>
      </c>
      <c r="F38" cm="1">
        <f t="array" ref="F38">LeisenReimerTrunc("e","c",$C$2,$C$3,$C$7,$C$4,0.01,$C$5,C39)</f>
        <v>8.432919800629822</v>
      </c>
    </row>
    <row r="39" spans="3:6" x14ac:dyDescent="0.2">
      <c r="C39">
        <v>31</v>
      </c>
      <c r="E39" cm="1">
        <f t="array" ref="E39">European_Call_Binomial($C$2,$C$3,$C$4,$C$5,$C$6,$C$7,C39)</f>
        <v>8.4968148396020595</v>
      </c>
      <c r="F39" cm="1">
        <f t="array" ref="F39">LeisenReimerTrunc("e","c",$C$2,$C$3,$C$7,$C$4,0.01,$C$5,C40)</f>
        <v>8.4329656689517041</v>
      </c>
    </row>
    <row r="40" spans="3:6" x14ac:dyDescent="0.2">
      <c r="C40">
        <v>32</v>
      </c>
      <c r="E40" cm="1">
        <f t="array" ref="E40">European_Call_Binomial($C$2,$C$3,$C$4,$C$5,$C$6,$C$7,C40)</f>
        <v>8.3715732838574031</v>
      </c>
      <c r="F40" cm="1">
        <f t="array" ref="F40">LeisenReimerTrunc("e","c",$C$2,$C$3,$C$7,$C$4,0.01,$C$5,C41)</f>
        <v>8.4329656689517041</v>
      </c>
    </row>
    <row r="41" spans="3:6" x14ac:dyDescent="0.2">
      <c r="C41">
        <v>33</v>
      </c>
      <c r="E41" cm="1">
        <f t="array" ref="E41">European_Call_Binomial($C$2,$C$3,$C$4,$C$5,$C$6,$C$7,C41)</f>
        <v>8.4929533978409264</v>
      </c>
      <c r="F41" cm="1">
        <f t="array" ref="F41">LeisenReimerTrunc("e","c",$C$2,$C$3,$C$7,$C$4,0.01,$C$5,C42)</f>
        <v>8.433004056018639</v>
      </c>
    </row>
    <row r="42" spans="3:6" x14ac:dyDescent="0.2">
      <c r="C42">
        <v>34</v>
      </c>
      <c r="E42" cm="1">
        <f t="array" ref="E42">European_Call_Binomial($C$2,$C$3,$C$4,$C$5,$C$6,$C$7,C42)</f>
        <v>8.3751909570271312</v>
      </c>
      <c r="F42" cm="1">
        <f t="array" ref="F42">LeisenReimerTrunc("e","c",$C$2,$C$3,$C$7,$C$4,0.01,$C$5,C43)</f>
        <v>8.433004056018639</v>
      </c>
    </row>
    <row r="43" spans="3:6" x14ac:dyDescent="0.2">
      <c r="C43">
        <v>35</v>
      </c>
      <c r="E43" cm="1">
        <f t="array" ref="E43">European_Call_Binomial($C$2,$C$3,$C$4,$C$5,$C$6,$C$7,C43)</f>
        <v>8.4895346274148711</v>
      </c>
      <c r="F43" cm="1">
        <f t="array" ref="F43">LeisenReimerTrunc("e","c",$C$2,$C$3,$C$7,$C$4,0.01,$C$5,C44)</f>
        <v>8.4330365048567462</v>
      </c>
    </row>
    <row r="44" spans="3:6" x14ac:dyDescent="0.2">
      <c r="C44">
        <v>36</v>
      </c>
      <c r="E44" cm="1">
        <f t="array" ref="E44">European_Call_Binomial($C$2,$C$3,$C$4,$C$5,$C$6,$C$7,C44)</f>
        <v>8.3784082260343027</v>
      </c>
      <c r="F44" cm="1">
        <f t="array" ref="F44">LeisenReimerTrunc("e","c",$C$2,$C$3,$C$7,$C$4,0.01,$C$5,C45)</f>
        <v>8.4330365048567462</v>
      </c>
    </row>
    <row r="45" spans="3:6" x14ac:dyDescent="0.2">
      <c r="C45">
        <v>37</v>
      </c>
      <c r="E45" cm="1">
        <f t="array" ref="E45">European_Call_Binomial($C$2,$C$3,$C$4,$C$5,$C$6,$C$7,C45)</f>
        <v>8.486486542980165</v>
      </c>
      <c r="F45" cm="1">
        <f t="array" ref="F45">LeisenReimerTrunc("e","c",$C$2,$C$3,$C$7,$C$4,0.01,$C$5,C46)</f>
        <v>8.4330641801908399</v>
      </c>
    </row>
    <row r="46" spans="3:6" x14ac:dyDescent="0.2">
      <c r="C46">
        <v>38</v>
      </c>
      <c r="E46" cm="1">
        <f t="array" ref="E46">European_Call_Binomial($C$2,$C$3,$C$4,$C$5,$C$6,$C$7,C46)</f>
        <v>8.3812880726620431</v>
      </c>
      <c r="F46" cm="1">
        <f t="array" ref="F46">LeisenReimerTrunc("e","c",$C$2,$C$3,$C$7,$C$4,0.01,$C$5,C47)</f>
        <v>8.4330641801908399</v>
      </c>
    </row>
    <row r="47" spans="3:6" x14ac:dyDescent="0.2">
      <c r="C47">
        <v>39</v>
      </c>
      <c r="E47" cm="1">
        <f t="array" ref="E47">European_Call_Binomial($C$2,$C$3,$C$4,$C$5,$C$6,$C$7,C47)</f>
        <v>8.4837519629439058</v>
      </c>
      <c r="F47" cm="1">
        <f t="array" ref="F47">LeisenReimerTrunc("e","c",$C$2,$C$3,$C$7,$C$4,0.01,$C$5,C48)</f>
        <v>8.4330879745364058</v>
      </c>
    </row>
    <row r="48" spans="3:6" x14ac:dyDescent="0.2">
      <c r="C48">
        <v>40</v>
      </c>
      <c r="E48" cm="1">
        <f t="array" ref="E48">European_Call_Binomial($C$2,$C$3,$C$4,$C$5,$C$6,$C$7,C48)</f>
        <v>8.3838809291104877</v>
      </c>
      <c r="F48" cm="1">
        <f t="array" ref="F48">LeisenReimerTrunc("e","c",$C$2,$C$3,$C$7,$C$4,0.01,$C$5,C49)</f>
        <v>8.4330879745364058</v>
      </c>
    </row>
    <row r="49" spans="3:6" x14ac:dyDescent="0.2">
      <c r="C49">
        <v>41</v>
      </c>
      <c r="E49" cm="1">
        <f t="array" ref="E49">European_Call_Binomial($C$2,$C$3,$C$4,$C$5,$C$6,$C$7,C49)</f>
        <v>8.4812848904302456</v>
      </c>
      <c r="F49" cm="1">
        <f t="array" ref="F49">LeisenReimerTrunc("e","c",$C$2,$C$3,$C$7,$C$4,0.01,$C$5,C50)</f>
        <v>8.4331085811313677</v>
      </c>
    </row>
    <row r="50" spans="3:6" x14ac:dyDescent="0.2">
      <c r="C50">
        <v>42</v>
      </c>
      <c r="E50" cm="1">
        <f t="array" ref="E50">European_Call_Binomial($C$2,$C$3,$C$4,$C$5,$C$6,$C$7,C50)</f>
        <v>8.3862276551311776</v>
      </c>
      <c r="F50" cm="1">
        <f t="array" ref="F50">LeisenReimerTrunc("e","c",$C$2,$C$3,$C$7,$C$4,0.01,$C$5,C51)</f>
        <v>8.4331085811313677</v>
      </c>
    </row>
    <row r="51" spans="3:6" x14ac:dyDescent="0.2">
      <c r="C51">
        <v>43</v>
      </c>
      <c r="E51" cm="1">
        <f t="array" ref="E51">European_Call_Binomial($C$2,$C$3,$C$4,$C$5,$C$6,$C$7,C51)</f>
        <v>8.479047906346489</v>
      </c>
      <c r="F51" cm="1">
        <f t="array" ref="F51">LeisenReimerTrunc("e","c",$C$2,$C$3,$C$7,$C$4,0.01,$C$5,C52)</f>
        <v>8.43312654504685</v>
      </c>
    </row>
    <row r="52" spans="3:6" x14ac:dyDescent="0.2">
      <c r="C52">
        <v>44</v>
      </c>
      <c r="E52" cm="1">
        <f t="array" ref="E52">European_Call_Binomial($C$2,$C$3,$C$4,$C$5,$C$6,$C$7,C52)</f>
        <v>8.3883617061084426</v>
      </c>
      <c r="F52" cm="1">
        <f t="array" ref="F52">LeisenReimerTrunc("e","c",$C$2,$C$3,$C$7,$C$4,0.01,$C$5,C53)</f>
        <v>8.43312654504685</v>
      </c>
    </row>
    <row r="53" spans="3:6" x14ac:dyDescent="0.2">
      <c r="C53">
        <v>45</v>
      </c>
      <c r="E53" cm="1">
        <f t="array" ref="E53">European_Call_Binomial($C$2,$C$3,$C$4,$C$5,$C$6,$C$7,C53)</f>
        <v>8.4770102590655156</v>
      </c>
      <c r="F53" cm="1">
        <f t="array" ref="F53">LeisenReimerTrunc("e","c",$C$2,$C$3,$C$7,$C$4,0.01,$C$5,C54)</f>
        <v>8.4331422996283667</v>
      </c>
    </row>
    <row r="54" spans="3:6" x14ac:dyDescent="0.2">
      <c r="C54">
        <v>46</v>
      </c>
      <c r="E54" cm="1">
        <f t="array" ref="E54">European_Call_Binomial($C$2,$C$3,$C$4,$C$5,$C$6,$C$7,C54)</f>
        <v>8.3903107374571579</v>
      </c>
      <c r="F54" cm="1">
        <f t="array" ref="F54">LeisenReimerTrunc("e","c",$C$2,$C$3,$C$7,$C$4,0.01,$C$5,C55)</f>
        <v>8.4331422996283667</v>
      </c>
    </row>
    <row r="55" spans="3:6" x14ac:dyDescent="0.2">
      <c r="C55">
        <v>47</v>
      </c>
      <c r="E55" cm="1">
        <f t="array" ref="E55">European_Call_Binomial($C$2,$C$3,$C$4,$C$5,$C$6,$C$7,C55)</f>
        <v>8.4751464428242826</v>
      </c>
      <c r="F55" cm="1">
        <f t="array" ref="F55">LeisenReimerTrunc("e","c",$C$2,$C$3,$C$7,$C$4,0.01,$C$5,C56)</f>
        <v>8.4331561928971528</v>
      </c>
    </row>
    <row r="56" spans="3:6" x14ac:dyDescent="0.2">
      <c r="C56">
        <v>48</v>
      </c>
      <c r="E56" cm="1">
        <f t="array" ref="E56">European_Call_Binomial($C$2,$C$3,$C$4,$C$5,$C$6,$C$7,C56)</f>
        <v>8.3920978092072964</v>
      </c>
      <c r="F56" cm="1">
        <f t="array" ref="F56">LeisenReimerTrunc("e","c",$C$2,$C$3,$C$7,$C$4,0.01,$C$5,C57)</f>
        <v>8.4331561928971528</v>
      </c>
    </row>
    <row r="57" spans="3:6" x14ac:dyDescent="0.2">
      <c r="C57">
        <v>49</v>
      </c>
      <c r="E57" cm="1">
        <f t="array" ref="E57">European_Call_Binomial($C$2,$C$3,$C$4,$C$5,$C$6,$C$7,C57)</f>
        <v>8.4734351249531468</v>
      </c>
      <c r="F57" cm="1">
        <f t="array" ref="F57">LeisenReimerTrunc("e","c",$C$2,$C$3,$C$7,$C$4,0.01,$C$5,C58)</f>
        <v>8.4331685069462683</v>
      </c>
    </row>
    <row r="58" spans="3:6" x14ac:dyDescent="0.2">
      <c r="C58">
        <v>50</v>
      </c>
      <c r="E58" cm="1">
        <f t="array" ref="E58">European_Call_Binomial($C$2,$C$3,$C$4,$C$5,$C$6,$C$7,C58)</f>
        <v>8.3937423023646716</v>
      </c>
      <c r="F58" cm="1">
        <f t="array" ref="F58">LeisenReimerTrunc("e","c",$C$2,$C$3,$C$7,$C$4,0.01,$C$5,C59)</f>
        <v>8.4331685069462683</v>
      </c>
    </row>
    <row r="59" spans="3:6" x14ac:dyDescent="0.2">
      <c r="C59">
        <v>51</v>
      </c>
      <c r="E59" cm="1">
        <f t="array" ref="E59">European_Call_Binomial($C$2,$C$3,$C$4,$C$5,$C$6,$C$7,C59)</f>
        <v>8.4718583259955942</v>
      </c>
    </row>
    <row r="60" spans="3:6" x14ac:dyDescent="0.2">
      <c r="C60">
        <v>52</v>
      </c>
      <c r="E60" cm="1">
        <f t="array" ref="E60">European_Call_Binomial($C$2,$C$3,$C$4,$C$5,$C$6,$C$7,C60)</f>
        <v>8.3952606244188193</v>
      </c>
    </row>
    <row r="61" spans="3:6" x14ac:dyDescent="0.2">
      <c r="C61">
        <v>53</v>
      </c>
      <c r="E61" cm="1">
        <f t="array" ref="E61">European_Call_Binomial($C$2,$C$3,$C$4,$C$5,$C$6,$C$7,C61)</f>
        <v>8.4704007858091845</v>
      </c>
    </row>
    <row r="62" spans="3:6" x14ac:dyDescent="0.2">
      <c r="C62">
        <v>54</v>
      </c>
      <c r="E62" cm="1">
        <f t="array" ref="E62">European_Call_Binomial($C$2,$C$3,$C$4,$C$5,$C$6,$C$7,C62)</f>
        <v>8.3966667585096904</v>
      </c>
    </row>
    <row r="63" spans="3:6" x14ac:dyDescent="0.2">
      <c r="C63">
        <v>55</v>
      </c>
      <c r="E63" cm="1">
        <f t="array" ref="E63">European_Call_Binomial($C$2,$C$3,$C$4,$C$5,$C$6,$C$7,C63)</f>
        <v>8.4690494682191524</v>
      </c>
    </row>
    <row r="64" spans="3:6" x14ac:dyDescent="0.2">
      <c r="C64">
        <v>56</v>
      </c>
      <c r="E64" cm="1">
        <f t="array" ref="E64">European_Call_Binomial($C$2,$C$3,$C$4,$C$5,$C$6,$C$7,C64)</f>
        <v>8.397972695224194</v>
      </c>
    </row>
    <row r="65" spans="3:5" x14ac:dyDescent="0.2">
      <c r="C65">
        <v>57</v>
      </c>
      <c r="E65" cm="1">
        <f t="array" ref="E65">European_Call_Binomial($C$2,$C$3,$C$4,$C$5,$C$6,$C$7,C65)</f>
        <v>8.4677931701365559</v>
      </c>
    </row>
    <row r="66" spans="3:5" x14ac:dyDescent="0.2">
      <c r="C66">
        <v>58</v>
      </c>
      <c r="E66" cm="1">
        <f t="array" ref="E66">European_Call_Binomial($C$2,$C$3,$C$4,$C$5,$C$6,$C$7,C66)</f>
        <v>8.3991887752847809</v>
      </c>
    </row>
    <row r="67" spans="3:5" x14ac:dyDescent="0.2">
      <c r="C67">
        <v>59</v>
      </c>
      <c r="E67" cm="1">
        <f t="array" ref="E67">European_Call_Binomial($C$2,$C$3,$C$4,$C$5,$C$6,$C$7,C67)</f>
        <v>8.4666222103173894</v>
      </c>
    </row>
    <row r="68" spans="3:5" x14ac:dyDescent="0.2">
      <c r="C68">
        <v>60</v>
      </c>
      <c r="E68" cm="1">
        <f t="array" ref="E68">European_Call_Binomial($C$2,$C$3,$C$4,$C$5,$C$6,$C$7,C68)</f>
        <v>8.4003239638714611</v>
      </c>
    </row>
    <row r="69" spans="3:5" x14ac:dyDescent="0.2">
      <c r="C69">
        <v>61</v>
      </c>
      <c r="E69" cm="1">
        <f t="array" ref="E69">European_Call_Binomial($C$2,$C$3,$C$4,$C$5,$C$6,$C$7,C69)</f>
        <v>8.4655281794487625</v>
      </c>
    </row>
    <row r="70" spans="3:5" x14ac:dyDescent="0.2">
      <c r="C70">
        <v>62</v>
      </c>
      <c r="E70" cm="1">
        <f t="array" ref="E70">European_Call_Binomial($C$2,$C$3,$C$4,$C$5,$C$6,$C$7,C70)</f>
        <v>8.4013860719716167</v>
      </c>
    </row>
    <row r="71" spans="3:5" x14ac:dyDescent="0.2">
      <c r="C71">
        <v>63</v>
      </c>
      <c r="E71" cm="1">
        <f t="array" ref="E71">European_Call_Binomial($C$2,$C$3,$C$4,$C$5,$C$6,$C$7,C71)</f>
        <v>8.4645037379145762</v>
      </c>
    </row>
    <row r="72" spans="3:5" x14ac:dyDescent="0.2">
      <c r="C72">
        <v>64</v>
      </c>
      <c r="E72" cm="1">
        <f t="array" ref="E72">European_Call_Binomial($C$2,$C$3,$C$4,$C$5,$C$6,$C$7,C72)</f>
        <v>8.402381936319248</v>
      </c>
    </row>
    <row r="73" spans="3:5" x14ac:dyDescent="0.2">
      <c r="C73">
        <v>65</v>
      </c>
      <c r="E73" cm="1">
        <f t="array" ref="E73">European_Call_Binomial($C$2,$C$3,$C$4,$C$5,$C$6,$C$7,C73)</f>
        <v>8.4635424509586272</v>
      </c>
    </row>
    <row r="74" spans="3:5" x14ac:dyDescent="0.2">
      <c r="C74">
        <v>66</v>
      </c>
      <c r="E74" cm="1">
        <f t="array" ref="E74">European_Call_Binomial($C$2,$C$3,$C$4,$C$5,$C$6,$C$7,C74)</f>
        <v>8.4033175666958915</v>
      </c>
    </row>
    <row r="75" spans="3:5" x14ac:dyDescent="0.2">
      <c r="C75">
        <v>67</v>
      </c>
      <c r="E75" cm="1">
        <f t="array" ref="E75">European_Call_Binomial($C$2,$C$3,$C$4,$C$5,$C$6,$C$7,C75)</f>
        <v>8.4626386534172742</v>
      </c>
    </row>
    <row r="76" spans="3:5" x14ac:dyDescent="0.2">
      <c r="C76">
        <v>68</v>
      </c>
      <c r="E76" cm="1">
        <f t="array" ref="E76">European_Call_Binomial($C$2,$C$3,$C$4,$C$5,$C$6,$C$7,C76)</f>
        <v>8.4041982672854498</v>
      </c>
    </row>
    <row r="77" spans="3:5" x14ac:dyDescent="0.2">
      <c r="C77">
        <v>69</v>
      </c>
      <c r="E77" cm="1">
        <f t="array" ref="E77">European_Call_Binomial($C$2,$C$3,$C$4,$C$5,$C$6,$C$7,C77)</f>
        <v>8.4617873380055553</v>
      </c>
    </row>
    <row r="78" spans="3:5" x14ac:dyDescent="0.2">
      <c r="C78">
        <v>70</v>
      </c>
      <c r="E78" cm="1">
        <f t="array" ref="E78">European_Call_Binomial($C$2,$C$3,$C$4,$C$5,$C$6,$C$7,C78)</f>
        <v>8.4050287372728683</v>
      </c>
    </row>
    <row r="79" spans="3:5" x14ac:dyDescent="0.2">
      <c r="C79">
        <v>71</v>
      </c>
      <c r="E79" cm="1">
        <f t="array" ref="E79">European_Call_Binomial($C$2,$C$3,$C$4,$C$5,$C$6,$C$7,C79)</f>
        <v>8.4609840625226695</v>
      </c>
    </row>
    <row r="80" spans="3:5" x14ac:dyDescent="0.2">
      <c r="C80">
        <v>72</v>
      </c>
      <c r="E80" cm="1">
        <f t="array" ref="E80">European_Call_Binomial($C$2,$C$3,$C$4,$C$5,$C$6,$C$7,C80)</f>
        <v>8.4058131547087989</v>
      </c>
    </row>
    <row r="81" spans="3:5" x14ac:dyDescent="0.2">
      <c r="C81">
        <v>73</v>
      </c>
      <c r="E81" cm="1">
        <f t="array" ref="E81">European_Call_Binomial($C$2,$C$3,$C$4,$C$5,$C$6,$C$7,C81)</f>
        <v>8.4602248723237228</v>
      </c>
    </row>
    <row r="82" spans="3:5" x14ac:dyDescent="0.2">
      <c r="C82">
        <v>74</v>
      </c>
      <c r="E82" cm="1">
        <f t="array" ref="E82">European_Call_Binomial($C$2,$C$3,$C$4,$C$5,$C$6,$C$7,C82)</f>
        <v>8.4065552468000142</v>
      </c>
    </row>
    <row r="83" spans="3:5" x14ac:dyDescent="0.2">
      <c r="C83">
        <v>75</v>
      </c>
      <c r="E83" cm="1">
        <f t="array" ref="E83">European_Call_Binomial($C$2,$C$3,$C$4,$C$5,$C$6,$C$7,C83)</f>
        <v>8.4595062352205286</v>
      </c>
    </row>
    <row r="84" spans="3:5" x14ac:dyDescent="0.2">
      <c r="C84">
        <v>76</v>
      </c>
      <c r="E84" cm="1">
        <f t="array" ref="E84">European_Call_Binomial($C$2,$C$3,$C$4,$C$5,$C$6,$C$7,C84)</f>
        <v>8.4072583491185178</v>
      </c>
    </row>
    <row r="85" spans="3:5" x14ac:dyDescent="0.2">
      <c r="C85">
        <v>77</v>
      </c>
      <c r="E85" cm="1">
        <f t="array" ref="E85">European_Call_Binomial($C$2,$C$3,$C$4,$C$5,$C$6,$C$7,C85)</f>
        <v>8.4588249865387635</v>
      </c>
    </row>
    <row r="86" spans="3:5" x14ac:dyDescent="0.2">
      <c r="C86">
        <v>78</v>
      </c>
      <c r="E86" cm="1">
        <f t="array" ref="E86">European_Call_Binomial($C$2,$C$3,$C$4,$C$5,$C$6,$C$7,C86)</f>
        <v>8.4079254557288774</v>
      </c>
    </row>
    <row r="87" spans="3:5" x14ac:dyDescent="0.2">
      <c r="C87">
        <v>79</v>
      </c>
      <c r="E87" cm="1">
        <f t="array" ref="E87">European_Call_Binomial($C$2,$C$3,$C$4,$C$5,$C$6,$C$7,C87)</f>
        <v>8.4581782825331278</v>
      </c>
    </row>
    <row r="88" spans="3:5" x14ac:dyDescent="0.2">
      <c r="C88">
        <v>80</v>
      </c>
      <c r="E88" cm="1">
        <f t="array" ref="E88">European_Call_Binomial($C$2,$C$3,$C$4,$C$5,$C$6,$C$7,C88)</f>
        <v>8.4085592617945153</v>
      </c>
    </row>
    <row r="89" spans="3:5" x14ac:dyDescent="0.2">
      <c r="C89">
        <v>81</v>
      </c>
      <c r="E89" cm="1">
        <f t="array" ref="E89">European_Call_Binomial($C$2,$C$3,$C$4,$C$5,$C$6,$C$7,C89)</f>
        <v>8.4575635607104687</v>
      </c>
    </row>
    <row r="90" spans="3:5" x14ac:dyDescent="0.2">
      <c r="C90">
        <v>82</v>
      </c>
      <c r="E90" cm="1">
        <f t="array" ref="E90">European_Call_Binomial($C$2,$C$3,$C$4,$C$5,$C$6,$C$7,C90)</f>
        <v>8.409162199975416</v>
      </c>
    </row>
    <row r="91" spans="3:5" x14ac:dyDescent="0.2">
      <c r="C91">
        <v>83</v>
      </c>
      <c r="E91" cm="1">
        <f t="array" ref="E91">European_Call_Binomial($C$2,$C$3,$C$4,$C$5,$C$6,$C$7,C91)</f>
        <v>8.4569785059011213</v>
      </c>
    </row>
    <row r="92" spans="3:5" x14ac:dyDescent="0.2">
      <c r="C92">
        <v>84</v>
      </c>
      <c r="E92" cm="1">
        <f t="array" ref="E92">European_Call_Binomial($C$2,$C$3,$C$4,$C$5,$C$6,$C$7,C92)</f>
        <v>8.4097364716204606</v>
      </c>
    </row>
    <row r="93" spans="3:5" x14ac:dyDescent="0.2">
      <c r="C93">
        <v>85</v>
      </c>
      <c r="E93" cm="1">
        <f t="array" ref="E93">European_Call_Binomial($C$2,$C$3,$C$4,$C$5,$C$6,$C$7,C93)</f>
        <v>8.4564210211244326</v>
      </c>
    </row>
    <row r="94" spans="3:5" x14ac:dyDescent="0.2">
      <c r="C94">
        <v>86</v>
      </c>
      <c r="E94" cm="1">
        <f t="array" ref="E94">European_Call_Binomial($C$2,$C$3,$C$4,$C$5,$C$6,$C$7,C94)</f>
        <v>8.4102840736261086</v>
      </c>
    </row>
    <row r="95" spans="3:5" x14ac:dyDescent="0.2">
      <c r="C95">
        <v>87</v>
      </c>
      <c r="E95" cm="1">
        <f t="array" ref="E95">European_Call_Binomial($C$2,$C$3,$C$4,$C$5,$C$6,$C$7,C95)</f>
        <v>8.4558892024746086</v>
      </c>
    </row>
    <row r="96" spans="3:5" x14ac:dyDescent="0.2">
      <c r="C96">
        <v>88</v>
      </c>
      <c r="E96" cm="1">
        <f t="array" ref="E96">European_Call_Binomial($C$2,$C$3,$C$4,$C$5,$C$6,$C$7,C96)</f>
        <v>8.4108068216299081</v>
      </c>
    </row>
    <row r="97" spans="3:5" x14ac:dyDescent="0.2">
      <c r="C97">
        <v>89</v>
      </c>
      <c r="E97" cm="1">
        <f t="array" ref="E97">European_Call_Binomial($C$2,$C$3,$C$4,$C$5,$C$6,$C$7,C97)</f>
        <v>8.4553813174032211</v>
      </c>
    </row>
    <row r="98" spans="3:5" x14ac:dyDescent="0.2">
      <c r="C98">
        <v>90</v>
      </c>
      <c r="E98" cm="1">
        <f t="array" ref="E98">European_Call_Binomial($C$2,$C$3,$C$4,$C$5,$C$6,$C$7,C98)</f>
        <v>8.4113063701232349</v>
      </c>
    </row>
    <row r="99" spans="3:5" x14ac:dyDescent="0.2">
      <c r="C99">
        <v>91</v>
      </c>
      <c r="E99" cm="1">
        <f t="array" ref="E99">European_Call_Binomial($C$2,$C$3,$C$4,$C$5,$C$6,$C$7,C99)</f>
        <v>8.4548957858633411</v>
      </c>
    </row>
    <row r="100" spans="3:5" x14ac:dyDescent="0.2">
      <c r="C100">
        <v>92</v>
      </c>
      <c r="E100" cm="1">
        <f t="array" ref="E100">European_Call_Binomial($C$2,$C$3,$C$4,$C$5,$C$6,$C$7,C100)</f>
        <v>8.4117842299362664</v>
      </c>
    </row>
    <row r="101" spans="3:5" x14ac:dyDescent="0.2">
      <c r="C101">
        <v>93</v>
      </c>
      <c r="E101" cm="1">
        <f t="array" ref="E101">European_Call_Binomial($C$2,$C$3,$C$4,$C$5,$C$6,$C$7,C101)</f>
        <v>8.4544311638931724</v>
      </c>
    </row>
    <row r="102" spans="3:5" x14ac:dyDescent="0.2">
      <c r="C102">
        <v>94</v>
      </c>
      <c r="E102" cm="1">
        <f t="array" ref="E102">European_Call_Binomial($C$2,$C$3,$C$4,$C$5,$C$6,$C$7,C102)</f>
        <v>8.4122417835042356</v>
      </c>
    </row>
    <row r="103" spans="3:5" x14ac:dyDescent="0.2">
      <c r="C103">
        <v>95</v>
      </c>
      <c r="E103" cm="1">
        <f t="array" ref="E103">European_Call_Binomial($C$2,$C$3,$C$4,$C$5,$C$6,$C$7,C103)</f>
        <v>8.453986129274913</v>
      </c>
    </row>
    <row r="104" spans="3:5" x14ac:dyDescent="0.2">
      <c r="C104">
        <v>96</v>
      </c>
      <c r="E104" cm="1">
        <f t="array" ref="E104">European_Call_Binomial($C$2,$C$3,$C$4,$C$5,$C$6,$C$7,C104)</f>
        <v>8.412680298219966</v>
      </c>
    </row>
    <row r="105" spans="3:5" x14ac:dyDescent="0.2">
      <c r="C105">
        <v>97</v>
      </c>
      <c r="E105" cm="1">
        <f t="array" ref="E105">European_Call_Binomial($C$2,$C$3,$C$4,$C$5,$C$6,$C$7,C105)</f>
        <v>8.4535594689647748</v>
      </c>
    </row>
    <row r="106" spans="3:5" x14ac:dyDescent="0.2">
      <c r="C106">
        <v>98</v>
      </c>
      <c r="E106" cm="1">
        <f t="array" ref="E106">European_Call_Binomial($C$2,$C$3,$C$4,$C$5,$C$6,$C$7,C106)</f>
        <v>8.4131009381537982</v>
      </c>
    </row>
    <row r="107" spans="3:5" x14ac:dyDescent="0.2">
      <c r="C107">
        <v>99</v>
      </c>
      <c r="E107" cm="1">
        <f t="array" ref="E107">European_Call_Binomial($C$2,$C$3,$C$4,$C$5,$C$6,$C$7,C107)</f>
        <v>8.453150068059978</v>
      </c>
    </row>
    <row r="108" spans="3:5" x14ac:dyDescent="0.2">
      <c r="C108">
        <v>100</v>
      </c>
      <c r="E108" cm="1">
        <f t="array" ref="E108">European_Call_Binomial($C$2,$C$3,$C$4,$C$5,$C$6,$C$7,C108)</f>
        <v>8.413504774380991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Report 3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Edoardo Pandolfo</cp:lastModifiedBy>
  <dcterms:created xsi:type="dcterms:W3CDTF">2022-03-18T18:09:52Z</dcterms:created>
  <dcterms:modified xsi:type="dcterms:W3CDTF">2026-04-02T20:07:37Z</dcterms:modified>
</cp:coreProperties>
</file>