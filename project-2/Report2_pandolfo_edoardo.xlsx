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doardopandolfo/Desktop/Primo anno magistrale/Stochastic Methods For Finance/"/>
    </mc:Choice>
  </mc:AlternateContent>
  <xr:revisionPtr revIDLastSave="0" documentId="8_{8F792069-C7DD-3043-B4DA-044EAA1EFE3B}" xr6:coauthVersionLast="47" xr6:coauthVersionMax="47" xr10:uidLastSave="{00000000-0000-0000-0000-000000000000}"/>
  <bookViews>
    <workbookView xWindow="0" yWindow="660" windowWidth="29400" windowHeight="16780" xr2:uid="{00000000-000D-0000-FFFF-FFFF00000000}"/>
  </bookViews>
  <sheets>
    <sheet name="Report 2" sheetId="1" r:id="rId1"/>
    <sheet name="Foglio1" sheetId="2" r:id="rId2"/>
    <sheet name="Foglio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3" l="1"/>
  <c r="O8" i="3"/>
  <c r="N8" i="3"/>
  <c r="M8" i="3"/>
  <c r="I16" i="2"/>
  <c r="N7" i="3"/>
  <c r="O7" i="3"/>
  <c r="P7" i="3"/>
  <c r="M7" i="3"/>
  <c r="P3" i="3"/>
  <c r="O3" i="3"/>
  <c r="N3" i="3"/>
  <c r="M3" i="3"/>
  <c r="D31" i="2"/>
  <c r="C34" i="2" s="1"/>
  <c r="E8" i="2"/>
  <c r="C36" i="2" l="1"/>
</calcChain>
</file>

<file path=xl/sharedStrings.xml><?xml version="1.0" encoding="utf-8"?>
<sst xmlns="http://schemas.openxmlformats.org/spreadsheetml/2006/main" count="108" uniqueCount="88">
  <si>
    <t>DISCOUNT FACTOR</t>
  </si>
  <si>
    <t>(S-K1)^+ - (S-K2)^+ + (K2-S)^+ - (K1-S)^+ = K2-K1</t>
  </si>
  <si>
    <t>in fact</t>
  </si>
  <si>
    <t>(S-K1)^+ - (K1-S)^+ = S-K1</t>
  </si>
  <si>
    <t xml:space="preserve"> - (S-K2)^+ + (K2-S)^+ = K2-S</t>
  </si>
  <si>
    <t>Then</t>
  </si>
  <si>
    <t>CK1 - CK2 +PK2-PK1 = (K2-K1)*D(0,T)</t>
  </si>
  <si>
    <t>Here I deduce the discount factor</t>
  </si>
  <si>
    <t>FORWARD PRICE - DIVIDEND RATE</t>
  </si>
  <si>
    <t xml:space="preserve"> </t>
  </si>
  <si>
    <t>t=0</t>
  </si>
  <si>
    <t>t=T</t>
  </si>
  <si>
    <t>long forward</t>
  </si>
  <si>
    <t>S-F(0,T)</t>
  </si>
  <si>
    <t>short S</t>
  </si>
  <si>
    <t>s</t>
  </si>
  <si>
    <t>value -S-div</t>
  </si>
  <si>
    <t>rikless</t>
  </si>
  <si>
    <t>long (F+div)*D(0,T)</t>
  </si>
  <si>
    <t>F+div</t>
  </si>
  <si>
    <t>TOT</t>
  </si>
  <si>
    <t>s-(F+div)*D(0,T)</t>
  </si>
  <si>
    <t>F(0,T)=s*exp(rT)-div</t>
  </si>
  <si>
    <t>In the case of proportional dividends where div = s*exp(qT)</t>
  </si>
  <si>
    <t>Call - Put =</t>
  </si>
  <si>
    <t>s - K*D(0,T) - s*exp(qT)*D(0,T)=</t>
  </si>
  <si>
    <t>D(0,T)*( s*exp(rT) - s*exp(qT)- K)=</t>
  </si>
  <si>
    <t>D(0,T)*( F(0,T)- K)</t>
  </si>
  <si>
    <t>REPORT 2</t>
  </si>
  <si>
    <t>1)</t>
  </si>
  <si>
    <t>choose a dividend paying asset</t>
  </si>
  <si>
    <t>2)</t>
  </si>
  <si>
    <t>3)</t>
  </si>
  <si>
    <t>Find the corresponding discount factor for maturity T</t>
  </si>
  <si>
    <t>4)</t>
  </si>
  <si>
    <t>5)</t>
  </si>
  <si>
    <t>6)</t>
  </si>
  <si>
    <t>fix a maturity T and consider Call a Put with K1 and K2 (K1&lt;&lt;K2)</t>
  </si>
  <si>
    <t>Find the implicit dividend for maturity T using the put-call parity and using At The Money options (that is new Call and Put with strikes ATM)</t>
  </si>
  <si>
    <t>Repeat the procedure for T=1m, 3m, 6m, 1year and deduce the term structure of implied dividends</t>
  </si>
  <si>
    <t>https://www.sitmo.com/extracting-high-precision-implied-dividend-and-interest-rate-term-structures-from-option-prices/</t>
  </si>
  <si>
    <t>To avoid negative dividends!</t>
  </si>
  <si>
    <t>7)</t>
  </si>
  <si>
    <t>Generate a PDF file and call it "Report2_yourfamilyname_yourgivenname.pdf"</t>
  </si>
  <si>
    <t>Deadline March 27</t>
  </si>
  <si>
    <t>T</t>
  </si>
  <si>
    <t xml:space="preserve">3 months </t>
  </si>
  <si>
    <t>K1</t>
  </si>
  <si>
    <t>K2</t>
  </si>
  <si>
    <t>by the put-call parity formula we can deduce the discount factor</t>
  </si>
  <si>
    <t xml:space="preserve">DISCOUNT FACTOR </t>
  </si>
  <si>
    <t>P0</t>
  </si>
  <si>
    <t>C0</t>
  </si>
  <si>
    <t>K4</t>
  </si>
  <si>
    <t>K5</t>
  </si>
  <si>
    <t>K6</t>
  </si>
  <si>
    <t>K7</t>
  </si>
  <si>
    <t>C-P</t>
  </si>
  <si>
    <t>F0 è il prezzo forward</t>
  </si>
  <si>
    <t>qui probabilmente intendeva vendere una put.</t>
  </si>
  <si>
    <t>Notiamo che il "rumore" causato dai dividendi sparisce nel prezzo forward</t>
  </si>
  <si>
    <t>F0=</t>
  </si>
  <si>
    <t>Div =</t>
  </si>
  <si>
    <t>S0=</t>
  </si>
  <si>
    <t>3 months</t>
  </si>
  <si>
    <t>1 month</t>
  </si>
  <si>
    <t>6 months</t>
  </si>
  <si>
    <t>1 year</t>
  </si>
  <si>
    <t>CK1</t>
  </si>
  <si>
    <t>Ck2</t>
  </si>
  <si>
    <t>PK1</t>
  </si>
  <si>
    <t>PK2</t>
  </si>
  <si>
    <t>F</t>
  </si>
  <si>
    <t>K At the Money</t>
  </si>
  <si>
    <t>Call</t>
  </si>
  <si>
    <t>Put</t>
  </si>
  <si>
    <t>DIV</t>
  </si>
  <si>
    <t>K3</t>
  </si>
  <si>
    <t>FIRST ATTEMPT USING K1&lt;&lt;K2</t>
  </si>
  <si>
    <t>A discount factor grater than 1 is unrealistic in this economic period (R&gt;0)</t>
  </si>
  <si>
    <t>SECIND ATTEMPT, USING https://www.sitmo.com/extracting-high-precision-implied-dividend-and-interest-rate-term-structures-from-option-prices/</t>
  </si>
  <si>
    <t xml:space="preserve">The method is correct but the discount factor is again greater than 1. </t>
  </si>
  <si>
    <t>This happens becuase we are working with american options, not European and thus</t>
  </si>
  <si>
    <t>the Put call Parity formula does not work</t>
  </si>
  <si>
    <t xml:space="preserve">THIRD ATTEMPT, ATM OPTIONS </t>
  </si>
  <si>
    <t>I Tried using ATM options as they behave more like the european ones</t>
  </si>
  <si>
    <t>Anomaly</t>
  </si>
  <si>
    <t>WE ARE USING MID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</si>
</sst>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 (Corpo)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 (Corpo)"/>
    </font>
    <font>
      <b/>
      <sz val="16"/>
      <color theme="1"/>
      <name val="Calibri (Corpo)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right"/>
    </xf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0" xfId="0" applyFont="1"/>
    <xf numFmtId="16" fontId="0" fillId="0" borderId="0" xfId="0" applyNumberFormat="1"/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/>
    <xf numFmtId="17" fontId="11" fillId="0" borderId="0" xfId="0" applyNumberFormat="1" applyFont="1"/>
    <xf numFmtId="0" fontId="10" fillId="0" borderId="0" xfId="0" applyFont="1"/>
    <xf numFmtId="0" fontId="8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10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center"/>
    </xf>
    <xf numFmtId="2" fontId="0" fillId="0" borderId="0" xfId="0" applyNumberFormat="1"/>
    <xf numFmtId="0" fontId="3" fillId="0" borderId="0" xfId="0" applyFont="1"/>
    <xf numFmtId="0" fontId="3" fillId="0" borderId="7" xfId="0" applyFont="1" applyBorder="1"/>
    <xf numFmtId="0" fontId="10" fillId="0" borderId="7" xfId="0" applyFont="1" applyBorder="1"/>
    <xf numFmtId="0" fontId="0" fillId="0" borderId="8" xfId="0" applyBorder="1"/>
    <xf numFmtId="0" fontId="3" fillId="0" borderId="9" xfId="0" applyFont="1" applyBorder="1"/>
    <xf numFmtId="0" fontId="0" fillId="0" borderId="9" xfId="0" applyBorder="1"/>
    <xf numFmtId="0" fontId="0" fillId="4" borderId="9" xfId="0" applyFill="1" applyBorder="1"/>
    <xf numFmtId="0" fontId="10" fillId="0" borderId="9" xfId="0" applyFont="1" applyBorder="1"/>
    <xf numFmtId="0" fontId="10" fillId="0" borderId="10" xfId="0" applyFont="1" applyBorder="1"/>
    <xf numFmtId="0" fontId="9" fillId="0" borderId="0" xfId="0" applyFont="1"/>
    <xf numFmtId="0" fontId="13" fillId="0" borderId="0" xfId="0" applyFont="1"/>
    <xf numFmtId="0" fontId="14" fillId="0" borderId="0" xfId="0" applyFont="1"/>
    <xf numFmtId="0" fontId="2" fillId="0" borderId="4" xfId="0" applyFont="1" applyBorder="1" applyAlignment="1">
      <alignment horizontal="center"/>
    </xf>
    <xf numFmtId="2" fontId="0" fillId="0" borderId="4" xfId="0" applyNumberFormat="1" applyBorder="1"/>
    <xf numFmtId="0" fontId="3" fillId="0" borderId="4" xfId="0" applyFont="1" applyBorder="1"/>
    <xf numFmtId="0" fontId="3" fillId="0" borderId="5" xfId="0" applyFont="1" applyBorder="1"/>
    <xf numFmtId="0" fontId="3" fillId="0" borderId="8" xfId="0" applyFont="1" applyBorder="1"/>
    <xf numFmtId="0" fontId="0" fillId="5" borderId="9" xfId="0" applyFill="1" applyBorder="1"/>
    <xf numFmtId="0" fontId="15" fillId="0" borderId="0" xfId="0" applyFont="1"/>
    <xf numFmtId="0" fontId="3" fillId="0" borderId="3" xfId="0" applyFont="1" applyBorder="1"/>
    <xf numFmtId="0" fontId="0" fillId="0" borderId="7" xfId="0" applyBorder="1"/>
    <xf numFmtId="0" fontId="0" fillId="0" borderId="10" xfId="0" applyBorder="1"/>
    <xf numFmtId="0" fontId="13" fillId="0" borderId="0" xfId="0" applyFont="1" applyAlignment="1">
      <alignment horizontal="center"/>
    </xf>
    <xf numFmtId="0" fontId="3" fillId="0" borderId="0" xfId="0" applyFont="1" applyAlignment="1">
      <alignment vertic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expected Dividends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Foglio2!$M$2:$P$2</c:f>
              <c:strCache>
                <c:ptCount val="4"/>
                <c:pt idx="0">
                  <c:v>1 month</c:v>
                </c:pt>
                <c:pt idx="1">
                  <c:v>3 months</c:v>
                </c:pt>
                <c:pt idx="2">
                  <c:v>6 months</c:v>
                </c:pt>
                <c:pt idx="3">
                  <c:v>1 year</c:v>
                </c:pt>
              </c:strCache>
            </c:strRef>
          </c:cat>
          <c:val>
            <c:numRef>
              <c:f>Foglio2!$M$8:$P$8</c:f>
              <c:numCache>
                <c:formatCode>General</c:formatCode>
                <c:ptCount val="4"/>
                <c:pt idx="0">
                  <c:v>1.9160958904109577</c:v>
                </c:pt>
                <c:pt idx="1">
                  <c:v>1.1224489795918231</c:v>
                </c:pt>
                <c:pt idx="2">
                  <c:v>1.7010309278350633</c:v>
                </c:pt>
                <c:pt idx="3">
                  <c:v>2.708333333333357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B-7A41-9B4A-68C8910ED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2989248"/>
        <c:axId val="1932990144"/>
      </c:barChart>
      <c:catAx>
        <c:axId val="193298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32990144"/>
        <c:crosses val="autoZero"/>
        <c:auto val="1"/>
        <c:lblAlgn val="ctr"/>
        <c:lblOffset val="100"/>
        <c:noMultiLvlLbl val="0"/>
      </c:catAx>
      <c:valAx>
        <c:axId val="193299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329892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639231</xdr:colOff>
      <xdr:row>8</xdr:row>
      <xdr:rowOff>76199</xdr:rowOff>
    </xdr:from>
    <xdr:to>
      <xdr:col>22</xdr:col>
      <xdr:colOff>224869</xdr:colOff>
      <xdr:row>25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2631" y="1600199"/>
          <a:ext cx="4970438" cy="3302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254000</xdr:colOff>
      <xdr:row>8</xdr:row>
      <xdr:rowOff>66651</xdr:rowOff>
    </xdr:from>
    <xdr:to>
      <xdr:col>14</xdr:col>
      <xdr:colOff>84667</xdr:colOff>
      <xdr:row>25</xdr:row>
      <xdr:rowOff>15851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2947" y="1594471"/>
          <a:ext cx="4509615" cy="3195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2</xdr:row>
      <xdr:rowOff>285750</xdr:rowOff>
    </xdr:from>
    <xdr:to>
      <xdr:col>22</xdr:col>
      <xdr:colOff>95250</xdr:colOff>
      <xdr:row>8</xdr:row>
      <xdr:rowOff>57150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919FDA7-C115-EECA-49BA-D3E1AD910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sitmo.com/extracting-high-precision-implied-dividend-and-interest-rate-term-structures-from-option-prices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topLeftCell="A19" zoomScale="133" zoomScaleNormal="133" workbookViewId="0">
      <selection activeCell="A33" sqref="A33"/>
    </sheetView>
  </sheetViews>
  <sheetFormatPr baseColWidth="10" defaultColWidth="8.83203125" defaultRowHeight="15" x14ac:dyDescent="0.2"/>
  <sheetData>
    <row r="1" spans="2:10" x14ac:dyDescent="0.2">
      <c r="B1" t="s">
        <v>0</v>
      </c>
    </row>
    <row r="2" spans="2:10" x14ac:dyDescent="0.2">
      <c r="C2" t="s">
        <v>1</v>
      </c>
    </row>
    <row r="4" spans="2:10" x14ac:dyDescent="0.2">
      <c r="B4" t="s">
        <v>2</v>
      </c>
      <c r="C4" t="s">
        <v>3</v>
      </c>
    </row>
    <row r="5" spans="2:10" x14ac:dyDescent="0.2">
      <c r="C5" t="s">
        <v>4</v>
      </c>
    </row>
    <row r="7" spans="2:10" x14ac:dyDescent="0.2">
      <c r="B7" t="s">
        <v>5</v>
      </c>
      <c r="J7" t="s">
        <v>59</v>
      </c>
    </row>
    <row r="8" spans="2:10" x14ac:dyDescent="0.2">
      <c r="J8" t="s">
        <v>60</v>
      </c>
    </row>
    <row r="9" spans="2:10" x14ac:dyDescent="0.2">
      <c r="B9" s="3" t="s">
        <v>6</v>
      </c>
      <c r="C9" s="3"/>
      <c r="D9" s="3"/>
    </row>
    <row r="10" spans="2:10" x14ac:dyDescent="0.2">
      <c r="B10" s="3" t="s">
        <v>7</v>
      </c>
      <c r="C10" s="3"/>
      <c r="D10" s="3"/>
    </row>
    <row r="16" spans="2:10" x14ac:dyDescent="0.2">
      <c r="B16" t="s">
        <v>8</v>
      </c>
    </row>
    <row r="18" spans="2:9" x14ac:dyDescent="0.2">
      <c r="B18" t="s">
        <v>9</v>
      </c>
      <c r="C18" s="1" t="s">
        <v>10</v>
      </c>
      <c r="D18" s="1" t="s">
        <v>11</v>
      </c>
    </row>
    <row r="20" spans="2:9" x14ac:dyDescent="0.2">
      <c r="B20" t="s">
        <v>12</v>
      </c>
      <c r="C20">
        <v>0</v>
      </c>
      <c r="D20" s="1" t="s">
        <v>13</v>
      </c>
    </row>
    <row r="21" spans="2:9" x14ac:dyDescent="0.2">
      <c r="B21" t="s">
        <v>14</v>
      </c>
      <c r="C21" t="s">
        <v>15</v>
      </c>
      <c r="D21" t="s">
        <v>16</v>
      </c>
    </row>
    <row r="22" spans="2:9" x14ac:dyDescent="0.2">
      <c r="B22" t="s">
        <v>17</v>
      </c>
      <c r="C22" t="s">
        <v>18</v>
      </c>
      <c r="D22" s="1" t="s">
        <v>19</v>
      </c>
    </row>
    <row r="24" spans="2:9" x14ac:dyDescent="0.2">
      <c r="B24" t="s">
        <v>20</v>
      </c>
      <c r="C24" t="s">
        <v>21</v>
      </c>
      <c r="D24">
        <v>0</v>
      </c>
    </row>
    <row r="26" spans="2:9" x14ac:dyDescent="0.2">
      <c r="C26" t="s">
        <v>22</v>
      </c>
    </row>
    <row r="28" spans="2:9" x14ac:dyDescent="0.2">
      <c r="B28" t="s">
        <v>23</v>
      </c>
    </row>
    <row r="29" spans="2:9" x14ac:dyDescent="0.2">
      <c r="B29" t="s">
        <v>24</v>
      </c>
      <c r="C29" t="s">
        <v>25</v>
      </c>
      <c r="I29" t="s">
        <v>58</v>
      </c>
    </row>
    <row r="30" spans="2:9" x14ac:dyDescent="0.2">
      <c r="C30" t="s">
        <v>26</v>
      </c>
    </row>
    <row r="31" spans="2:9" x14ac:dyDescent="0.2">
      <c r="C31" t="s">
        <v>27</v>
      </c>
    </row>
    <row r="33" spans="1:14" x14ac:dyDescent="0.2">
      <c r="A33" s="2" t="s">
        <v>40</v>
      </c>
    </row>
    <row r="34" spans="1:14" x14ac:dyDescent="0.2">
      <c r="A34" t="s">
        <v>41</v>
      </c>
    </row>
    <row r="36" spans="1:14" x14ac:dyDescent="0.2">
      <c r="A36" t="s">
        <v>28</v>
      </c>
    </row>
    <row r="37" spans="1:14" x14ac:dyDescent="0.2">
      <c r="A37" t="s">
        <v>29</v>
      </c>
      <c r="B37" t="s">
        <v>30</v>
      </c>
      <c r="E37" s="4"/>
    </row>
    <row r="38" spans="1:14" x14ac:dyDescent="0.2">
      <c r="A38" t="s">
        <v>31</v>
      </c>
      <c r="B38" t="s">
        <v>37</v>
      </c>
      <c r="H38" s="4"/>
    </row>
    <row r="39" spans="1:14" x14ac:dyDescent="0.2">
      <c r="A39" t="s">
        <v>32</v>
      </c>
      <c r="B39" t="s">
        <v>33</v>
      </c>
      <c r="H39" s="4"/>
    </row>
    <row r="40" spans="1:14" x14ac:dyDescent="0.2">
      <c r="A40" t="s">
        <v>34</v>
      </c>
      <c r="B40" t="s">
        <v>38</v>
      </c>
      <c r="N40" s="4"/>
    </row>
    <row r="41" spans="1:14" x14ac:dyDescent="0.2">
      <c r="A41" t="s">
        <v>35</v>
      </c>
      <c r="B41" t="s">
        <v>39</v>
      </c>
      <c r="K41" s="4"/>
    </row>
    <row r="42" spans="1:14" x14ac:dyDescent="0.2">
      <c r="A42" t="s">
        <v>36</v>
      </c>
      <c r="B42" t="s">
        <v>43</v>
      </c>
      <c r="I42" s="4"/>
    </row>
    <row r="43" spans="1:14" x14ac:dyDescent="0.2">
      <c r="A43" t="s">
        <v>42</v>
      </c>
      <c r="B43" t="s">
        <v>44</v>
      </c>
    </row>
  </sheetData>
  <hyperlinks>
    <hyperlink ref="A33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8AC1C-3376-A940-B42B-C0C2B526EBE3}">
  <dimension ref="A1:AG52"/>
  <sheetViews>
    <sheetView topLeftCell="A11" zoomScaleNormal="100" workbookViewId="0">
      <selection activeCell="L3" sqref="L3"/>
    </sheetView>
  </sheetViews>
  <sheetFormatPr baseColWidth="10" defaultRowHeight="15" x14ac:dyDescent="0.2"/>
  <sheetData>
    <row r="1" spans="1:28" x14ac:dyDescent="0.2">
      <c r="A1" s="7">
        <v>46103</v>
      </c>
    </row>
    <row r="2" spans="1:28" ht="22" thickBot="1" x14ac:dyDescent="0.3">
      <c r="B2" s="39" t="s">
        <v>78</v>
      </c>
      <c r="L2" s="53" t="s">
        <v>87</v>
      </c>
    </row>
    <row r="3" spans="1:28" x14ac:dyDescent="0.2">
      <c r="B3" s="24"/>
      <c r="C3" s="25"/>
      <c r="D3" s="25"/>
      <c r="E3" s="25"/>
      <c r="F3" s="25"/>
      <c r="G3" s="25"/>
      <c r="H3" s="25"/>
      <c r="I3" s="26"/>
    </row>
    <row r="4" spans="1:28" ht="19" x14ac:dyDescent="0.25">
      <c r="B4" s="27"/>
      <c r="D4" s="28" t="s">
        <v>45</v>
      </c>
      <c r="E4" t="s">
        <v>46</v>
      </c>
      <c r="F4" s="29">
        <v>0.25</v>
      </c>
      <c r="H4" s="30" t="s">
        <v>47</v>
      </c>
      <c r="I4" s="31" t="s">
        <v>48</v>
      </c>
    </row>
    <row r="5" spans="1:28" x14ac:dyDescent="0.2">
      <c r="B5" s="27"/>
      <c r="H5" s="16">
        <v>60</v>
      </c>
      <c r="I5" s="32">
        <v>90</v>
      </c>
      <c r="K5" s="40" t="s">
        <v>79</v>
      </c>
    </row>
    <row r="6" spans="1:28" x14ac:dyDescent="0.2">
      <c r="B6" s="27" t="s">
        <v>49</v>
      </c>
      <c r="H6" s="16"/>
      <c r="I6" s="32"/>
    </row>
    <row r="7" spans="1:28" x14ac:dyDescent="0.2">
      <c r="B7" s="27"/>
      <c r="G7" s="30" t="s">
        <v>51</v>
      </c>
      <c r="H7" s="16">
        <v>0.54</v>
      </c>
      <c r="I7" s="32">
        <v>15.175000000000001</v>
      </c>
      <c r="T7" s="14"/>
      <c r="U7" s="14"/>
      <c r="V7" s="14"/>
      <c r="W7" s="14"/>
      <c r="X7" s="14"/>
      <c r="Y7" s="14"/>
      <c r="Z7" s="14"/>
      <c r="AA7" s="14"/>
    </row>
    <row r="8" spans="1:28" ht="16" thickBot="1" x14ac:dyDescent="0.25">
      <c r="B8" s="33"/>
      <c r="C8" s="34" t="s">
        <v>50</v>
      </c>
      <c r="D8" s="35"/>
      <c r="E8" s="36">
        <f>((I7-H7)+H8-I8)/(I5-H5)</f>
        <v>1.0006666666666666</v>
      </c>
      <c r="F8" s="35"/>
      <c r="G8" s="34" t="s">
        <v>52</v>
      </c>
      <c r="H8" s="37">
        <v>15.6</v>
      </c>
      <c r="I8" s="38">
        <v>0.215</v>
      </c>
      <c r="T8" s="14"/>
      <c r="U8" s="14"/>
      <c r="V8" s="14"/>
      <c r="W8" s="14"/>
      <c r="X8" s="14"/>
      <c r="Y8" s="14"/>
      <c r="Z8" s="14"/>
      <c r="AA8" s="14"/>
      <c r="AB8" s="14"/>
    </row>
    <row r="9" spans="1:28" x14ac:dyDescent="0.2">
      <c r="T9" s="14"/>
      <c r="U9" s="16"/>
      <c r="V9" s="16"/>
      <c r="W9" s="16"/>
      <c r="X9" s="16"/>
      <c r="Y9" s="16"/>
      <c r="Z9" s="16"/>
      <c r="AA9" s="16"/>
      <c r="AB9" s="16"/>
    </row>
    <row r="10" spans="1:28" x14ac:dyDescent="0.2">
      <c r="T10" s="16"/>
      <c r="U10" s="16"/>
      <c r="V10" s="14"/>
      <c r="W10" s="16"/>
      <c r="X10" s="16"/>
      <c r="Y10" s="14"/>
      <c r="Z10" s="14"/>
      <c r="AA10" s="16"/>
      <c r="AB10" s="16"/>
    </row>
    <row r="11" spans="1:28" x14ac:dyDescent="0.2">
      <c r="H11" s="6"/>
      <c r="P11" s="7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x14ac:dyDescent="0.2">
      <c r="H12" s="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x14ac:dyDescent="0.2">
      <c r="T13" s="16"/>
      <c r="U13" s="16"/>
      <c r="V13" s="16"/>
      <c r="W13" s="16"/>
      <c r="X13" s="14"/>
      <c r="Y13" s="16"/>
      <c r="Z13" s="16"/>
      <c r="AA13" s="16"/>
      <c r="AB13" s="16"/>
    </row>
    <row r="14" spans="1:28" ht="22" thickBot="1" x14ac:dyDescent="0.3">
      <c r="B14" s="39" t="s">
        <v>80</v>
      </c>
      <c r="T14" s="16"/>
      <c r="U14" s="16"/>
      <c r="V14" s="14"/>
      <c r="W14" s="14"/>
      <c r="X14" s="14"/>
      <c r="Y14" s="16"/>
      <c r="Z14" s="16"/>
      <c r="AA14" s="16"/>
      <c r="AB14" s="16"/>
    </row>
    <row r="15" spans="1:28" x14ac:dyDescent="0.2">
      <c r="B15" s="24"/>
      <c r="C15" s="25"/>
      <c r="D15" s="25" t="s">
        <v>51</v>
      </c>
      <c r="E15" s="25" t="s">
        <v>52</v>
      </c>
      <c r="F15" s="26" t="s">
        <v>57</v>
      </c>
      <c r="T15" s="16"/>
      <c r="U15" s="16"/>
      <c r="V15" s="16"/>
      <c r="W15" s="16"/>
      <c r="X15" s="16"/>
      <c r="Y15" s="16"/>
      <c r="Z15" s="16"/>
      <c r="AA15" s="16"/>
      <c r="AB15" s="16"/>
    </row>
    <row r="16" spans="1:28" x14ac:dyDescent="0.2">
      <c r="B16" s="27" t="s">
        <v>47</v>
      </c>
      <c r="C16" s="16">
        <v>60</v>
      </c>
      <c r="D16" s="16">
        <v>0.54</v>
      </c>
      <c r="E16" s="16">
        <v>15.6</v>
      </c>
      <c r="F16" s="32">
        <v>15.06</v>
      </c>
      <c r="I16" s="5">
        <f>SLOPE(F16:F22,C16:C22)</f>
        <v>-1.0013902439024391</v>
      </c>
      <c r="J16" s="41" t="s">
        <v>81</v>
      </c>
      <c r="U16" s="16"/>
      <c r="V16" s="16"/>
      <c r="W16" s="16"/>
      <c r="X16" s="16"/>
      <c r="Y16" s="16"/>
      <c r="Z16" s="16"/>
      <c r="AA16" s="16"/>
      <c r="AB16" s="16"/>
    </row>
    <row r="17" spans="2:29" x14ac:dyDescent="0.2">
      <c r="B17" s="27" t="s">
        <v>48</v>
      </c>
      <c r="C17" s="16">
        <v>70</v>
      </c>
      <c r="D17" s="16">
        <v>1.56</v>
      </c>
      <c r="E17" s="16">
        <v>6.75</v>
      </c>
      <c r="F17" s="32">
        <v>5.19</v>
      </c>
      <c r="J17" t="s">
        <v>82</v>
      </c>
      <c r="U17" s="14"/>
      <c r="V17" s="16"/>
      <c r="W17" s="16"/>
      <c r="X17" s="16"/>
      <c r="Y17" s="16"/>
      <c r="Z17" s="16"/>
    </row>
    <row r="18" spans="2:29" x14ac:dyDescent="0.2">
      <c r="B18" s="27" t="s">
        <v>77</v>
      </c>
      <c r="C18" s="16">
        <v>72.5</v>
      </c>
      <c r="D18" s="16">
        <v>2.35</v>
      </c>
      <c r="E18" s="16">
        <v>4.95</v>
      </c>
      <c r="F18" s="32">
        <v>2.6</v>
      </c>
      <c r="J18" t="s">
        <v>83</v>
      </c>
      <c r="U18" s="14"/>
      <c r="V18" s="16"/>
      <c r="W18" s="16"/>
      <c r="X18" s="16"/>
      <c r="Y18" s="16"/>
      <c r="Z18" s="21"/>
    </row>
    <row r="19" spans="2:29" x14ac:dyDescent="0.2">
      <c r="B19" s="27" t="s">
        <v>53</v>
      </c>
      <c r="C19" s="16">
        <v>75</v>
      </c>
      <c r="D19" s="16">
        <v>3.3250000000000002</v>
      </c>
      <c r="E19" s="16">
        <v>3.4750000000000001</v>
      </c>
      <c r="F19" s="32">
        <v>0.15</v>
      </c>
      <c r="U19" s="14"/>
      <c r="V19" s="16"/>
      <c r="W19" s="16"/>
      <c r="X19" s="16"/>
      <c r="Y19" s="16"/>
      <c r="Z19" s="21"/>
    </row>
    <row r="20" spans="2:29" x14ac:dyDescent="0.2">
      <c r="B20" s="27" t="s">
        <v>54</v>
      </c>
      <c r="C20" s="16">
        <v>77.5</v>
      </c>
      <c r="D20" s="16">
        <v>4.6749999999999998</v>
      </c>
      <c r="E20" s="16">
        <v>2.2599999999999998</v>
      </c>
      <c r="F20" s="32">
        <v>-2.415</v>
      </c>
      <c r="U20" s="14"/>
      <c r="V20" s="16"/>
      <c r="W20" s="16"/>
      <c r="X20" s="16"/>
      <c r="Y20" s="16"/>
      <c r="Z20" s="21"/>
    </row>
    <row r="21" spans="2:29" x14ac:dyDescent="0.2">
      <c r="B21" s="27" t="s">
        <v>55</v>
      </c>
      <c r="C21" s="16">
        <v>80</v>
      </c>
      <c r="D21" s="16">
        <v>6.25</v>
      </c>
      <c r="E21" s="16">
        <v>1.365</v>
      </c>
      <c r="F21" s="32">
        <v>-4.8849999999999998</v>
      </c>
      <c r="U21" s="14"/>
      <c r="V21" s="16"/>
      <c r="W21" s="16"/>
      <c r="X21" s="16"/>
      <c r="Y21" s="16"/>
      <c r="Z21" s="16"/>
    </row>
    <row r="22" spans="2:29" ht="16" thickBot="1" x14ac:dyDescent="0.25">
      <c r="B22" s="33" t="s">
        <v>56</v>
      </c>
      <c r="C22" s="37">
        <v>90</v>
      </c>
      <c r="D22" s="37">
        <v>15.175000000000001</v>
      </c>
      <c r="E22" s="37">
        <v>0.215</v>
      </c>
      <c r="F22" s="38">
        <v>-14.96</v>
      </c>
      <c r="U22" s="14"/>
      <c r="V22" s="16"/>
      <c r="W22" s="16"/>
      <c r="X22" s="16"/>
      <c r="Y22" s="16"/>
      <c r="Z22" s="16"/>
    </row>
    <row r="23" spans="2:29" x14ac:dyDescent="0.2">
      <c r="E23" s="16"/>
      <c r="F23" s="16"/>
      <c r="G23" s="16"/>
      <c r="H23" s="16"/>
      <c r="U23" s="14"/>
      <c r="V23" s="16"/>
      <c r="W23" s="16"/>
      <c r="X23" s="14"/>
      <c r="Y23" s="14"/>
      <c r="Z23" s="14"/>
      <c r="AA23" s="14"/>
      <c r="AB23" s="14"/>
      <c r="AC23" s="14"/>
    </row>
    <row r="24" spans="2:29" x14ac:dyDescent="0.2">
      <c r="X24" s="16"/>
      <c r="Y24" s="16"/>
      <c r="Z24" s="16"/>
      <c r="AA24" s="16"/>
      <c r="AB24" s="16"/>
      <c r="AC24" s="16"/>
    </row>
    <row r="25" spans="2:29" x14ac:dyDescent="0.2">
      <c r="X25" s="14"/>
      <c r="Y25" s="16"/>
      <c r="Z25" s="16"/>
      <c r="AA25" s="16"/>
      <c r="AB25" s="16"/>
      <c r="AC25" s="21"/>
    </row>
    <row r="26" spans="2:29" ht="22" thickBot="1" x14ac:dyDescent="0.3">
      <c r="B26" s="48" t="s">
        <v>84</v>
      </c>
      <c r="W26" s="14"/>
      <c r="X26" s="14"/>
      <c r="Y26" s="14"/>
      <c r="Z26" s="14"/>
      <c r="AA26" s="14"/>
      <c r="AB26" s="14"/>
      <c r="AC26" s="21"/>
    </row>
    <row r="27" spans="2:29" ht="19" x14ac:dyDescent="0.25">
      <c r="B27" s="24"/>
      <c r="C27" s="42" t="s">
        <v>45</v>
      </c>
      <c r="D27" s="25" t="s">
        <v>46</v>
      </c>
      <c r="E27" s="43">
        <v>0.25</v>
      </c>
      <c r="F27" s="25"/>
      <c r="G27" s="44" t="s">
        <v>47</v>
      </c>
      <c r="H27" s="45" t="s">
        <v>48</v>
      </c>
      <c r="W27" s="16"/>
      <c r="X27" s="16"/>
      <c r="Y27" s="16"/>
      <c r="Z27" s="16"/>
      <c r="AA27" s="16"/>
      <c r="AB27" s="16"/>
      <c r="AC27" s="21"/>
    </row>
    <row r="28" spans="2:29" x14ac:dyDescent="0.2">
      <c r="B28" s="27"/>
      <c r="G28" s="16">
        <v>72.5</v>
      </c>
      <c r="H28" s="32">
        <v>75</v>
      </c>
      <c r="J28" t="s">
        <v>85</v>
      </c>
      <c r="W28" s="14"/>
      <c r="X28" s="16"/>
      <c r="Y28" s="16"/>
      <c r="Z28" s="16"/>
      <c r="AA28" s="16"/>
      <c r="AB28" s="21"/>
      <c r="AC28" s="16"/>
    </row>
    <row r="29" spans="2:29" x14ac:dyDescent="0.2">
      <c r="B29" s="27"/>
      <c r="G29" s="16"/>
      <c r="H29" s="32"/>
      <c r="W29" s="14"/>
      <c r="X29" s="16"/>
      <c r="Y29" s="16"/>
      <c r="Z29" s="16"/>
      <c r="AA29" s="16"/>
      <c r="AB29" s="21"/>
      <c r="AC29" s="16"/>
    </row>
    <row r="30" spans="2:29" x14ac:dyDescent="0.2">
      <c r="B30" s="27"/>
      <c r="F30" s="30" t="s">
        <v>51</v>
      </c>
      <c r="G30" s="16">
        <v>2.35</v>
      </c>
      <c r="H30" s="32">
        <v>3.3250000000000002</v>
      </c>
      <c r="W30" s="14"/>
      <c r="X30" s="16"/>
      <c r="Y30" s="16"/>
      <c r="Z30" s="16"/>
      <c r="AA30" s="16"/>
      <c r="AB30" s="21"/>
      <c r="AC30" s="16"/>
    </row>
    <row r="31" spans="2:29" ht="16" thickBot="1" x14ac:dyDescent="0.25">
      <c r="B31" s="46" t="s">
        <v>50</v>
      </c>
      <c r="C31" s="35"/>
      <c r="D31" s="47">
        <f>((H30-G30)+G31-H31)/(H28-G28)</f>
        <v>0.9800000000000002</v>
      </c>
      <c r="E31" s="35"/>
      <c r="F31" s="34" t="s">
        <v>52</v>
      </c>
      <c r="G31" s="37">
        <v>4.95</v>
      </c>
      <c r="H31" s="38">
        <v>3.4750000000000001</v>
      </c>
      <c r="W31" s="14"/>
      <c r="X31" s="16"/>
      <c r="Y31" s="16"/>
      <c r="Z31" s="16"/>
      <c r="AA31" s="16"/>
      <c r="AB31" s="16"/>
      <c r="AC31" s="16"/>
    </row>
    <row r="32" spans="2:29" x14ac:dyDescent="0.2">
      <c r="W32" s="14"/>
      <c r="X32" s="16"/>
      <c r="Y32" s="16"/>
      <c r="Z32" s="16"/>
      <c r="AA32" s="16"/>
      <c r="AB32" s="16"/>
    </row>
    <row r="33" spans="2:33" ht="16" thickBot="1" x14ac:dyDescent="0.25">
      <c r="W33" s="14"/>
      <c r="X33" s="16"/>
      <c r="Y33" s="16"/>
      <c r="Z33" s="16"/>
      <c r="AA33" s="16"/>
      <c r="AB33" s="16"/>
    </row>
    <row r="34" spans="2:33" x14ac:dyDescent="0.2">
      <c r="B34" s="49" t="s">
        <v>61</v>
      </c>
      <c r="C34" s="25">
        <f>(G31-G30)/D31+G28</f>
        <v>75.15306122448979</v>
      </c>
      <c r="D34" s="25"/>
      <c r="E34" s="44" t="s">
        <v>63</v>
      </c>
      <c r="F34" s="25">
        <v>74.75</v>
      </c>
      <c r="G34" s="26"/>
      <c r="W34" s="14"/>
      <c r="X34" s="16"/>
      <c r="Y34" s="16"/>
      <c r="Z34" s="16"/>
      <c r="AA34" s="16"/>
      <c r="AB34" s="16"/>
    </row>
    <row r="35" spans="2:33" x14ac:dyDescent="0.2">
      <c r="B35" s="27"/>
      <c r="G35" s="50"/>
      <c r="Y35" s="16"/>
      <c r="Z35" s="16"/>
      <c r="AA35" s="16"/>
      <c r="AB35" s="16"/>
    </row>
    <row r="36" spans="2:33" ht="16" thickBot="1" x14ac:dyDescent="0.25">
      <c r="B36" s="46" t="s">
        <v>62</v>
      </c>
      <c r="C36" s="35">
        <f>F34/D31-C34</f>
        <v>1.1224489795918231</v>
      </c>
      <c r="D36" s="35"/>
      <c r="E36" s="35"/>
      <c r="F36" s="35"/>
      <c r="G36" s="51"/>
      <c r="Y36" s="16"/>
      <c r="Z36" s="16"/>
      <c r="AA36" s="16"/>
      <c r="AB36" s="16"/>
    </row>
    <row r="37" spans="2:33" x14ac:dyDescent="0.2">
      <c r="Y37" s="16"/>
      <c r="Z37" s="16"/>
      <c r="AA37" s="16"/>
      <c r="AB37" s="16"/>
    </row>
    <row r="38" spans="2:33" x14ac:dyDescent="0.2">
      <c r="Y38" s="16"/>
      <c r="Z38" s="16"/>
      <c r="AA38" s="16"/>
      <c r="AB38" s="14"/>
      <c r="AC38" s="14"/>
      <c r="AD38" s="14"/>
      <c r="AE38" s="14"/>
      <c r="AF38" s="14"/>
      <c r="AG38" s="14"/>
    </row>
    <row r="39" spans="2:33" x14ac:dyDescent="0.2">
      <c r="Y39" s="16"/>
      <c r="Z39" s="16"/>
      <c r="AA39" s="16"/>
      <c r="AB39" s="16"/>
      <c r="AC39" s="16"/>
      <c r="AD39" s="16"/>
      <c r="AE39" s="16"/>
      <c r="AF39" s="16"/>
      <c r="AG39" s="16"/>
    </row>
    <row r="40" spans="2:33" x14ac:dyDescent="0.2">
      <c r="Q40" s="14"/>
      <c r="R40" s="14"/>
      <c r="S40" s="14"/>
      <c r="T40" s="14"/>
      <c r="U40" s="14"/>
      <c r="V40" s="14"/>
      <c r="W40" s="14"/>
      <c r="X40" s="14"/>
      <c r="AB40" s="14"/>
      <c r="AC40" s="16"/>
      <c r="AD40" s="16"/>
      <c r="AE40" s="16"/>
      <c r="AF40" s="16"/>
      <c r="AG40" s="21"/>
    </row>
    <row r="41" spans="2:33" x14ac:dyDescent="0.2">
      <c r="Q41" s="14"/>
      <c r="R41" s="16"/>
      <c r="S41" s="16"/>
      <c r="T41" s="16"/>
      <c r="U41" s="16"/>
      <c r="V41" s="16"/>
      <c r="W41" s="16"/>
      <c r="X41" s="16"/>
      <c r="AB41" s="14"/>
      <c r="AC41" s="16"/>
      <c r="AD41" s="16"/>
      <c r="AE41" s="16"/>
      <c r="AF41" s="16"/>
      <c r="AG41" s="21"/>
    </row>
    <row r="42" spans="2:33" x14ac:dyDescent="0.2">
      <c r="Q42" s="16"/>
      <c r="R42" s="16"/>
      <c r="S42" s="14"/>
      <c r="T42" s="16"/>
      <c r="U42" s="16"/>
      <c r="V42" s="14"/>
      <c r="W42" s="14"/>
      <c r="X42" s="16"/>
      <c r="AB42" s="14"/>
      <c r="AC42" s="16"/>
      <c r="AD42" s="16"/>
      <c r="AE42" s="16"/>
      <c r="AF42" s="16"/>
      <c r="AG42" s="21"/>
    </row>
    <row r="43" spans="2:33" x14ac:dyDescent="0.2">
      <c r="Q43" s="16"/>
      <c r="R43" s="16"/>
      <c r="S43" s="16"/>
      <c r="T43" s="16"/>
      <c r="U43" s="16"/>
      <c r="V43" s="16"/>
      <c r="W43" s="16"/>
      <c r="X43" s="16"/>
      <c r="AB43" s="14"/>
      <c r="AC43" s="16"/>
      <c r="AD43" s="16"/>
      <c r="AE43" s="16"/>
      <c r="AF43" s="16"/>
      <c r="AG43" s="16"/>
    </row>
    <row r="44" spans="2:33" x14ac:dyDescent="0.2">
      <c r="Q44" s="16"/>
      <c r="R44" s="16"/>
      <c r="S44" s="16"/>
      <c r="T44" s="16"/>
      <c r="U44" s="16"/>
      <c r="V44" s="16"/>
      <c r="W44" s="16"/>
      <c r="X44" s="16"/>
      <c r="AB44" s="14"/>
      <c r="AC44" s="16"/>
      <c r="AD44" s="16"/>
      <c r="AE44" s="16"/>
      <c r="AF44" s="16"/>
      <c r="AG44" s="16"/>
    </row>
    <row r="45" spans="2:33" x14ac:dyDescent="0.2">
      <c r="Q45" s="16"/>
      <c r="R45" s="16"/>
      <c r="S45" s="16"/>
      <c r="T45" s="16"/>
      <c r="U45" s="14"/>
      <c r="V45" s="16"/>
      <c r="W45" s="16"/>
      <c r="X45" s="21"/>
      <c r="AB45" s="14"/>
      <c r="AC45" s="16"/>
      <c r="AD45" s="16"/>
      <c r="AE45" s="16"/>
      <c r="AF45" s="16"/>
      <c r="AG45" s="16"/>
    </row>
    <row r="46" spans="2:33" x14ac:dyDescent="0.2">
      <c r="Q46" s="16"/>
      <c r="R46" s="16"/>
      <c r="S46" s="14"/>
      <c r="T46" s="14"/>
      <c r="U46" s="14"/>
      <c r="V46" s="16"/>
      <c r="W46" s="16"/>
      <c r="X46" s="21"/>
      <c r="AB46" s="14"/>
      <c r="AC46" s="16"/>
      <c r="AD46" s="16"/>
      <c r="AE46" s="16"/>
      <c r="AF46" s="16"/>
      <c r="AG46" s="16"/>
    </row>
    <row r="47" spans="2:33" x14ac:dyDescent="0.2">
      <c r="Q47" s="16"/>
      <c r="R47" s="16"/>
      <c r="S47" s="16"/>
      <c r="T47" s="16"/>
      <c r="U47" s="16"/>
      <c r="V47" s="16"/>
      <c r="W47" s="16"/>
      <c r="X47" s="16"/>
    </row>
    <row r="48" spans="2:33" x14ac:dyDescent="0.2">
      <c r="Q48" s="16"/>
      <c r="R48" s="16"/>
      <c r="S48" s="16"/>
      <c r="T48" s="14"/>
      <c r="U48" s="14"/>
      <c r="V48" s="14"/>
      <c r="W48" s="14"/>
      <c r="X48" s="16"/>
    </row>
    <row r="49" spans="17:24" x14ac:dyDescent="0.2">
      <c r="Q49" s="16"/>
      <c r="R49" s="16"/>
      <c r="S49" s="16"/>
      <c r="T49" s="14"/>
      <c r="U49" s="14"/>
      <c r="V49" s="16"/>
      <c r="W49" s="16"/>
      <c r="X49" s="16"/>
    </row>
    <row r="50" spans="17:24" x14ac:dyDescent="0.2">
      <c r="Q50" s="16"/>
      <c r="R50" s="16"/>
      <c r="S50" s="16"/>
      <c r="T50" s="16"/>
      <c r="U50" s="16"/>
      <c r="V50" s="16"/>
      <c r="W50" s="16"/>
      <c r="X50" s="16"/>
    </row>
    <row r="51" spans="17:24" x14ac:dyDescent="0.2">
      <c r="Q51" s="16"/>
      <c r="R51" s="16"/>
      <c r="S51" s="16"/>
      <c r="T51" s="14"/>
      <c r="U51" s="14"/>
      <c r="V51" s="16"/>
      <c r="W51" s="16"/>
      <c r="X51" s="16"/>
    </row>
    <row r="52" spans="17:24" x14ac:dyDescent="0.2">
      <c r="Q52" s="16"/>
      <c r="R52" s="16"/>
      <c r="S52" s="16"/>
      <c r="T52" s="14"/>
      <c r="U52" s="14"/>
      <c r="V52" s="16"/>
      <c r="W52" s="16"/>
      <c r="X52" s="1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95D52-4214-FE41-8765-DF5ECB885C58}">
  <dimension ref="A2:S18"/>
  <sheetViews>
    <sheetView workbookViewId="0">
      <selection activeCell="M10" sqref="M10"/>
    </sheetView>
  </sheetViews>
  <sheetFormatPr baseColWidth="10" defaultRowHeight="15" x14ac:dyDescent="0.2"/>
  <sheetData>
    <row r="2" spans="1:19" ht="38" customHeight="1" x14ac:dyDescent="0.3">
      <c r="A2" s="22" t="s">
        <v>63</v>
      </c>
      <c r="B2">
        <v>74.75</v>
      </c>
      <c r="D2" s="8"/>
      <c r="E2" s="9" t="s">
        <v>65</v>
      </c>
      <c r="F2" s="9" t="s">
        <v>64</v>
      </c>
      <c r="G2" s="9" t="s">
        <v>66</v>
      </c>
      <c r="H2" s="9" t="s">
        <v>67</v>
      </c>
      <c r="M2" s="17" t="s">
        <v>65</v>
      </c>
      <c r="N2" s="17" t="s">
        <v>64</v>
      </c>
      <c r="O2" s="17" t="s">
        <v>66</v>
      </c>
      <c r="P2" s="17" t="s">
        <v>67</v>
      </c>
    </row>
    <row r="3" spans="1:19" ht="39" customHeight="1" x14ac:dyDescent="0.2">
      <c r="D3" s="10" t="s">
        <v>45</v>
      </c>
      <c r="E3" s="11">
        <v>8.3333333333333329E-2</v>
      </c>
      <c r="F3" s="12">
        <v>0.25</v>
      </c>
      <c r="G3" s="12">
        <v>0.5</v>
      </c>
      <c r="H3" s="12">
        <v>1</v>
      </c>
      <c r="J3" s="8"/>
      <c r="K3" s="18" t="s">
        <v>0</v>
      </c>
      <c r="L3" s="18"/>
      <c r="M3" s="12">
        <f>(E9-E8+E6-E7)/(E5-E4)</f>
        <v>0.97333333333333327</v>
      </c>
      <c r="N3" s="12">
        <f>(F9-F8+F6-F7)/(F5-F4)</f>
        <v>0.9800000000000002</v>
      </c>
      <c r="O3" s="12">
        <f>(G9-G8+G6-G7)/(G5-G4)</f>
        <v>0.97</v>
      </c>
      <c r="P3" s="12">
        <f>(H9-H8+H6-H7)/(H5-H4)</f>
        <v>0.95999999999999974</v>
      </c>
    </row>
    <row r="4" spans="1:19" ht="39" customHeight="1" x14ac:dyDescent="0.2">
      <c r="D4" s="10" t="s">
        <v>47</v>
      </c>
      <c r="E4" s="12">
        <v>73</v>
      </c>
      <c r="F4" s="12">
        <v>72.5</v>
      </c>
      <c r="G4" s="12">
        <v>72.5</v>
      </c>
      <c r="H4" s="12">
        <v>77.5</v>
      </c>
      <c r="J4" s="8"/>
      <c r="K4" s="19" t="s">
        <v>73</v>
      </c>
      <c r="L4" s="8"/>
      <c r="M4" s="12">
        <v>75</v>
      </c>
      <c r="N4" s="12">
        <v>75</v>
      </c>
      <c r="O4" s="12">
        <v>75</v>
      </c>
      <c r="P4" s="12">
        <v>75</v>
      </c>
      <c r="S4" s="13"/>
    </row>
    <row r="5" spans="1:19" ht="39" customHeight="1" x14ac:dyDescent="0.2">
      <c r="D5" s="10" t="s">
        <v>48</v>
      </c>
      <c r="E5" s="12">
        <v>76</v>
      </c>
      <c r="F5" s="12">
        <v>75</v>
      </c>
      <c r="G5" s="12">
        <v>75</v>
      </c>
      <c r="H5" s="12">
        <v>80</v>
      </c>
      <c r="L5" s="19" t="s">
        <v>74</v>
      </c>
      <c r="M5" s="23">
        <v>1.86</v>
      </c>
      <c r="N5" s="23">
        <v>3.4750000000000001</v>
      </c>
      <c r="O5" s="23">
        <v>4.875</v>
      </c>
      <c r="P5" s="23">
        <v>6.5</v>
      </c>
    </row>
    <row r="6" spans="1:19" ht="39" customHeight="1" x14ac:dyDescent="0.2">
      <c r="D6" s="10" t="s">
        <v>68</v>
      </c>
      <c r="E6" s="12">
        <v>3.2749999999999999</v>
      </c>
      <c r="F6" s="12">
        <v>4.95</v>
      </c>
      <c r="G6" s="12">
        <v>6.35</v>
      </c>
      <c r="H6" s="12">
        <v>5.7</v>
      </c>
      <c r="L6" s="19" t="s">
        <v>75</v>
      </c>
      <c r="M6" s="23">
        <v>1.9750000000000001</v>
      </c>
      <c r="N6" s="23">
        <v>3.3250000000000002</v>
      </c>
      <c r="O6" s="23">
        <v>4.5250000000000004</v>
      </c>
      <c r="P6" s="23">
        <v>6.35</v>
      </c>
    </row>
    <row r="7" spans="1:19" ht="39" customHeight="1" x14ac:dyDescent="0.2">
      <c r="D7" s="10" t="s">
        <v>69</v>
      </c>
      <c r="E7" s="12">
        <v>1.59</v>
      </c>
      <c r="F7" s="12">
        <v>3.4750000000000001</v>
      </c>
      <c r="G7" s="12">
        <v>3.5750000000000002</v>
      </c>
      <c r="H7" s="12">
        <v>4.6500000000000004</v>
      </c>
      <c r="L7" s="20" t="s">
        <v>72</v>
      </c>
      <c r="M7" s="12">
        <f>(M5-M6)/M3 +M4</f>
        <v>74.881849315068493</v>
      </c>
      <c r="N7" s="12">
        <f t="shared" ref="N7:P7" si="0">(N5-N6)/N3 +N4</f>
        <v>75.15306122448979</v>
      </c>
      <c r="O7" s="12">
        <f t="shared" si="0"/>
        <v>75.360824742268036</v>
      </c>
      <c r="P7" s="12">
        <f t="shared" si="0"/>
        <v>75.15625</v>
      </c>
    </row>
    <row r="8" spans="1:19" ht="39" customHeight="1" x14ac:dyDescent="0.2">
      <c r="D8" s="10" t="s">
        <v>70</v>
      </c>
      <c r="E8" s="12">
        <v>1.2050000000000001</v>
      </c>
      <c r="F8" s="12">
        <v>2.35</v>
      </c>
      <c r="G8" s="12">
        <v>4.875</v>
      </c>
      <c r="H8" s="12">
        <v>7.25</v>
      </c>
      <c r="L8" s="20" t="s">
        <v>76</v>
      </c>
      <c r="M8" s="12">
        <f>B2/M3-M7</f>
        <v>1.9160958904109577</v>
      </c>
      <c r="N8" s="12">
        <f>B2/N3-N7</f>
        <v>1.1224489795918231</v>
      </c>
      <c r="O8" s="12">
        <f>B2/O3-O7</f>
        <v>1.7010309278350633</v>
      </c>
      <c r="P8" s="12">
        <f>B2/P3-P7</f>
        <v>2.708333333333357</v>
      </c>
    </row>
    <row r="9" spans="1:19" ht="39" customHeight="1" x14ac:dyDescent="0.2">
      <c r="D9" s="10" t="s">
        <v>71</v>
      </c>
      <c r="E9" s="12">
        <v>2.44</v>
      </c>
      <c r="F9" s="12">
        <v>3.3250000000000002</v>
      </c>
      <c r="G9" s="12">
        <v>4.5250000000000004</v>
      </c>
      <c r="H9" s="12">
        <v>8.6</v>
      </c>
      <c r="R9" s="52" t="s">
        <v>86</v>
      </c>
    </row>
    <row r="10" spans="1:19" ht="40" customHeight="1" x14ac:dyDescent="0.2"/>
    <row r="14" spans="1:19" x14ac:dyDescent="0.2">
      <c r="N14" s="14"/>
      <c r="O14" s="14"/>
      <c r="P14" s="14"/>
      <c r="Q14" s="14"/>
      <c r="R14" s="14"/>
      <c r="S14" s="14"/>
    </row>
    <row r="15" spans="1:19" x14ac:dyDescent="0.2">
      <c r="N15" s="15"/>
      <c r="O15" s="16"/>
      <c r="P15" s="16"/>
      <c r="Q15" s="16"/>
      <c r="R15" s="14"/>
      <c r="S15" s="16"/>
    </row>
    <row r="16" spans="1:19" x14ac:dyDescent="0.2">
      <c r="N16" s="15"/>
      <c r="O16" s="16"/>
      <c r="P16" s="16"/>
      <c r="Q16" s="16"/>
      <c r="R16" s="14"/>
      <c r="S16" s="16"/>
    </row>
    <row r="17" spans="14:19" x14ac:dyDescent="0.2">
      <c r="N17" s="15"/>
      <c r="O17" s="16"/>
      <c r="P17" s="16"/>
      <c r="Q17" s="16"/>
      <c r="R17" s="14"/>
      <c r="S17" s="16"/>
    </row>
    <row r="18" spans="14:19" x14ac:dyDescent="0.2">
      <c r="N18" s="14"/>
      <c r="O18" s="16"/>
      <c r="P18" s="16"/>
      <c r="Q18" s="16"/>
      <c r="R18" s="14"/>
      <c r="S18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Report 2</vt:lpstr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Martino</dc:creator>
  <cp:lastModifiedBy>Edoardo Pandolfo</cp:lastModifiedBy>
  <dcterms:created xsi:type="dcterms:W3CDTF">2022-03-18T18:09:52Z</dcterms:created>
  <dcterms:modified xsi:type="dcterms:W3CDTF">2026-03-24T21:59:55Z</dcterms:modified>
</cp:coreProperties>
</file>