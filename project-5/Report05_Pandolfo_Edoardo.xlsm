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4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edoardopandolfo/Desktop/Primo anno magistrale/Stochastic Methods For Finance/"/>
    </mc:Choice>
  </mc:AlternateContent>
  <xr:revisionPtr revIDLastSave="0" documentId="13_ncr:1_{00B44F53-B877-484E-8D41-CFA60208E9FC}" xr6:coauthVersionLast="47" xr6:coauthVersionMax="47" xr10:uidLastSave="{00000000-0000-0000-0000-000000000000}"/>
  <bookViews>
    <workbookView xWindow="0" yWindow="660" windowWidth="29400" windowHeight="16800" activeTab="4" xr2:uid="{00000000-000D-0000-FFFF-FFFF00000000}"/>
  </bookViews>
  <sheets>
    <sheet name="Sheet1" sheetId="1" r:id="rId1"/>
    <sheet name="Part 1 calls" sheetId="2" r:id="rId2"/>
    <sheet name="Parrt 1 puts" sheetId="4" r:id="rId3"/>
    <sheet name="Part 2" sheetId="3" r:id="rId4"/>
    <sheet name="Part 3" sheetId="7" r:id="rId5"/>
    <sheet name="Calls Refinitive" sheetId="5" r:id="rId6"/>
    <sheet name="Puts Refinitive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7" l="1"/>
  <c r="H84" i="7" a="1"/>
  <c r="L84" i="7" a="1"/>
  <c r="J85" i="7" a="1"/>
  <c r="H86" i="7" a="1"/>
  <c r="L86" i="7" a="1"/>
  <c r="J87" i="7" a="1"/>
  <c r="H88" i="7" a="1"/>
  <c r="L88" i="7" a="1"/>
  <c r="J89" i="7" a="1"/>
  <c r="H90" i="7" a="1"/>
  <c r="L90" i="7" a="1"/>
  <c r="M85" i="7" a="1"/>
  <c r="K88" i="7" a="1"/>
  <c r="K90" i="7" a="1"/>
  <c r="M84" i="7" a="1"/>
  <c r="K85" i="7" a="1"/>
  <c r="M86" i="7" a="1"/>
  <c r="K87" i="7" a="1"/>
  <c r="M88" i="7" a="1"/>
  <c r="I90" i="7" a="1"/>
  <c r="J84" i="7" a="1"/>
  <c r="J86" i="7" a="1"/>
  <c r="L87" i="7" a="1"/>
  <c r="H89" i="7" a="1"/>
  <c r="J90" i="7" a="1"/>
  <c r="K84" i="7" a="1"/>
  <c r="K86" i="7" a="1"/>
  <c r="M87" i="7" a="1"/>
  <c r="M89" i="7" a="1"/>
  <c r="I84" i="7" a="1"/>
  <c r="I86" i="7" a="1"/>
  <c r="I88" i="7" a="1"/>
  <c r="K89" i="7" a="1"/>
  <c r="M90" i="7" a="1"/>
  <c r="H85" i="7" a="1"/>
  <c r="H87" i="7" a="1"/>
  <c r="J88" i="7" a="1"/>
  <c r="L89" i="7" a="1"/>
  <c r="I85" i="7" a="1"/>
  <c r="I87" i="7" a="1"/>
  <c r="I89" i="7" a="1"/>
  <c r="L85" i="7" a="1"/>
  <c r="G85" i="7" a="1"/>
  <c r="G89" i="7" a="1"/>
  <c r="G86" i="7" a="1"/>
  <c r="G87" i="7" a="1"/>
  <c r="G90" i="7" a="1"/>
  <c r="G88" i="7" a="1"/>
  <c r="G84" i="7" a="1"/>
  <c r="H65" i="7" a="1"/>
  <c r="L65" i="7" a="1"/>
  <c r="J66" i="7" a="1"/>
  <c r="H67" i="7" a="1"/>
  <c r="L67" i="7" a="1"/>
  <c r="J68" i="7" a="1"/>
  <c r="H69" i="7" a="1"/>
  <c r="L69" i="7" a="1"/>
  <c r="J70" i="7" a="1"/>
  <c r="H71" i="7" a="1"/>
  <c r="L71" i="7" a="1"/>
  <c r="J67" i="7" a="1"/>
  <c r="J69" i="7" a="1"/>
  <c r="J71" i="7" a="1"/>
  <c r="I66" i="7" a="1"/>
  <c r="M68" i="7" a="1"/>
  <c r="I70" i="7" a="1"/>
  <c r="M65" i="7" a="1"/>
  <c r="I67" i="7" a="1"/>
  <c r="M67" i="7" a="1"/>
  <c r="I69" i="7" a="1"/>
  <c r="K70" i="7" a="1"/>
  <c r="M71" i="7" a="1"/>
  <c r="J65" i="7" a="1"/>
  <c r="L68" i="7" a="1"/>
  <c r="L70" i="7" a="1"/>
  <c r="K65" i="7" a="1"/>
  <c r="K67" i="7" a="1"/>
  <c r="K69" i="7" a="1"/>
  <c r="K71" i="7" a="1"/>
  <c r="I65" i="7" a="1"/>
  <c r="K66" i="7" a="1"/>
  <c r="K68" i="7" a="1"/>
  <c r="M69" i="7" a="1"/>
  <c r="I71" i="7" a="1"/>
  <c r="H66" i="7" a="1"/>
  <c r="H68" i="7" a="1"/>
  <c r="H70" i="7" a="1"/>
  <c r="M66" i="7" a="1"/>
  <c r="I68" i="7" a="1"/>
  <c r="M70" i="7" a="1"/>
  <c r="L66" i="7" a="1"/>
  <c r="G66" i="7" a="1"/>
  <c r="G70" i="7" a="1"/>
  <c r="G71" i="7" a="1"/>
  <c r="G68" i="7" a="1"/>
  <c r="G69" i="7" a="1"/>
  <c r="G67" i="7" a="1"/>
  <c r="G65" i="7" a="1"/>
  <c r="H47" i="7" a="1"/>
  <c r="L47" i="7" a="1"/>
  <c r="J48" i="7" a="1"/>
  <c r="H49" i="7" a="1"/>
  <c r="L49" i="7" a="1"/>
  <c r="J50" i="7" a="1"/>
  <c r="H51" i="7" a="1"/>
  <c r="L51" i="7" a="1"/>
  <c r="J52" i="7" a="1"/>
  <c r="H53" i="7" a="1"/>
  <c r="L53" i="7" a="1"/>
  <c r="I47" i="7" a="1"/>
  <c r="M47" i="7" a="1"/>
  <c r="K48" i="7" a="1"/>
  <c r="I49" i="7" a="1"/>
  <c r="M49" i="7" a="1"/>
  <c r="K50" i="7" a="1"/>
  <c r="I51" i="7" a="1"/>
  <c r="M51" i="7" a="1"/>
  <c r="K52" i="7" a="1"/>
  <c r="I53" i="7" a="1"/>
  <c r="M53" i="7" a="1"/>
  <c r="J47" i="7" a="1"/>
  <c r="H48" i="7" a="1"/>
  <c r="L48" i="7" a="1"/>
  <c r="J49" i="7" a="1"/>
  <c r="H50" i="7" a="1"/>
  <c r="L50" i="7" a="1"/>
  <c r="J51" i="7" a="1"/>
  <c r="H52" i="7" a="1"/>
  <c r="L52" i="7" a="1"/>
  <c r="J53" i="7" a="1"/>
  <c r="K47" i="7" a="1"/>
  <c r="I48" i="7" a="1"/>
  <c r="M48" i="7" a="1"/>
  <c r="K49" i="7" a="1"/>
  <c r="I50" i="7" a="1"/>
  <c r="M50" i="7" a="1"/>
  <c r="K51" i="7" a="1"/>
  <c r="I52" i="7" a="1"/>
  <c r="M52" i="7" a="1"/>
  <c r="K53" i="7" a="1"/>
  <c r="G48" i="7" a="1"/>
  <c r="G52" i="7" a="1"/>
  <c r="G50" i="7" a="1"/>
  <c r="G51" i="7" a="1"/>
  <c r="G53" i="7" a="1"/>
  <c r="G49" i="7" a="1"/>
  <c r="G47" i="7" a="1"/>
  <c r="K7" i="7" a="1"/>
  <c r="L7" i="7" a="1"/>
  <c r="J7" i="7" a="1"/>
  <c r="H33" i="7" a="1"/>
  <c r="L33" i="7" a="1"/>
  <c r="J34" i="7" a="1"/>
  <c r="H35" i="7" a="1"/>
  <c r="L35" i="7" a="1"/>
  <c r="J36" i="7" a="1"/>
  <c r="H37" i="7" a="1"/>
  <c r="L37" i="7" a="1"/>
  <c r="J38" i="7" a="1"/>
  <c r="H39" i="7" a="1"/>
  <c r="L39" i="7" a="1"/>
  <c r="L34" i="7" a="1"/>
  <c r="J37" i="7" a="1"/>
  <c r="J39" i="7" a="1"/>
  <c r="I34" i="7" a="1"/>
  <c r="I36" i="7" a="1"/>
  <c r="M38" i="7" a="1"/>
  <c r="M33" i="7" a="1"/>
  <c r="K36" i="7" a="1"/>
  <c r="M37" i="7" a="1"/>
  <c r="I39" i="7" a="1"/>
  <c r="M39" i="7" a="1"/>
  <c r="H34" i="7" a="1"/>
  <c r="H36" i="7" a="1"/>
  <c r="H38" i="7" a="1"/>
  <c r="K33" i="7" a="1"/>
  <c r="K35" i="7" a="1"/>
  <c r="K37" i="7" a="1"/>
  <c r="K39" i="7" a="1"/>
  <c r="I33" i="7" a="1"/>
  <c r="K34" i="7" a="1"/>
  <c r="I35" i="7" a="1"/>
  <c r="M35" i="7" a="1"/>
  <c r="I37" i="7" a="1"/>
  <c r="K38" i="7" a="1"/>
  <c r="J33" i="7" a="1"/>
  <c r="L36" i="7" a="1"/>
  <c r="L38" i="7" a="1"/>
  <c r="M34" i="7" a="1"/>
  <c r="M36" i="7" a="1"/>
  <c r="I38" i="7" a="1"/>
  <c r="J35" i="7" a="1"/>
  <c r="G34" i="7" a="1"/>
  <c r="G39" i="7" a="1"/>
  <c r="G35" i="7" a="1"/>
  <c r="G36" i="7" a="1"/>
  <c r="G37" i="7" a="1"/>
  <c r="G38" i="7" a="1"/>
  <c r="G33" i="7" a="1"/>
  <c r="H22" i="7" a="1"/>
  <c r="L22" i="7" a="1"/>
  <c r="J23" i="7" a="1"/>
  <c r="H24" i="7" a="1"/>
  <c r="L24" i="7" a="1"/>
  <c r="J25" i="7" a="1"/>
  <c r="H26" i="7" a="1"/>
  <c r="L26" i="7" a="1"/>
  <c r="J27" i="7" a="1"/>
  <c r="H28" i="7" a="1"/>
  <c r="L28" i="7" a="1"/>
  <c r="L25" i="7" a="1"/>
  <c r="L27" i="7" a="1"/>
  <c r="K22" i="7" a="1"/>
  <c r="K24" i="7" a="1"/>
  <c r="K26" i="7" a="1"/>
  <c r="K28" i="7" a="1"/>
  <c r="M22" i="7" a="1"/>
  <c r="I24" i="7" a="1"/>
  <c r="I26" i="7" a="1"/>
  <c r="K27" i="7" a="1"/>
  <c r="I28" i="7" a="1"/>
  <c r="H23" i="7" a="1"/>
  <c r="J24" i="7" a="1"/>
  <c r="J26" i="7" a="1"/>
  <c r="J28" i="7" a="1"/>
  <c r="I23" i="7" a="1"/>
  <c r="I25" i="7" a="1"/>
  <c r="I27" i="7" a="1"/>
  <c r="I22" i="7" a="1"/>
  <c r="K23" i="7" a="1"/>
  <c r="M24" i="7" a="1"/>
  <c r="K25" i="7" a="1"/>
  <c r="M26" i="7" a="1"/>
  <c r="M28" i="7" a="1"/>
  <c r="L23" i="7" a="1"/>
  <c r="H25" i="7" a="1"/>
  <c r="H27" i="7" a="1"/>
  <c r="M23" i="7" a="1"/>
  <c r="M25" i="7" a="1"/>
  <c r="M27" i="7" a="1"/>
  <c r="J22" i="7" a="1"/>
  <c r="G28" i="7" a="1"/>
  <c r="G23" i="7" a="1"/>
  <c r="G27" i="7" a="1"/>
  <c r="G25" i="7" a="1"/>
  <c r="G26" i="7" a="1"/>
  <c r="G24" i="7" a="1"/>
  <c r="G22" i="7" a="1"/>
  <c r="H7" i="7" a="1"/>
  <c r="L85" i="7" l="1"/>
  <c r="I89" i="7"/>
  <c r="I87" i="7"/>
  <c r="I85" i="7"/>
  <c r="L89" i="7"/>
  <c r="J88" i="7"/>
  <c r="H87" i="7"/>
  <c r="H85" i="7"/>
  <c r="M90" i="7"/>
  <c r="K89" i="7"/>
  <c r="I88" i="7"/>
  <c r="I86" i="7"/>
  <c r="I84" i="7"/>
  <c r="M89" i="7"/>
  <c r="M87" i="7"/>
  <c r="K86" i="7"/>
  <c r="K84" i="7"/>
  <c r="J90" i="7"/>
  <c r="H89" i="7"/>
  <c r="L87" i="7"/>
  <c r="J86" i="7"/>
  <c r="J84" i="7"/>
  <c r="I90" i="7"/>
  <c r="M88" i="7"/>
  <c r="K87" i="7"/>
  <c r="M86" i="7"/>
  <c r="K85" i="7"/>
  <c r="M84" i="7"/>
  <c r="K90" i="7"/>
  <c r="K88" i="7"/>
  <c r="M85" i="7"/>
  <c r="L90" i="7"/>
  <c r="H90" i="7"/>
  <c r="J89" i="7"/>
  <c r="L88" i="7"/>
  <c r="H88" i="7"/>
  <c r="J87" i="7"/>
  <c r="L86" i="7"/>
  <c r="H86" i="7"/>
  <c r="J85" i="7"/>
  <c r="L84" i="7"/>
  <c r="H84" i="7"/>
  <c r="G88" i="7"/>
  <c r="G90" i="7"/>
  <c r="G87" i="7"/>
  <c r="G86" i="7"/>
  <c r="G89" i="7"/>
  <c r="G85" i="7"/>
  <c r="G84" i="7"/>
  <c r="L66" i="7"/>
  <c r="M70" i="7"/>
  <c r="I68" i="7"/>
  <c r="M66" i="7"/>
  <c r="H70" i="7"/>
  <c r="H68" i="7"/>
  <c r="H66" i="7"/>
  <c r="I71" i="7"/>
  <c r="M69" i="7"/>
  <c r="K68" i="7"/>
  <c r="K66" i="7"/>
  <c r="I65" i="7"/>
  <c r="K71" i="7"/>
  <c r="K69" i="7"/>
  <c r="K67" i="7"/>
  <c r="K65" i="7"/>
  <c r="L70" i="7"/>
  <c r="L68" i="7"/>
  <c r="J65" i="7"/>
  <c r="M71" i="7"/>
  <c r="K70" i="7"/>
  <c r="I69" i="7"/>
  <c r="M67" i="7"/>
  <c r="I67" i="7"/>
  <c r="M65" i="7"/>
  <c r="I70" i="7"/>
  <c r="M68" i="7"/>
  <c r="I66" i="7"/>
  <c r="J71" i="7"/>
  <c r="J69" i="7"/>
  <c r="J67" i="7"/>
  <c r="L71" i="7"/>
  <c r="H71" i="7"/>
  <c r="J70" i="7"/>
  <c r="L69" i="7"/>
  <c r="H69" i="7"/>
  <c r="J68" i="7"/>
  <c r="L67" i="7"/>
  <c r="H67" i="7"/>
  <c r="J66" i="7"/>
  <c r="L65" i="7"/>
  <c r="H65" i="7"/>
  <c r="G67" i="7"/>
  <c r="G69" i="7"/>
  <c r="G68" i="7"/>
  <c r="G71" i="7"/>
  <c r="G70" i="7"/>
  <c r="G66" i="7"/>
  <c r="G65" i="7"/>
  <c r="K53" i="7"/>
  <c r="M52" i="7"/>
  <c r="I52" i="7"/>
  <c r="K51" i="7"/>
  <c r="M50" i="7"/>
  <c r="I50" i="7"/>
  <c r="K49" i="7"/>
  <c r="M48" i="7"/>
  <c r="I48" i="7"/>
  <c r="K47" i="7"/>
  <c r="J53" i="7"/>
  <c r="L52" i="7"/>
  <c r="H52" i="7"/>
  <c r="J51" i="7"/>
  <c r="L50" i="7"/>
  <c r="H50" i="7"/>
  <c r="J49" i="7"/>
  <c r="L48" i="7"/>
  <c r="H48" i="7"/>
  <c r="J47" i="7"/>
  <c r="M53" i="7"/>
  <c r="I53" i="7"/>
  <c r="K52" i="7"/>
  <c r="M51" i="7"/>
  <c r="I51" i="7"/>
  <c r="K50" i="7"/>
  <c r="M49" i="7"/>
  <c r="I49" i="7"/>
  <c r="K48" i="7"/>
  <c r="M47" i="7"/>
  <c r="I47" i="7"/>
  <c r="L53" i="7"/>
  <c r="H53" i="7"/>
  <c r="J52" i="7"/>
  <c r="L51" i="7"/>
  <c r="H51" i="7"/>
  <c r="J50" i="7"/>
  <c r="L49" i="7"/>
  <c r="H49" i="7"/>
  <c r="J48" i="7"/>
  <c r="L47" i="7"/>
  <c r="H47" i="7"/>
  <c r="G49" i="7"/>
  <c r="G53" i="7"/>
  <c r="G51" i="7"/>
  <c r="G50" i="7"/>
  <c r="G52" i="7"/>
  <c r="G48" i="7"/>
  <c r="G47" i="7"/>
  <c r="K7" i="7"/>
  <c r="L7" i="7"/>
  <c r="J7" i="7"/>
  <c r="J35" i="7"/>
  <c r="I38" i="7"/>
  <c r="M36" i="7"/>
  <c r="M34" i="7"/>
  <c r="L38" i="7"/>
  <c r="L36" i="7"/>
  <c r="J33" i="7"/>
  <c r="K38" i="7"/>
  <c r="I37" i="7"/>
  <c r="M35" i="7"/>
  <c r="I35" i="7"/>
  <c r="K34" i="7"/>
  <c r="I33" i="7"/>
  <c r="K39" i="7"/>
  <c r="K37" i="7"/>
  <c r="K35" i="7"/>
  <c r="K33" i="7"/>
  <c r="H38" i="7"/>
  <c r="H36" i="7"/>
  <c r="H34" i="7"/>
  <c r="M39" i="7"/>
  <c r="I39" i="7"/>
  <c r="M37" i="7"/>
  <c r="K36" i="7"/>
  <c r="M33" i="7"/>
  <c r="M38" i="7"/>
  <c r="I36" i="7"/>
  <c r="I34" i="7"/>
  <c r="J39" i="7"/>
  <c r="J37" i="7"/>
  <c r="L34" i="7"/>
  <c r="L39" i="7"/>
  <c r="H39" i="7"/>
  <c r="J38" i="7"/>
  <c r="L37" i="7"/>
  <c r="H37" i="7"/>
  <c r="J36" i="7"/>
  <c r="L35" i="7"/>
  <c r="H35" i="7"/>
  <c r="J34" i="7"/>
  <c r="L33" i="7"/>
  <c r="H33" i="7"/>
  <c r="G38" i="7"/>
  <c r="G37" i="7"/>
  <c r="G36" i="7"/>
  <c r="G35" i="7"/>
  <c r="G39" i="7"/>
  <c r="G34" i="7"/>
  <c r="G33" i="7"/>
  <c r="J22" i="7"/>
  <c r="M27" i="7"/>
  <c r="M25" i="7"/>
  <c r="M23" i="7"/>
  <c r="H27" i="7"/>
  <c r="H25" i="7"/>
  <c r="L23" i="7"/>
  <c r="M28" i="7"/>
  <c r="M26" i="7"/>
  <c r="K25" i="7"/>
  <c r="M24" i="7"/>
  <c r="K23" i="7"/>
  <c r="I22" i="7"/>
  <c r="I27" i="7"/>
  <c r="I25" i="7"/>
  <c r="I23" i="7"/>
  <c r="J28" i="7"/>
  <c r="J26" i="7"/>
  <c r="J24" i="7"/>
  <c r="H23" i="7"/>
  <c r="I28" i="7"/>
  <c r="K27" i="7"/>
  <c r="I26" i="7"/>
  <c r="I24" i="7"/>
  <c r="M22" i="7"/>
  <c r="K28" i="7"/>
  <c r="K26" i="7"/>
  <c r="K24" i="7"/>
  <c r="K22" i="7"/>
  <c r="L27" i="7"/>
  <c r="L25" i="7"/>
  <c r="L28" i="7"/>
  <c r="H28" i="7"/>
  <c r="J27" i="7"/>
  <c r="L26" i="7"/>
  <c r="H26" i="7"/>
  <c r="J25" i="7"/>
  <c r="L24" i="7"/>
  <c r="H24" i="7"/>
  <c r="J23" i="7"/>
  <c r="L22" i="7"/>
  <c r="H22" i="7"/>
  <c r="G28" i="7"/>
  <c r="G24" i="7"/>
  <c r="G26" i="7"/>
  <c r="G25" i="7"/>
  <c r="G27" i="7"/>
  <c r="G23" i="7"/>
  <c r="G22" i="7"/>
  <c r="H7" i="7"/>
  <c r="I7" i="7" a="1"/>
  <c r="I7" i="7" l="1"/>
  <c r="I39" i="2" a="1"/>
  <c r="I23" i="2" a="1"/>
  <c r="Y103" i="4" a="1"/>
  <c r="J90" i="4" a="1"/>
  <c r="N90" i="4" a="1"/>
  <c r="R90" i="4" a="1"/>
  <c r="V90" i="4" a="1"/>
  <c r="J91" i="4" a="1"/>
  <c r="N91" i="4" a="1"/>
  <c r="R91" i="4" a="1"/>
  <c r="V91" i="4" a="1"/>
  <c r="J92" i="4" a="1"/>
  <c r="N92" i="4" a="1"/>
  <c r="R92" i="4" a="1"/>
  <c r="V92" i="4" a="1"/>
  <c r="J93" i="4" a="1"/>
  <c r="N93" i="4" a="1"/>
  <c r="R93" i="4" a="1"/>
  <c r="V93" i="4" a="1"/>
  <c r="J94" i="4" a="1"/>
  <c r="N94" i="4" a="1"/>
  <c r="R94" i="4" a="1"/>
  <c r="V94" i="4" a="1"/>
  <c r="J95" i="4" a="1"/>
  <c r="N95" i="4" a="1"/>
  <c r="R95" i="4" a="1"/>
  <c r="V95" i="4" a="1"/>
  <c r="J96" i="4" a="1"/>
  <c r="N96" i="4" a="1"/>
  <c r="R96" i="4" a="1"/>
  <c r="V96" i="4" a="1"/>
  <c r="J97" i="4" a="1"/>
  <c r="N97" i="4" a="1"/>
  <c r="R97" i="4" a="1"/>
  <c r="V97" i="4" a="1"/>
  <c r="J98" i="4" a="1"/>
  <c r="N98" i="4" a="1"/>
  <c r="R98" i="4" a="1"/>
  <c r="V98" i="4" a="1"/>
  <c r="J99" i="4" a="1"/>
  <c r="N99" i="4" a="1"/>
  <c r="R99" i="4" a="1"/>
  <c r="V99" i="4" a="1"/>
  <c r="O90" i="4" a="1"/>
  <c r="S90" i="4" a="1"/>
  <c r="K91" i="4" a="1"/>
  <c r="S91" i="4" a="1"/>
  <c r="W91" i="4" a="1"/>
  <c r="O92" i="4" a="1"/>
  <c r="W92" i="4" a="1"/>
  <c r="O93" i="4" a="1"/>
  <c r="W93" i="4" a="1"/>
  <c r="O94" i="4" a="1"/>
  <c r="W94" i="4" a="1"/>
  <c r="O95" i="4" a="1"/>
  <c r="W95" i="4" a="1"/>
  <c r="O96" i="4" a="1"/>
  <c r="W96" i="4" a="1"/>
  <c r="K97" i="4" a="1"/>
  <c r="S97" i="4" a="1"/>
  <c r="W97" i="4" a="1"/>
  <c r="O98" i="4" a="1"/>
  <c r="W98" i="4" a="1"/>
  <c r="O99" i="4" a="1"/>
  <c r="S99" i="4" a="1"/>
  <c r="K100" i="4" a="1"/>
  <c r="S100" i="4" a="1"/>
  <c r="W100" i="4" a="1"/>
  <c r="O101" i="4" a="1"/>
  <c r="W101" i="4" a="1"/>
  <c r="O102" i="4" a="1"/>
  <c r="W102" i="4" a="1"/>
  <c r="O103" i="4" a="1"/>
  <c r="W103" i="4" a="1"/>
  <c r="K90" i="4" a="1"/>
  <c r="W90" i="4" a="1"/>
  <c r="O91" i="4" a="1"/>
  <c r="K92" i="4" a="1"/>
  <c r="S92" i="4" a="1"/>
  <c r="K93" i="4" a="1"/>
  <c r="S93" i="4" a="1"/>
  <c r="K94" i="4" a="1"/>
  <c r="S94" i="4" a="1"/>
  <c r="K95" i="4" a="1"/>
  <c r="S95" i="4" a="1"/>
  <c r="K96" i="4" a="1"/>
  <c r="S96" i="4" a="1"/>
  <c r="O97" i="4" a="1"/>
  <c r="K98" i="4" a="1"/>
  <c r="S98" i="4" a="1"/>
  <c r="K99" i="4" a="1"/>
  <c r="W99" i="4" a="1"/>
  <c r="O100" i="4" a="1"/>
  <c r="K101" i="4" a="1"/>
  <c r="S101" i="4" a="1"/>
  <c r="K102" i="4" a="1"/>
  <c r="S102" i="4" a="1"/>
  <c r="K103" i="4" a="1"/>
  <c r="S103" i="4" a="1"/>
  <c r="M90" i="4" a="1"/>
  <c r="Q90" i="4" a="1"/>
  <c r="U90" i="4" a="1"/>
  <c r="Y90" i="4" a="1"/>
  <c r="M91" i="4" a="1"/>
  <c r="Q91" i="4" a="1"/>
  <c r="U91" i="4" a="1"/>
  <c r="Y91" i="4" a="1"/>
  <c r="M92" i="4" a="1"/>
  <c r="Q92" i="4" a="1"/>
  <c r="U92" i="4" a="1"/>
  <c r="Y92" i="4" a="1"/>
  <c r="M93" i="4" a="1"/>
  <c r="Q93" i="4" a="1"/>
  <c r="U93" i="4" a="1"/>
  <c r="Y93" i="4" a="1"/>
  <c r="M94" i="4" a="1"/>
  <c r="Q94" i="4" a="1"/>
  <c r="U94" i="4" a="1"/>
  <c r="Y94" i="4" a="1"/>
  <c r="M95" i="4" a="1"/>
  <c r="Q95" i="4" a="1"/>
  <c r="U95" i="4" a="1"/>
  <c r="Y95" i="4" a="1"/>
  <c r="M96" i="4" a="1"/>
  <c r="Q96" i="4" a="1"/>
  <c r="U96" i="4" a="1"/>
  <c r="Y96" i="4" a="1"/>
  <c r="L90" i="4" a="1"/>
  <c r="L91" i="4" a="1"/>
  <c r="L92" i="4" a="1"/>
  <c r="L93" i="4" a="1"/>
  <c r="X94" i="4" a="1"/>
  <c r="X96" i="4" a="1"/>
  <c r="Q97" i="4" a="1"/>
  <c r="Y97" i="4" a="1"/>
  <c r="Q98" i="4" a="1"/>
  <c r="Y98" i="4" a="1"/>
  <c r="Q99" i="4" a="1"/>
  <c r="Y99" i="4" a="1"/>
  <c r="L101" i="4" a="1"/>
  <c r="R101" i="4" a="1"/>
  <c r="Y101" i="4" a="1"/>
  <c r="L103" i="4" a="1"/>
  <c r="R103" i="4" a="1"/>
  <c r="L97" i="4" a="1"/>
  <c r="T98" i="4" a="1"/>
  <c r="X100" i="4" a="1"/>
  <c r="X102" i="4" a="1"/>
  <c r="T90" i="4" a="1"/>
  <c r="M97" i="4" a="1"/>
  <c r="U98" i="4" a="1"/>
  <c r="L100" i="4" a="1"/>
  <c r="L102" i="4" a="1"/>
  <c r="T93" i="4" a="1"/>
  <c r="T96" i="4" a="1"/>
  <c r="P101" i="4" a="1"/>
  <c r="X90" i="4" a="1"/>
  <c r="P95" i="4" a="1"/>
  <c r="J103" i="4" a="1"/>
  <c r="L94" i="4" a="1"/>
  <c r="T95" i="4" a="1"/>
  <c r="P100" i="4" a="1"/>
  <c r="V100" i="4" a="1"/>
  <c r="M101" i="4" a="1"/>
  <c r="P102" i="4" a="1"/>
  <c r="V102" i="4" a="1"/>
  <c r="M103" i="4" a="1"/>
  <c r="L95" i="4" a="1"/>
  <c r="T97" i="4" a="1"/>
  <c r="L99" i="4" a="1"/>
  <c r="U101" i="4" a="1"/>
  <c r="U103" i="4" a="1"/>
  <c r="T92" i="4" a="1"/>
  <c r="U97" i="4" a="1"/>
  <c r="M99" i="4" a="1"/>
  <c r="R100" i="4" a="1"/>
  <c r="R102" i="4" a="1"/>
  <c r="M100" i="4" a="1"/>
  <c r="P103" i="4" a="1"/>
  <c r="X92" i="4" a="1"/>
  <c r="Q101" i="4" a="1"/>
  <c r="Q103" i="4" a="1"/>
  <c r="P90" i="4" a="1"/>
  <c r="P91" i="4" a="1"/>
  <c r="P92" i="4" a="1"/>
  <c r="P93" i="4" a="1"/>
  <c r="P96" i="4" a="1"/>
  <c r="J100" i="4" a="1"/>
  <c r="Q100" i="4" a="1"/>
  <c r="T101" i="4" a="1"/>
  <c r="J102" i="4" a="1"/>
  <c r="Q102" i="4" a="1"/>
  <c r="T103" i="4" a="1"/>
  <c r="P94" i="4" a="1"/>
  <c r="L98" i="4" a="1"/>
  <c r="T99" i="4" a="1"/>
  <c r="N101" i="4" a="1"/>
  <c r="N103" i="4" a="1"/>
  <c r="T91" i="4" a="1"/>
  <c r="X95" i="4" a="1"/>
  <c r="M98" i="4" a="1"/>
  <c r="U99" i="4" a="1"/>
  <c r="Y100" i="4" a="1"/>
  <c r="Y102" i="4" a="1"/>
  <c r="T94" i="4" a="1"/>
  <c r="V101" i="4" a="1"/>
  <c r="V103" i="4" a="1"/>
  <c r="T100" i="4" a="1"/>
  <c r="T102" i="4" a="1"/>
  <c r="X93" i="4" a="1"/>
  <c r="L96" i="4" a="1"/>
  <c r="P97" i="4" a="1"/>
  <c r="X97" i="4" a="1"/>
  <c r="P98" i="4" a="1"/>
  <c r="X98" i="4" a="1"/>
  <c r="P99" i="4" a="1"/>
  <c r="X99" i="4" a="1"/>
  <c r="N100" i="4" a="1"/>
  <c r="U100" i="4" a="1"/>
  <c r="X101" i="4" a="1"/>
  <c r="N102" i="4" a="1"/>
  <c r="U102" i="4" a="1"/>
  <c r="X103" i="4" a="1"/>
  <c r="M102" i="4" a="1"/>
  <c r="X91" i="4" a="1"/>
  <c r="J101" i="4" a="1"/>
  <c r="I91" i="4" a="1"/>
  <c r="I95" i="4" a="1"/>
  <c r="I99" i="4" a="1"/>
  <c r="I103" i="4" a="1"/>
  <c r="I94" i="4" a="1"/>
  <c r="I102" i="4" a="1"/>
  <c r="I92" i="4" a="1"/>
  <c r="I96" i="4" a="1"/>
  <c r="I100" i="4" a="1"/>
  <c r="I93" i="4" a="1"/>
  <c r="I97" i="4" a="1"/>
  <c r="I101" i="4" a="1"/>
  <c r="I98" i="4" a="1"/>
  <c r="I90" i="4" a="1"/>
  <c r="J74" i="4" a="1"/>
  <c r="N74" i="4" a="1"/>
  <c r="R74" i="4" a="1"/>
  <c r="V74" i="4" a="1"/>
  <c r="J75" i="4" a="1"/>
  <c r="N75" i="4" a="1"/>
  <c r="R75" i="4" a="1"/>
  <c r="V75" i="4" a="1"/>
  <c r="J76" i="4" a="1"/>
  <c r="N76" i="4" a="1"/>
  <c r="R76" i="4" a="1"/>
  <c r="V76" i="4" a="1"/>
  <c r="J77" i="4" a="1"/>
  <c r="N77" i="4" a="1"/>
  <c r="R77" i="4" a="1"/>
  <c r="V77" i="4" a="1"/>
  <c r="J78" i="4" a="1"/>
  <c r="N78" i="4" a="1"/>
  <c r="V78" i="4" a="1"/>
  <c r="J79" i="4" a="1"/>
  <c r="N79" i="4" a="1"/>
  <c r="R79" i="4" a="1"/>
  <c r="V79" i="4" a="1"/>
  <c r="J80" i="4" a="1"/>
  <c r="N80" i="4" a="1"/>
  <c r="R80" i="4" a="1"/>
  <c r="V80" i="4" a="1"/>
  <c r="J81" i="4" a="1"/>
  <c r="R81" i="4" a="1"/>
  <c r="V81" i="4" a="1"/>
  <c r="J82" i="4" a="1"/>
  <c r="R82" i="4" a="1"/>
  <c r="J83" i="4" a="1"/>
  <c r="R83" i="4" a="1"/>
  <c r="J84" i="4" a="1"/>
  <c r="R84" i="4" a="1"/>
  <c r="J85" i="4" a="1"/>
  <c r="R85" i="4" a="1"/>
  <c r="J86" i="4" a="1"/>
  <c r="O74" i="4" a="1"/>
  <c r="S74" i="4" a="1"/>
  <c r="W74" i="4" a="1"/>
  <c r="O75" i="4" a="1"/>
  <c r="S75" i="4" a="1"/>
  <c r="W75" i="4" a="1"/>
  <c r="O76" i="4" a="1"/>
  <c r="S76" i="4" a="1"/>
  <c r="K77" i="4" a="1"/>
  <c r="O77" i="4" a="1"/>
  <c r="W77" i="4" a="1"/>
  <c r="O78" i="4" a="1"/>
  <c r="W78" i="4" a="1"/>
  <c r="K79" i="4" a="1"/>
  <c r="S79" i="4" a="1"/>
  <c r="K80" i="4" a="1"/>
  <c r="S80" i="4" a="1"/>
  <c r="K81" i="4" a="1"/>
  <c r="S81" i="4" a="1"/>
  <c r="K82" i="4" a="1"/>
  <c r="S82" i="4" a="1"/>
  <c r="K83" i="4" a="1"/>
  <c r="S83" i="4" a="1"/>
  <c r="K84" i="4" a="1"/>
  <c r="S84" i="4" a="1"/>
  <c r="K85" i="4" a="1"/>
  <c r="S85" i="4" a="1"/>
  <c r="K86" i="4" a="1"/>
  <c r="O86" i="4" a="1"/>
  <c r="W86" i="4" a="1"/>
  <c r="O87" i="4" a="1"/>
  <c r="W87" i="4" a="1"/>
  <c r="K74" i="4" a="1"/>
  <c r="K75" i="4" a="1"/>
  <c r="K76" i="4" a="1"/>
  <c r="W76" i="4" a="1"/>
  <c r="S77" i="4" a="1"/>
  <c r="K78" i="4" a="1"/>
  <c r="S78" i="4" a="1"/>
  <c r="O79" i="4" a="1"/>
  <c r="W79" i="4" a="1"/>
  <c r="O80" i="4" a="1"/>
  <c r="W80" i="4" a="1"/>
  <c r="O81" i="4" a="1"/>
  <c r="W81" i="4" a="1"/>
  <c r="O82" i="4" a="1"/>
  <c r="W82" i="4" a="1"/>
  <c r="O83" i="4" a="1"/>
  <c r="W83" i="4" a="1"/>
  <c r="O84" i="4" a="1"/>
  <c r="W84" i="4" a="1"/>
  <c r="O85" i="4" a="1"/>
  <c r="W85" i="4" a="1"/>
  <c r="S86" i="4" a="1"/>
  <c r="K87" i="4" a="1"/>
  <c r="S87" i="4" a="1"/>
  <c r="R78" i="4" a="1"/>
  <c r="N81" i="4" a="1"/>
  <c r="N82" i="4" a="1"/>
  <c r="V82" i="4" a="1"/>
  <c r="N83" i="4" a="1"/>
  <c r="V83" i="4" a="1"/>
  <c r="N84" i="4" a="1"/>
  <c r="V84" i="4" a="1"/>
  <c r="N85" i="4" a="1"/>
  <c r="V85" i="4" a="1"/>
  <c r="L74" i="4" a="1"/>
  <c r="U74" i="4" a="1"/>
  <c r="L76" i="4" a="1"/>
  <c r="U76" i="4" a="1"/>
  <c r="T78" i="4" a="1"/>
  <c r="L79" i="4" a="1"/>
  <c r="T79" i="4" a="1"/>
  <c r="L80" i="4" a="1"/>
  <c r="T80" i="4" a="1"/>
  <c r="L81" i="4" a="1"/>
  <c r="T81" i="4" a="1"/>
  <c r="L82" i="4" a="1"/>
  <c r="T82" i="4" a="1"/>
  <c r="L83" i="4" a="1"/>
  <c r="T83" i="4" a="1"/>
  <c r="L84" i="4" a="1"/>
  <c r="T84" i="4" a="1"/>
  <c r="L85" i="4" a="1"/>
  <c r="T85" i="4" a="1"/>
  <c r="L86" i="4" a="1"/>
  <c r="R86" i="4" a="1"/>
  <c r="U87" i="4" a="1"/>
  <c r="M85" i="4" a="1"/>
  <c r="T86" i="4" a="1"/>
  <c r="P74" i="4" a="1"/>
  <c r="Y76" i="4" a="1"/>
  <c r="X87" i="4" a="1"/>
  <c r="U75" i="4" a="1"/>
  <c r="X78" i="4" a="1"/>
  <c r="P80" i="4" a="1"/>
  <c r="X81" i="4" a="1"/>
  <c r="P83" i="4" a="1"/>
  <c r="X84" i="4" a="1"/>
  <c r="L87" i="4" a="1"/>
  <c r="Q76" i="4" a="1"/>
  <c r="X77" i="4" a="1"/>
  <c r="P86" i="4" a="1"/>
  <c r="M75" i="4" a="1"/>
  <c r="Y78" i="4" a="1"/>
  <c r="Y80" i="4" a="1"/>
  <c r="Y82" i="4" a="1"/>
  <c r="Y84" i="4" a="1"/>
  <c r="T87" i="4" a="1"/>
  <c r="X74" i="4" a="1"/>
  <c r="Q75" i="4" a="1"/>
  <c r="X76" i="4" a="1"/>
  <c r="Q77" i="4" a="1"/>
  <c r="L78" i="4" a="1"/>
  <c r="Y86" i="4" a="1"/>
  <c r="P87" i="4" a="1"/>
  <c r="V87" i="4" a="1"/>
  <c r="M79" i="4" a="1"/>
  <c r="M80" i="4" a="1"/>
  <c r="M81" i="4" a="1"/>
  <c r="M82" i="4" a="1"/>
  <c r="U82" i="4" a="1"/>
  <c r="M83" i="4" a="1"/>
  <c r="U83" i="4" a="1"/>
  <c r="U84" i="4" a="1"/>
  <c r="M86" i="4" a="1"/>
  <c r="J87" i="4" a="1"/>
  <c r="P76" i="4" a="1"/>
  <c r="N86" i="4" a="1"/>
  <c r="L77" i="4" a="1"/>
  <c r="P78" i="4" a="1"/>
  <c r="P79" i="4" a="1"/>
  <c r="X80" i="4" a="1"/>
  <c r="P82" i="4" a="1"/>
  <c r="X83" i="4" a="1"/>
  <c r="P85" i="4" a="1"/>
  <c r="U86" i="4" a="1"/>
  <c r="Q74" i="4" a="1"/>
  <c r="Y87" i="4" a="1"/>
  <c r="T76" i="4" a="1"/>
  <c r="Q78" i="4" a="1"/>
  <c r="Q80" i="4" a="1"/>
  <c r="Q82" i="4" a="1"/>
  <c r="Q84" i="4" a="1"/>
  <c r="M87" i="4" a="1"/>
  <c r="M74" i="4" a="1"/>
  <c r="T75" i="4" a="1"/>
  <c r="M76" i="4" a="1"/>
  <c r="T77" i="4" a="1"/>
  <c r="U78" i="4" a="1"/>
  <c r="U79" i="4" a="1"/>
  <c r="U80" i="4" a="1"/>
  <c r="U81" i="4" a="1"/>
  <c r="M84" i="4" a="1"/>
  <c r="U85" i="4" a="1"/>
  <c r="Y74" i="4" a="1"/>
  <c r="M78" i="4" a="1"/>
  <c r="Q87" i="4" a="1"/>
  <c r="L75" i="4" a="1"/>
  <c r="U77" i="4" a="1"/>
  <c r="X79" i="4" a="1"/>
  <c r="P81" i="4" a="1"/>
  <c r="X82" i="4" a="1"/>
  <c r="P84" i="4" a="1"/>
  <c r="X85" i="4" a="1"/>
  <c r="R87" i="4" a="1"/>
  <c r="X75" i="4" a="1"/>
  <c r="V86" i="4" a="1"/>
  <c r="M77" i="4" a="1"/>
  <c r="Q79" i="4" a="1"/>
  <c r="Q81" i="4" a="1"/>
  <c r="Q83" i="4" a="1"/>
  <c r="Q85" i="4" a="1"/>
  <c r="P75" i="4" a="1"/>
  <c r="Y75" i="4" a="1"/>
  <c r="P77" i="4" a="1"/>
  <c r="Y77" i="4" a="1"/>
  <c r="Q86" i="4" a="1"/>
  <c r="X86" i="4" a="1"/>
  <c r="N87" i="4" a="1"/>
  <c r="T74" i="4" a="1"/>
  <c r="Y79" i="4" a="1"/>
  <c r="Y81" i="4" a="1"/>
  <c r="Y83" i="4" a="1"/>
  <c r="Y85" i="4" a="1"/>
  <c r="I75" i="4" a="1"/>
  <c r="I79" i="4" a="1"/>
  <c r="I83" i="4" a="1"/>
  <c r="I87" i="4" a="1"/>
  <c r="I80" i="4" a="1"/>
  <c r="I84" i="4" a="1"/>
  <c r="I77" i="4" a="1"/>
  <c r="I85" i="4" a="1"/>
  <c r="I76" i="4" a="1"/>
  <c r="I81" i="4" a="1"/>
  <c r="I78" i="4" a="1"/>
  <c r="I82" i="4" a="1"/>
  <c r="I86" i="4" a="1"/>
  <c r="I58" i="4" a="1"/>
  <c r="I74" i="4" a="1"/>
  <c r="J58" i="4" a="1"/>
  <c r="N58" i="4" a="1"/>
  <c r="R58" i="4" a="1"/>
  <c r="V58" i="4" a="1"/>
  <c r="J59" i="4" a="1"/>
  <c r="N59" i="4" a="1"/>
  <c r="R59" i="4" a="1"/>
  <c r="V59" i="4" a="1"/>
  <c r="J60" i="4" a="1"/>
  <c r="N60" i="4" a="1"/>
  <c r="R60" i="4" a="1"/>
  <c r="V60" i="4" a="1"/>
  <c r="J61" i="4" a="1"/>
  <c r="N61" i="4" a="1"/>
  <c r="R61" i="4" a="1"/>
  <c r="V61" i="4" a="1"/>
  <c r="J62" i="4" a="1"/>
  <c r="N62" i="4" a="1"/>
  <c r="R62" i="4" a="1"/>
  <c r="V62" i="4" a="1"/>
  <c r="J63" i="4" a="1"/>
  <c r="N63" i="4" a="1"/>
  <c r="R63" i="4" a="1"/>
  <c r="V63" i="4" a="1"/>
  <c r="J64" i="4" a="1"/>
  <c r="N64" i="4" a="1"/>
  <c r="R64" i="4" a="1"/>
  <c r="V64" i="4" a="1"/>
  <c r="J65" i="4" a="1"/>
  <c r="N65" i="4" a="1"/>
  <c r="R65" i="4" a="1"/>
  <c r="V65" i="4" a="1"/>
  <c r="J66" i="4" a="1"/>
  <c r="N66" i="4" a="1"/>
  <c r="R66" i="4" a="1"/>
  <c r="V66" i="4" a="1"/>
  <c r="J67" i="4" a="1"/>
  <c r="N67" i="4" a="1"/>
  <c r="R67" i="4" a="1"/>
  <c r="V67" i="4" a="1"/>
  <c r="J68" i="4" a="1"/>
  <c r="N68" i="4" a="1"/>
  <c r="R68" i="4" a="1"/>
  <c r="V68" i="4" a="1"/>
  <c r="J69" i="4" a="1"/>
  <c r="N69" i="4" a="1"/>
  <c r="R69" i="4" a="1"/>
  <c r="V69" i="4" a="1"/>
  <c r="J70" i="4" a="1"/>
  <c r="N70" i="4" a="1"/>
  <c r="R70" i="4" a="1"/>
  <c r="V70" i="4" a="1"/>
  <c r="J71" i="4" a="1"/>
  <c r="N71" i="4" a="1"/>
  <c r="R71" i="4" a="1"/>
  <c r="V71" i="4" a="1"/>
  <c r="L68" i="4" a="1"/>
  <c r="P69" i="4" a="1"/>
  <c r="P70" i="4" a="1"/>
  <c r="P71" i="4" a="1"/>
  <c r="O64" i="4" a="1"/>
  <c r="W66" i="4" a="1"/>
  <c r="S67" i="4" a="1"/>
  <c r="K68" i="4" a="1"/>
  <c r="S68" i="4" a="1"/>
  <c r="K69" i="4" a="1"/>
  <c r="S69" i="4" a="1"/>
  <c r="K70" i="4" a="1"/>
  <c r="S70" i="4" a="1"/>
  <c r="K71" i="4" a="1"/>
  <c r="S71" i="4" a="1"/>
  <c r="P63" i="4" a="1"/>
  <c r="T64" i="4" a="1"/>
  <c r="P65" i="4" a="1"/>
  <c r="L66" i="4" a="1"/>
  <c r="X66" i="4" a="1"/>
  <c r="T67" i="4" a="1"/>
  <c r="T68" i="4" a="1"/>
  <c r="T69" i="4" a="1"/>
  <c r="T70" i="4" a="1"/>
  <c r="T71" i="4" a="1"/>
  <c r="K58" i="4" a="1"/>
  <c r="O58" i="4" a="1"/>
  <c r="S58" i="4" a="1"/>
  <c r="W58" i="4" a="1"/>
  <c r="K59" i="4" a="1"/>
  <c r="O59" i="4" a="1"/>
  <c r="S59" i="4" a="1"/>
  <c r="W59" i="4" a="1"/>
  <c r="K60" i="4" a="1"/>
  <c r="O60" i="4" a="1"/>
  <c r="S60" i="4" a="1"/>
  <c r="W60" i="4" a="1"/>
  <c r="K61" i="4" a="1"/>
  <c r="O61" i="4" a="1"/>
  <c r="S61" i="4" a="1"/>
  <c r="W61" i="4" a="1"/>
  <c r="K62" i="4" a="1"/>
  <c r="O62" i="4" a="1"/>
  <c r="S62" i="4" a="1"/>
  <c r="W62" i="4" a="1"/>
  <c r="K63" i="4" a="1"/>
  <c r="O63" i="4" a="1"/>
  <c r="S63" i="4" a="1"/>
  <c r="W63" i="4" a="1"/>
  <c r="K64" i="4" a="1"/>
  <c r="S64" i="4" a="1"/>
  <c r="W64" i="4" a="1"/>
  <c r="K65" i="4" a="1"/>
  <c r="O65" i="4" a="1"/>
  <c r="S65" i="4" a="1"/>
  <c r="W65" i="4" a="1"/>
  <c r="K66" i="4" a="1"/>
  <c r="O66" i="4" a="1"/>
  <c r="S66" i="4" a="1"/>
  <c r="K67" i="4" a="1"/>
  <c r="O67" i="4" a="1"/>
  <c r="W67" i="4" a="1"/>
  <c r="O68" i="4" a="1"/>
  <c r="W68" i="4" a="1"/>
  <c r="O69" i="4" a="1"/>
  <c r="W69" i="4" a="1"/>
  <c r="O70" i="4" a="1"/>
  <c r="W70" i="4" a="1"/>
  <c r="O71" i="4" a="1"/>
  <c r="W71" i="4" a="1"/>
  <c r="T63" i="4" a="1"/>
  <c r="X64" i="4" a="1"/>
  <c r="T65" i="4" a="1"/>
  <c r="P66" i="4" a="1"/>
  <c r="L67" i="4" a="1"/>
  <c r="X67" i="4" a="1"/>
  <c r="X68" i="4" a="1"/>
  <c r="X69" i="4" a="1"/>
  <c r="X70" i="4" a="1"/>
  <c r="X71" i="4" a="1"/>
  <c r="L58" i="4" a="1"/>
  <c r="P58" i="4" a="1"/>
  <c r="T58" i="4" a="1"/>
  <c r="X58" i="4" a="1"/>
  <c r="L59" i="4" a="1"/>
  <c r="P59" i="4" a="1"/>
  <c r="T59" i="4" a="1"/>
  <c r="X59" i="4" a="1"/>
  <c r="L60" i="4" a="1"/>
  <c r="P60" i="4" a="1"/>
  <c r="T60" i="4" a="1"/>
  <c r="X60" i="4" a="1"/>
  <c r="L61" i="4" a="1"/>
  <c r="P61" i="4" a="1"/>
  <c r="T61" i="4" a="1"/>
  <c r="X61" i="4" a="1"/>
  <c r="L62" i="4" a="1"/>
  <c r="P62" i="4" a="1"/>
  <c r="T62" i="4" a="1"/>
  <c r="X62" i="4" a="1"/>
  <c r="L63" i="4" a="1"/>
  <c r="X63" i="4" a="1"/>
  <c r="L64" i="4" a="1"/>
  <c r="P64" i="4" a="1"/>
  <c r="L65" i="4" a="1"/>
  <c r="X65" i="4" a="1"/>
  <c r="T66" i="4" a="1"/>
  <c r="P67" i="4" a="1"/>
  <c r="P68" i="4" a="1"/>
  <c r="L69" i="4" a="1"/>
  <c r="L70" i="4" a="1"/>
  <c r="L71" i="4" a="1"/>
  <c r="M58" i="4" a="1"/>
  <c r="M59" i="4" a="1"/>
  <c r="M60" i="4" a="1"/>
  <c r="Q63" i="4" a="1"/>
  <c r="Q65" i="4" a="1"/>
  <c r="Q67" i="4" a="1"/>
  <c r="Q69" i="4" a="1"/>
  <c r="Q71" i="4" a="1"/>
  <c r="Q61" i="4" a="1"/>
  <c r="U65" i="4" a="1"/>
  <c r="U69" i="4" a="1"/>
  <c r="U59" i="4" a="1"/>
  <c r="Q62" i="4" a="1"/>
  <c r="U61" i="4" a="1"/>
  <c r="M67" i="4" a="1"/>
  <c r="M71" i="4" a="1"/>
  <c r="Y65" i="4" a="1"/>
  <c r="Y71" i="4" a="1"/>
  <c r="U64" i="4" a="1"/>
  <c r="U68" i="4" a="1"/>
  <c r="M61" i="4" a="1"/>
  <c r="M62" i="4" a="1"/>
  <c r="M64" i="4" a="1"/>
  <c r="M66" i="4" a="1"/>
  <c r="M68" i="4" a="1"/>
  <c r="M70" i="4" a="1"/>
  <c r="Y70" i="4" a="1"/>
  <c r="U67" i="4" a="1"/>
  <c r="U58" i="4" a="1"/>
  <c r="Q64" i="4" a="1"/>
  <c r="Q68" i="4" a="1"/>
  <c r="M65" i="4" a="1"/>
  <c r="M69" i="4" a="1"/>
  <c r="Y59" i="4" a="1"/>
  <c r="Y69" i="4" a="1"/>
  <c r="U66" i="4" a="1"/>
  <c r="U70" i="4" a="1"/>
  <c r="Q58" i="4" a="1"/>
  <c r="Q59" i="4" a="1"/>
  <c r="Q60" i="4" a="1"/>
  <c r="Y62" i="4" a="1"/>
  <c r="Y64" i="4" a="1"/>
  <c r="Y66" i="4" a="1"/>
  <c r="Y68" i="4" a="1"/>
  <c r="U63" i="4" a="1"/>
  <c r="U71" i="4" a="1"/>
  <c r="U60" i="4" a="1"/>
  <c r="Q66" i="4" a="1"/>
  <c r="Q70" i="4" a="1"/>
  <c r="M63" i="4" a="1"/>
  <c r="Y58" i="4" a="1"/>
  <c r="Y63" i="4" a="1"/>
  <c r="Y67" i="4" a="1"/>
  <c r="U62" i="4" a="1"/>
  <c r="Y60" i="4" a="1"/>
  <c r="Y61" i="4" a="1"/>
  <c r="I59" i="4" a="1"/>
  <c r="I63" i="4" a="1"/>
  <c r="I67" i="4" a="1"/>
  <c r="I71" i="4" a="1"/>
  <c r="I70" i="4" a="1"/>
  <c r="I64" i="4" a="1"/>
  <c r="I61" i="4" a="1"/>
  <c r="I69" i="4" a="1"/>
  <c r="I62" i="4" a="1"/>
  <c r="I60" i="4" a="1"/>
  <c r="I68" i="4" a="1"/>
  <c r="I65" i="4" a="1"/>
  <c r="I66" i="4" a="1"/>
  <c r="AR50" i="4" a="1"/>
  <c r="AD38" i="4" a="1"/>
  <c r="AH38" i="4" a="1"/>
  <c r="AL38" i="4" a="1"/>
  <c r="AP38" i="4" a="1"/>
  <c r="AD39" i="4" a="1"/>
  <c r="AH39" i="4" a="1"/>
  <c r="AL39" i="4" a="1"/>
  <c r="AP39" i="4" a="1"/>
  <c r="AD40" i="4" a="1"/>
  <c r="AH40" i="4" a="1"/>
  <c r="AL40" i="4" a="1"/>
  <c r="AP40" i="4" a="1"/>
  <c r="AD41" i="4" a="1"/>
  <c r="AL41" i="4" a="1"/>
  <c r="AP41" i="4" a="1"/>
  <c r="AD42" i="4" a="1"/>
  <c r="AH42" i="4" a="1"/>
  <c r="AL42" i="4" a="1"/>
  <c r="AP42" i="4" a="1"/>
  <c r="AD43" i="4" a="1"/>
  <c r="AH43" i="4" a="1"/>
  <c r="AL43" i="4" a="1"/>
  <c r="AP43" i="4" a="1"/>
  <c r="AH44" i="4" a="1"/>
  <c r="AL44" i="4" a="1"/>
  <c r="AD45" i="4" a="1"/>
  <c r="AL45" i="4" a="1"/>
  <c r="AH46" i="4" a="1"/>
  <c r="AP46" i="4" a="1"/>
  <c r="AH47" i="4" a="1"/>
  <c r="AP47" i="4" a="1"/>
  <c r="AD48" i="4" a="1"/>
  <c r="AL48" i="4" a="1"/>
  <c r="AD49" i="4" a="1"/>
  <c r="AL49" i="4" a="1"/>
  <c r="AD50" i="4" a="1"/>
  <c r="AL50" i="4" a="1"/>
  <c r="AD51" i="4" a="1"/>
  <c r="AL51" i="4" a="1"/>
  <c r="AN38" i="4" a="1"/>
  <c r="AN39" i="4" a="1"/>
  <c r="AN40" i="4" a="1"/>
  <c r="AQ41" i="4" a="1"/>
  <c r="AI44" i="4" a="1"/>
  <c r="AI45" i="4" a="1"/>
  <c r="AQ45" i="4" a="1"/>
  <c r="AI46" i="4" a="1"/>
  <c r="AQ46" i="4" a="1"/>
  <c r="AI47" i="4" a="1"/>
  <c r="AQ47" i="4" a="1"/>
  <c r="AI48" i="4" a="1"/>
  <c r="AM48" i="4" a="1"/>
  <c r="AQ48" i="4" a="1"/>
  <c r="AI49" i="4" a="1"/>
  <c r="AQ49" i="4" a="1"/>
  <c r="AI50" i="4" a="1"/>
  <c r="AQ50" i="4" a="1"/>
  <c r="AI51" i="4" a="1"/>
  <c r="AQ51" i="4" a="1"/>
  <c r="AF38" i="4" a="1"/>
  <c r="AF39" i="4" a="1"/>
  <c r="AF40" i="4" a="1"/>
  <c r="AE38" i="4" a="1"/>
  <c r="AI38" i="4" a="1"/>
  <c r="AM38" i="4" a="1"/>
  <c r="AQ38" i="4" a="1"/>
  <c r="AE39" i="4" a="1"/>
  <c r="AI39" i="4" a="1"/>
  <c r="AM39" i="4" a="1"/>
  <c r="AQ39" i="4" a="1"/>
  <c r="AE40" i="4" a="1"/>
  <c r="AI40" i="4" a="1"/>
  <c r="AM40" i="4" a="1"/>
  <c r="AQ40" i="4" a="1"/>
  <c r="AE41" i="4" a="1"/>
  <c r="AI41" i="4" a="1"/>
  <c r="AM41" i="4" a="1"/>
  <c r="AE42" i="4" a="1"/>
  <c r="AI42" i="4" a="1"/>
  <c r="AM42" i="4" a="1"/>
  <c r="AQ42" i="4" a="1"/>
  <c r="AE43" i="4" a="1"/>
  <c r="AI43" i="4" a="1"/>
  <c r="AM43" i="4" a="1"/>
  <c r="AQ43" i="4" a="1"/>
  <c r="AE44" i="4" a="1"/>
  <c r="AM44" i="4" a="1"/>
  <c r="AQ44" i="4" a="1"/>
  <c r="AE45" i="4" a="1"/>
  <c r="AM45" i="4" a="1"/>
  <c r="AE46" i="4" a="1"/>
  <c r="AM46" i="4" a="1"/>
  <c r="AE47" i="4" a="1"/>
  <c r="AM47" i="4" a="1"/>
  <c r="AE48" i="4" a="1"/>
  <c r="AE49" i="4" a="1"/>
  <c r="AM49" i="4" a="1"/>
  <c r="AE50" i="4" a="1"/>
  <c r="AM50" i="4" a="1"/>
  <c r="AE51" i="4" a="1"/>
  <c r="AM51" i="4" a="1"/>
  <c r="AJ38" i="4" a="1"/>
  <c r="AJ39" i="4" a="1"/>
  <c r="AJ40" i="4" a="1"/>
  <c r="AH41" i="4" a="1"/>
  <c r="AD44" i="4" a="1"/>
  <c r="AP44" i="4" a="1"/>
  <c r="AH45" i="4" a="1"/>
  <c r="AP45" i="4" a="1"/>
  <c r="AD46" i="4" a="1"/>
  <c r="AL46" i="4" a="1"/>
  <c r="AD47" i="4" a="1"/>
  <c r="AL47" i="4" a="1"/>
  <c r="AH48" i="4" a="1"/>
  <c r="AP48" i="4" a="1"/>
  <c r="AH49" i="4" a="1"/>
  <c r="AP49" i="4" a="1"/>
  <c r="AH50" i="4" a="1"/>
  <c r="AP50" i="4" a="1"/>
  <c r="AH51" i="4" a="1"/>
  <c r="AP51" i="4" a="1"/>
  <c r="AR38" i="4" a="1"/>
  <c r="AR39" i="4" a="1"/>
  <c r="AS40" i="4" a="1"/>
  <c r="AJ42" i="4" a="1"/>
  <c r="AS42" i="4" a="1"/>
  <c r="AJ44" i="4" a="1"/>
  <c r="AS44" i="4" a="1"/>
  <c r="AJ46" i="4" a="1"/>
  <c r="AS46" i="4" a="1"/>
  <c r="AJ48" i="4" a="1"/>
  <c r="AS48" i="4" a="1"/>
  <c r="AJ50" i="4" a="1"/>
  <c r="AS50" i="4" a="1"/>
  <c r="AO47" i="4" a="1"/>
  <c r="AF49" i="4" a="1"/>
  <c r="AF51" i="4" a="1"/>
  <c r="AK38" i="4" a="1"/>
  <c r="AG41" i="4" a="1"/>
  <c r="AG45" i="4" a="1"/>
  <c r="AN48" i="4" a="1"/>
  <c r="AN50" i="4" a="1"/>
  <c r="AS41" i="4" a="1"/>
  <c r="AJ45" i="4" a="1"/>
  <c r="AS47" i="4" a="1"/>
  <c r="AJ51" i="4" a="1"/>
  <c r="AO40" i="4" a="1"/>
  <c r="AO42" i="4" a="1"/>
  <c r="AF46" i="4" a="1"/>
  <c r="AK43" i="4" a="1"/>
  <c r="AR46" i="4" a="1"/>
  <c r="AK51" i="4" a="1"/>
  <c r="AG38" i="4" a="1"/>
  <c r="AG39" i="4" a="1"/>
  <c r="AG40" i="4" a="1"/>
  <c r="AF41" i="4" a="1"/>
  <c r="AO41" i="4" a="1"/>
  <c r="AF43" i="4" a="1"/>
  <c r="AO43" i="4" a="1"/>
  <c r="AF45" i="4" a="1"/>
  <c r="AO45" i="4" a="1"/>
  <c r="AF47" i="4" a="1"/>
  <c r="AO49" i="4" a="1"/>
  <c r="AO51" i="4" a="1"/>
  <c r="AK40" i="4" a="1"/>
  <c r="AG43" i="4" a="1"/>
  <c r="AN46" i="4" a="1"/>
  <c r="AG49" i="4" a="1"/>
  <c r="AJ41" i="4" a="1"/>
  <c r="AS43" i="4" a="1"/>
  <c r="AJ47" i="4" a="1"/>
  <c r="AS51" i="4" a="1"/>
  <c r="AF42" i="4" a="1"/>
  <c r="AO44" i="4" a="1"/>
  <c r="AO48" i="4" a="1"/>
  <c r="AR42" i="4" a="1"/>
  <c r="AK45" i="4" a="1"/>
  <c r="AR48" i="4" a="1"/>
  <c r="AR41" i="4" a="1"/>
  <c r="AK42" i="4" a="1"/>
  <c r="AR43" i="4" a="1"/>
  <c r="AK44" i="4" a="1"/>
  <c r="AR45" i="4" a="1"/>
  <c r="AK46" i="4" a="1"/>
  <c r="AR47" i="4" a="1"/>
  <c r="AK48" i="4" a="1"/>
  <c r="AR49" i="4" a="1"/>
  <c r="AK50" i="4" a="1"/>
  <c r="AR51" i="4" a="1"/>
  <c r="AK39" i="4" a="1"/>
  <c r="AN42" i="4" a="1"/>
  <c r="AN44" i="4" a="1"/>
  <c r="AG47" i="4" a="1"/>
  <c r="AG51" i="4" a="1"/>
  <c r="AJ43" i="4" a="1"/>
  <c r="AS45" i="4" a="1"/>
  <c r="AS49" i="4" a="1"/>
  <c r="AO39" i="4" a="1"/>
  <c r="AO46" i="4" a="1"/>
  <c r="AF50" i="4" a="1"/>
  <c r="AR40" i="4" a="1"/>
  <c r="AK47" i="4" a="1"/>
  <c r="AS38" i="4" a="1"/>
  <c r="AS39" i="4" a="1"/>
  <c r="AN41" i="4" a="1"/>
  <c r="AG42" i="4" a="1"/>
  <c r="AN43" i="4" a="1"/>
  <c r="AG44" i="4" a="1"/>
  <c r="AN45" i="4" a="1"/>
  <c r="AG46" i="4" a="1"/>
  <c r="AN47" i="4" a="1"/>
  <c r="AG48" i="4" a="1"/>
  <c r="AN49" i="4" a="1"/>
  <c r="AG50" i="4" a="1"/>
  <c r="AN51" i="4" a="1"/>
  <c r="AJ49" i="4" a="1"/>
  <c r="AO38" i="4" a="1"/>
  <c r="AF44" i="4" a="1"/>
  <c r="AF48" i="4" a="1"/>
  <c r="AO50" i="4" a="1"/>
  <c r="AK41" i="4" a="1"/>
  <c r="AR44" i="4" a="1"/>
  <c r="AK49" i="4" a="1"/>
  <c r="AC39" i="4" a="1"/>
  <c r="AC43" i="4" a="1"/>
  <c r="AC47" i="4" a="1"/>
  <c r="AC51" i="4" a="1"/>
  <c r="AC44" i="4" a="1"/>
  <c r="AC48" i="4" a="1"/>
  <c r="AC41" i="4" a="1"/>
  <c r="AC49" i="4" a="1"/>
  <c r="AC42" i="4" a="1"/>
  <c r="AC50" i="4" a="1"/>
  <c r="AC40" i="4" a="1"/>
  <c r="AC45" i="4" a="1"/>
  <c r="AC46" i="4" a="1"/>
  <c r="AC38" i="4" a="1"/>
  <c r="AD22" i="4" a="1"/>
  <c r="AH22" i="4" a="1"/>
  <c r="AL22" i="4" a="1"/>
  <c r="AP22" i="4" a="1"/>
  <c r="AD23" i="4" a="1"/>
  <c r="AH23" i="4" a="1"/>
  <c r="AL23" i="4" a="1"/>
  <c r="AP23" i="4" a="1"/>
  <c r="AD24" i="4" a="1"/>
  <c r="AH24" i="4" a="1"/>
  <c r="AL24" i="4" a="1"/>
  <c r="AP24" i="4" a="1"/>
  <c r="AD25" i="4" a="1"/>
  <c r="AH25" i="4" a="1"/>
  <c r="AL25" i="4" a="1"/>
  <c r="AP25" i="4" a="1"/>
  <c r="AD26" i="4" a="1"/>
  <c r="AH26" i="4" a="1"/>
  <c r="AL26" i="4" a="1"/>
  <c r="AP26" i="4" a="1"/>
  <c r="AD27" i="4" a="1"/>
  <c r="AH27" i="4" a="1"/>
  <c r="AL27" i="4" a="1"/>
  <c r="AP27" i="4" a="1"/>
  <c r="AD28" i="4" a="1"/>
  <c r="AH28" i="4" a="1"/>
  <c r="AL28" i="4" a="1"/>
  <c r="AP28" i="4" a="1"/>
  <c r="AD29" i="4" a="1"/>
  <c r="AH29" i="4" a="1"/>
  <c r="AL29" i="4" a="1"/>
  <c r="AP29" i="4" a="1"/>
  <c r="AD30" i="4" a="1"/>
  <c r="AH30" i="4" a="1"/>
  <c r="AL30" i="4" a="1"/>
  <c r="AP30" i="4" a="1"/>
  <c r="AD31" i="4" a="1"/>
  <c r="AH31" i="4" a="1"/>
  <c r="AL31" i="4" a="1"/>
  <c r="AP31" i="4" a="1"/>
  <c r="AD32" i="4" a="1"/>
  <c r="AH32" i="4" a="1"/>
  <c r="AL32" i="4" a="1"/>
  <c r="AP32" i="4" a="1"/>
  <c r="AD33" i="4" a="1"/>
  <c r="AH33" i="4" a="1"/>
  <c r="AL33" i="4" a="1"/>
  <c r="AP33" i="4" a="1"/>
  <c r="AD34" i="4" a="1"/>
  <c r="AH34" i="4" a="1"/>
  <c r="AL34" i="4" a="1"/>
  <c r="AP34" i="4" a="1"/>
  <c r="AD35" i="4" a="1"/>
  <c r="AH35" i="4" a="1"/>
  <c r="AL35" i="4" a="1"/>
  <c r="AP35" i="4" a="1"/>
  <c r="AI22" i="4" a="1"/>
  <c r="AM23" i="4" a="1"/>
  <c r="AI24" i="4" a="1"/>
  <c r="AQ24" i="4" a="1"/>
  <c r="AI25" i="4" a="1"/>
  <c r="AM25" i="4" a="1"/>
  <c r="AE26" i="4" a="1"/>
  <c r="AM26" i="4" a="1"/>
  <c r="AE27" i="4" a="1"/>
  <c r="AM27" i="4" a="1"/>
  <c r="AQ27" i="4" a="1"/>
  <c r="AI28" i="4" a="1"/>
  <c r="AM28" i="4" a="1"/>
  <c r="AE29" i="4" a="1"/>
  <c r="AM29" i="4" a="1"/>
  <c r="AE30" i="4" a="1"/>
  <c r="AM30" i="4" a="1"/>
  <c r="AE31" i="4" a="1"/>
  <c r="AM31" i="4" a="1"/>
  <c r="AE32" i="4" a="1"/>
  <c r="AM32" i="4" a="1"/>
  <c r="AE33" i="4" a="1"/>
  <c r="AM33" i="4" a="1"/>
  <c r="AE34" i="4" a="1"/>
  <c r="AM34" i="4" a="1"/>
  <c r="AE35" i="4" a="1"/>
  <c r="AM35" i="4" a="1"/>
  <c r="AQ35" i="4" a="1"/>
  <c r="AN22" i="4" a="1"/>
  <c r="AJ23" i="4" a="1"/>
  <c r="AR23" i="4" a="1"/>
  <c r="AN24" i="4" a="1"/>
  <c r="AJ25" i="4" a="1"/>
  <c r="AF26" i="4" a="1"/>
  <c r="AN26" i="4" a="1"/>
  <c r="AJ27" i="4" a="1"/>
  <c r="AF28" i="4" a="1"/>
  <c r="AN28" i="4" a="1"/>
  <c r="AJ29" i="4" a="1"/>
  <c r="AF30" i="4" a="1"/>
  <c r="AR30" i="4" a="1"/>
  <c r="AN31" i="4" a="1"/>
  <c r="AJ32" i="4" a="1"/>
  <c r="AE22" i="4" a="1"/>
  <c r="AM22" i="4" a="1"/>
  <c r="AQ22" i="4" a="1"/>
  <c r="AE23" i="4" a="1"/>
  <c r="AI23" i="4" a="1"/>
  <c r="AQ23" i="4" a="1"/>
  <c r="AE24" i="4" a="1"/>
  <c r="AM24" i="4" a="1"/>
  <c r="AE25" i="4" a="1"/>
  <c r="AQ25" i="4" a="1"/>
  <c r="AI26" i="4" a="1"/>
  <c r="AQ26" i="4" a="1"/>
  <c r="AI27" i="4" a="1"/>
  <c r="AE28" i="4" a="1"/>
  <c r="AQ28" i="4" a="1"/>
  <c r="AI29" i="4" a="1"/>
  <c r="AQ29" i="4" a="1"/>
  <c r="AI30" i="4" a="1"/>
  <c r="AQ30" i="4" a="1"/>
  <c r="AI31" i="4" a="1"/>
  <c r="AQ31" i="4" a="1"/>
  <c r="AI32" i="4" a="1"/>
  <c r="AQ32" i="4" a="1"/>
  <c r="AI33" i="4" a="1"/>
  <c r="AQ33" i="4" a="1"/>
  <c r="AI34" i="4" a="1"/>
  <c r="AQ34" i="4" a="1"/>
  <c r="AI35" i="4" a="1"/>
  <c r="AJ22" i="4" a="1"/>
  <c r="AN23" i="4" a="1"/>
  <c r="AJ24" i="4" a="1"/>
  <c r="AF25" i="4" a="1"/>
  <c r="AR25" i="4" a="1"/>
  <c r="AR26" i="4" a="1"/>
  <c r="AN27" i="4" a="1"/>
  <c r="AJ28" i="4" a="1"/>
  <c r="AF29" i="4" a="1"/>
  <c r="AR29" i="4" a="1"/>
  <c r="AN30" i="4" a="1"/>
  <c r="AJ31" i="4" a="1"/>
  <c r="AF32" i="4" a="1"/>
  <c r="AF33" i="4" a="1"/>
  <c r="AR33" i="4" a="1"/>
  <c r="AF22" i="4" a="1"/>
  <c r="AR22" i="4" a="1"/>
  <c r="AF23" i="4" a="1"/>
  <c r="AF24" i="4" a="1"/>
  <c r="AR24" i="4" a="1"/>
  <c r="AN25" i="4" a="1"/>
  <c r="AJ26" i="4" a="1"/>
  <c r="AF27" i="4" a="1"/>
  <c r="AR27" i="4" a="1"/>
  <c r="AR28" i="4" a="1"/>
  <c r="AN29" i="4" a="1"/>
  <c r="AJ30" i="4" a="1"/>
  <c r="AF31" i="4" a="1"/>
  <c r="AR31" i="4" a="1"/>
  <c r="AR32" i="4" a="1"/>
  <c r="AN33" i="4" a="1"/>
  <c r="AG22" i="4" a="1"/>
  <c r="AG24" i="4" a="1"/>
  <c r="AG26" i="4" a="1"/>
  <c r="AG28" i="4" a="1"/>
  <c r="AG30" i="4" a="1"/>
  <c r="AG32" i="4" a="1"/>
  <c r="AS30" i="4" a="1"/>
  <c r="AF34" i="4" a="1"/>
  <c r="AN34" i="4" a="1"/>
  <c r="AN35" i="4" a="1"/>
  <c r="AK22" i="4" a="1"/>
  <c r="AK32" i="4" a="1"/>
  <c r="AG35" i="4" a="1"/>
  <c r="AG23" i="4" a="1"/>
  <c r="AG29" i="4" a="1"/>
  <c r="AS29" i="4" a="1"/>
  <c r="AG33" i="4" a="1"/>
  <c r="AJ35" i="4" a="1"/>
  <c r="AO24" i="4" a="1"/>
  <c r="AO28" i="4" a="1"/>
  <c r="AS22" i="4" a="1"/>
  <c r="AS24" i="4" a="1"/>
  <c r="AS26" i="4" a="1"/>
  <c r="AS28" i="4" a="1"/>
  <c r="AK33" i="4" a="1"/>
  <c r="AF35" i="4" a="1"/>
  <c r="AK26" i="4" a="1"/>
  <c r="AK28" i="4" a="1"/>
  <c r="AG34" i="4" a="1"/>
  <c r="AO35" i="4" a="1"/>
  <c r="AG25" i="4" a="1"/>
  <c r="AG31" i="4" a="1"/>
  <c r="AS25" i="4" a="1"/>
  <c r="AS31" i="4" a="1"/>
  <c r="AJ34" i="4" a="1"/>
  <c r="AO22" i="4" a="1"/>
  <c r="AO26" i="4" a="1"/>
  <c r="AO23" i="4" a="1"/>
  <c r="AO25" i="4" a="1"/>
  <c r="AO27" i="4" a="1"/>
  <c r="AO29" i="4" a="1"/>
  <c r="AO31" i="4" a="1"/>
  <c r="AS32" i="4" a="1"/>
  <c r="AK24" i="4" a="1"/>
  <c r="AK30" i="4" a="1"/>
  <c r="AO34" i="4" a="1"/>
  <c r="AG27" i="4" a="1"/>
  <c r="AO33" i="4" a="1"/>
  <c r="AS23" i="4" a="1"/>
  <c r="AS27" i="4" a="1"/>
  <c r="AN32" i="4" a="1"/>
  <c r="AR34" i="4" a="1"/>
  <c r="AO30" i="4" a="1"/>
  <c r="AK23" i="4" a="1"/>
  <c r="AK25" i="4" a="1"/>
  <c r="AK27" i="4" a="1"/>
  <c r="AK29" i="4" a="1"/>
  <c r="AK31" i="4" a="1"/>
  <c r="AO32" i="4" a="1"/>
  <c r="AJ33" i="4" a="1"/>
  <c r="AS33" i="4" a="1"/>
  <c r="AK34" i="4" a="1"/>
  <c r="AS34" i="4" a="1"/>
  <c r="AK35" i="4" a="1"/>
  <c r="AS35" i="4" a="1"/>
  <c r="AR35" i="4" a="1"/>
  <c r="AC23" i="4" a="1"/>
  <c r="AC27" i="4" a="1"/>
  <c r="AC31" i="4" a="1"/>
  <c r="AC35" i="4" a="1"/>
  <c r="AC26" i="4" a="1"/>
  <c r="AC24" i="4" a="1"/>
  <c r="AC28" i="4" a="1"/>
  <c r="AC32" i="4" a="1"/>
  <c r="AC25" i="4" a="1"/>
  <c r="AC29" i="4" a="1"/>
  <c r="AC33" i="4" a="1"/>
  <c r="AC30" i="4" a="1"/>
  <c r="AC34" i="4" a="1"/>
  <c r="AC22" i="4" a="1"/>
  <c r="AC10" i="4" a="1"/>
  <c r="AD6" i="4" a="1"/>
  <c r="AH6" i="4" a="1"/>
  <c r="AL6" i="4" a="1"/>
  <c r="AP6" i="4" a="1"/>
  <c r="AD7" i="4" a="1"/>
  <c r="AH7" i="4" a="1"/>
  <c r="AL7" i="4" a="1"/>
  <c r="AP7" i="4" a="1"/>
  <c r="AD8" i="4" a="1"/>
  <c r="AH8" i="4" a="1"/>
  <c r="AL8" i="4" a="1"/>
  <c r="AP8" i="4" a="1"/>
  <c r="AD9" i="4" a="1"/>
  <c r="AH9" i="4" a="1"/>
  <c r="AL9" i="4" a="1"/>
  <c r="AP9" i="4" a="1"/>
  <c r="AD10" i="4" a="1"/>
  <c r="AH10" i="4" a="1"/>
  <c r="AL10" i="4" a="1"/>
  <c r="AP10" i="4" a="1"/>
  <c r="AD11" i="4" a="1"/>
  <c r="AH11" i="4" a="1"/>
  <c r="AL11" i="4" a="1"/>
  <c r="AP11" i="4" a="1"/>
  <c r="AD12" i="4" a="1"/>
  <c r="AH12" i="4" a="1"/>
  <c r="AL12" i="4" a="1"/>
  <c r="AP12" i="4" a="1"/>
  <c r="AD13" i="4" a="1"/>
  <c r="AH13" i="4" a="1"/>
  <c r="AL13" i="4" a="1"/>
  <c r="AP13" i="4" a="1"/>
  <c r="AD14" i="4" a="1"/>
  <c r="AH14" i="4" a="1"/>
  <c r="AL14" i="4" a="1"/>
  <c r="AP14" i="4" a="1"/>
  <c r="AD15" i="4" a="1"/>
  <c r="AH15" i="4" a="1"/>
  <c r="AL15" i="4" a="1"/>
  <c r="AP15" i="4" a="1"/>
  <c r="AD16" i="4" a="1"/>
  <c r="AH16" i="4" a="1"/>
  <c r="AL16" i="4" a="1"/>
  <c r="AP16" i="4" a="1"/>
  <c r="AD17" i="4" a="1"/>
  <c r="AH17" i="4" a="1"/>
  <c r="AL17" i="4" a="1"/>
  <c r="AP17" i="4" a="1"/>
  <c r="AD18" i="4" a="1"/>
  <c r="AH18" i="4" a="1"/>
  <c r="AE8" i="4" a="1"/>
  <c r="AE10" i="4" a="1"/>
  <c r="AQ10" i="4" a="1"/>
  <c r="AI11" i="4" a="1"/>
  <c r="AM11" i="4" a="1"/>
  <c r="AI12" i="4" a="1"/>
  <c r="AQ12" i="4" a="1"/>
  <c r="AE13" i="4" a="1"/>
  <c r="AM13" i="4" a="1"/>
  <c r="AE14" i="4" a="1"/>
  <c r="AM14" i="4" a="1"/>
  <c r="AQ14" i="4" a="1"/>
  <c r="AI15" i="4" a="1"/>
  <c r="AQ15" i="4" a="1"/>
  <c r="AE16" i="4" a="1"/>
  <c r="AM16" i="4" a="1"/>
  <c r="AE17" i="4" a="1"/>
  <c r="AI17" i="4" a="1"/>
  <c r="AQ17" i="4" a="1"/>
  <c r="AE18" i="4" a="1"/>
  <c r="AM18" i="4" a="1"/>
  <c r="AE19" i="4" a="1"/>
  <c r="AM19" i="4" a="1"/>
  <c r="AE6" i="4" a="1"/>
  <c r="AI6" i="4" a="1"/>
  <c r="AM6" i="4" a="1"/>
  <c r="AQ6" i="4" a="1"/>
  <c r="AE7" i="4" a="1"/>
  <c r="AI7" i="4" a="1"/>
  <c r="AM7" i="4" a="1"/>
  <c r="AQ7" i="4" a="1"/>
  <c r="AI8" i="4" a="1"/>
  <c r="AM8" i="4" a="1"/>
  <c r="AQ8" i="4" a="1"/>
  <c r="AE9" i="4" a="1"/>
  <c r="AI9" i="4" a="1"/>
  <c r="AM9" i="4" a="1"/>
  <c r="AQ9" i="4" a="1"/>
  <c r="AI10" i="4" a="1"/>
  <c r="AM10" i="4" a="1"/>
  <c r="AE11" i="4" a="1"/>
  <c r="AQ11" i="4" a="1"/>
  <c r="AE12" i="4" a="1"/>
  <c r="AM12" i="4" a="1"/>
  <c r="AI13" i="4" a="1"/>
  <c r="AQ13" i="4" a="1"/>
  <c r="AI14" i="4" a="1"/>
  <c r="AE15" i="4" a="1"/>
  <c r="AM15" i="4" a="1"/>
  <c r="AI16" i="4" a="1"/>
  <c r="AQ16" i="4" a="1"/>
  <c r="AM17" i="4" a="1"/>
  <c r="AI18" i="4" a="1"/>
  <c r="AQ18" i="4" a="1"/>
  <c r="AI19" i="4" a="1"/>
  <c r="AQ19" i="4" a="1"/>
  <c r="AG6" i="4" a="1"/>
  <c r="AK6" i="4" a="1"/>
  <c r="AO6" i="4" a="1"/>
  <c r="AS6" i="4" a="1"/>
  <c r="AG7" i="4" a="1"/>
  <c r="AK7" i="4" a="1"/>
  <c r="AO7" i="4" a="1"/>
  <c r="AS7" i="4" a="1"/>
  <c r="AG8" i="4" a="1"/>
  <c r="AK8" i="4" a="1"/>
  <c r="AO8" i="4" a="1"/>
  <c r="AS8" i="4" a="1"/>
  <c r="AG9" i="4" a="1"/>
  <c r="AK9" i="4" a="1"/>
  <c r="AO9" i="4" a="1"/>
  <c r="AS9" i="4" a="1"/>
  <c r="AG10" i="4" a="1"/>
  <c r="AK10" i="4" a="1"/>
  <c r="AO10" i="4" a="1"/>
  <c r="AS10" i="4" a="1"/>
  <c r="AG11" i="4" a="1"/>
  <c r="AK11" i="4" a="1"/>
  <c r="AO11" i="4" a="1"/>
  <c r="AS11" i="4" a="1"/>
  <c r="AG12" i="4" a="1"/>
  <c r="AK12" i="4" a="1"/>
  <c r="AO12" i="4" a="1"/>
  <c r="AS12" i="4" a="1"/>
  <c r="AG13" i="4" a="1"/>
  <c r="AK13" i="4" a="1"/>
  <c r="AO13" i="4" a="1"/>
  <c r="AS13" i="4" a="1"/>
  <c r="AG14" i="4" a="1"/>
  <c r="AK14" i="4" a="1"/>
  <c r="AO14" i="4" a="1"/>
  <c r="AS14" i="4" a="1"/>
  <c r="AG15" i="4" a="1"/>
  <c r="AK15" i="4" a="1"/>
  <c r="AO15" i="4" a="1"/>
  <c r="AS15" i="4" a="1"/>
  <c r="AG16" i="4" a="1"/>
  <c r="AF6" i="4" a="1"/>
  <c r="AF8" i="4" a="1"/>
  <c r="AF10" i="4" a="1"/>
  <c r="AF12" i="4" a="1"/>
  <c r="AN14" i="4" a="1"/>
  <c r="AF15" i="4" a="1"/>
  <c r="AN15" i="4" a="1"/>
  <c r="AF16" i="4" a="1"/>
  <c r="AS16" i="4" a="1"/>
  <c r="AJ17" i="4" a="1"/>
  <c r="AL18" i="4" a="1"/>
  <c r="AR18" i="4" a="1"/>
  <c r="AG19" i="4" a="1"/>
  <c r="AL19" i="4" a="1"/>
  <c r="AR19" i="4" a="1"/>
  <c r="AN13" i="4" a="1"/>
  <c r="AO16" i="4" a="1"/>
  <c r="AF7" i="4" a="1"/>
  <c r="AR14" i="4" a="1"/>
  <c r="AJ16" i="4" a="1"/>
  <c r="AJ18" i="4" a="1"/>
  <c r="AJ19" i="4" a="1"/>
  <c r="AR11" i="4" a="1"/>
  <c r="AN17" i="4" a="1"/>
  <c r="AR6" i="4" a="1"/>
  <c r="AR8" i="4" a="1"/>
  <c r="AR10" i="4" a="1"/>
  <c r="AR12" i="4" a="1"/>
  <c r="AF14" i="4" a="1"/>
  <c r="AN16" i="4" a="1"/>
  <c r="AG18" i="4" a="1"/>
  <c r="AH19" i="4" a="1"/>
  <c r="AS19" i="4" a="1"/>
  <c r="AJ8" i="4" a="1"/>
  <c r="AJ10" i="4" a="1"/>
  <c r="AF11" i="4" a="1"/>
  <c r="AJ14" i="4" a="1"/>
  <c r="AR15" i="4" a="1"/>
  <c r="AO18" i="4" a="1"/>
  <c r="AO19" i="4" a="1"/>
  <c r="AR7" i="4" a="1"/>
  <c r="AN7" i="4" a="1"/>
  <c r="AN9" i="4" a="1"/>
  <c r="AN11" i="4" a="1"/>
  <c r="AK17" i="4" a="1"/>
  <c r="AR17" i="4" a="1"/>
  <c r="AN18" i="4" a="1"/>
  <c r="AS18" i="4" a="1"/>
  <c r="AN19" i="4" a="1"/>
  <c r="AJ6" i="4" a="1"/>
  <c r="AJ12" i="4" a="1"/>
  <c r="AF17" i="4" a="1"/>
  <c r="AF9" i="4" a="1"/>
  <c r="AF13" i="4" a="1"/>
  <c r="AJ15" i="4" a="1"/>
  <c r="AS17" i="4" a="1"/>
  <c r="AD19" i="4" a="1"/>
  <c r="AR9" i="4" a="1"/>
  <c r="AN6" i="4" a="1"/>
  <c r="AN8" i="4" a="1"/>
  <c r="AN10" i="4" a="1"/>
  <c r="AN12" i="4" a="1"/>
  <c r="AR13" i="4" a="1"/>
  <c r="AK16" i="4" a="1"/>
  <c r="AR16" i="4" a="1"/>
  <c r="AK18" i="4" a="1"/>
  <c r="AP18" i="4" a="1"/>
  <c r="AF19" i="4" a="1"/>
  <c r="AK19" i="4" a="1"/>
  <c r="AP19" i="4" a="1"/>
  <c r="AJ7" i="4" a="1"/>
  <c r="AJ9" i="4" a="1"/>
  <c r="AJ11" i="4" a="1"/>
  <c r="AJ13" i="4" a="1"/>
  <c r="AO17" i="4" a="1"/>
  <c r="AF18" i="4" a="1"/>
  <c r="AG17" i="4" a="1"/>
  <c r="AC7" i="4" a="1"/>
  <c r="AC11" i="4" a="1"/>
  <c r="AC15" i="4" a="1"/>
  <c r="AC19" i="4" a="1"/>
  <c r="AC18" i="4" a="1"/>
  <c r="AC12" i="4" a="1"/>
  <c r="AC16" i="4" a="1"/>
  <c r="AC9" i="4" a="1"/>
  <c r="AC17" i="4" a="1"/>
  <c r="AC8" i="4" a="1"/>
  <c r="AC13" i="4" a="1"/>
  <c r="AC14" i="4" a="1"/>
  <c r="AC6" i="4" a="1"/>
  <c r="J38" i="4" a="1"/>
  <c r="N38" i="4" a="1"/>
  <c r="R38" i="4" a="1"/>
  <c r="V38" i="4" a="1"/>
  <c r="J39" i="4" a="1"/>
  <c r="N39" i="4" a="1"/>
  <c r="R39" i="4" a="1"/>
  <c r="V39" i="4" a="1"/>
  <c r="J40" i="4" a="1"/>
  <c r="N40" i="4" a="1"/>
  <c r="R40" i="4" a="1"/>
  <c r="V40" i="4" a="1"/>
  <c r="J41" i="4" a="1"/>
  <c r="N41" i="4" a="1"/>
  <c r="R41" i="4" a="1"/>
  <c r="V41" i="4" a="1"/>
  <c r="J42" i="4" a="1"/>
  <c r="N42" i="4" a="1"/>
  <c r="R42" i="4" a="1"/>
  <c r="V42" i="4" a="1"/>
  <c r="J43" i="4" a="1"/>
  <c r="N43" i="4" a="1"/>
  <c r="R43" i="4" a="1"/>
  <c r="V43" i="4" a="1"/>
  <c r="J44" i="4" a="1"/>
  <c r="N44" i="4" a="1"/>
  <c r="R44" i="4" a="1"/>
  <c r="V44" i="4" a="1"/>
  <c r="J45" i="4" a="1"/>
  <c r="N45" i="4" a="1"/>
  <c r="R45" i="4" a="1"/>
  <c r="V45" i="4" a="1"/>
  <c r="N46" i="4" a="1"/>
  <c r="R46" i="4" a="1"/>
  <c r="V46" i="4" a="1"/>
  <c r="J47" i="4" a="1"/>
  <c r="N47" i="4" a="1"/>
  <c r="R47" i="4" a="1"/>
  <c r="V47" i="4" a="1"/>
  <c r="N48" i="4" a="1"/>
  <c r="R48" i="4" a="1"/>
  <c r="J49" i="4" a="1"/>
  <c r="R49" i="4" a="1"/>
  <c r="J50" i="4" a="1"/>
  <c r="R50" i="4" a="1"/>
  <c r="J51" i="4" a="1"/>
  <c r="R51" i="4" a="1"/>
  <c r="S45" i="4" a="1"/>
  <c r="W46" i="4" a="1"/>
  <c r="S47" i="4" a="1"/>
  <c r="O48" i="4" a="1"/>
  <c r="K49" i="4" a="1"/>
  <c r="W49" i="4" a="1"/>
  <c r="S50" i="4" a="1"/>
  <c r="O51" i="4" a="1"/>
  <c r="O38" i="4" a="1"/>
  <c r="S38" i="4" a="1"/>
  <c r="W38" i="4" a="1"/>
  <c r="K39" i="4" a="1"/>
  <c r="O39" i="4" a="1"/>
  <c r="S39" i="4" a="1"/>
  <c r="W39" i="4" a="1"/>
  <c r="K40" i="4" a="1"/>
  <c r="O40" i="4" a="1"/>
  <c r="S40" i="4" a="1"/>
  <c r="W40" i="4" a="1"/>
  <c r="K41" i="4" a="1"/>
  <c r="O41" i="4" a="1"/>
  <c r="S41" i="4" a="1"/>
  <c r="W41" i="4" a="1"/>
  <c r="K42" i="4" a="1"/>
  <c r="O42" i="4" a="1"/>
  <c r="S42" i="4" a="1"/>
  <c r="W42" i="4" a="1"/>
  <c r="K43" i="4" a="1"/>
  <c r="O43" i="4" a="1"/>
  <c r="S43" i="4" a="1"/>
  <c r="W43" i="4" a="1"/>
  <c r="K44" i="4" a="1"/>
  <c r="O44" i="4" a="1"/>
  <c r="S44" i="4" a="1"/>
  <c r="W44" i="4" a="1"/>
  <c r="K45" i="4" a="1"/>
  <c r="O45" i="4" a="1"/>
  <c r="K46" i="4" a="1"/>
  <c r="O46" i="4" a="1"/>
  <c r="K47" i="4" a="1"/>
  <c r="W47" i="4" a="1"/>
  <c r="S48" i="4" a="1"/>
  <c r="O49" i="4" a="1"/>
  <c r="K50" i="4" a="1"/>
  <c r="W50" i="4" a="1"/>
  <c r="S51" i="4" a="1"/>
  <c r="K38" i="4" a="1"/>
  <c r="L38" i="4" a="1"/>
  <c r="P38" i="4" a="1"/>
  <c r="T38" i="4" a="1"/>
  <c r="X38" i="4" a="1"/>
  <c r="L39" i="4" a="1"/>
  <c r="P39" i="4" a="1"/>
  <c r="T39" i="4" a="1"/>
  <c r="X39" i="4" a="1"/>
  <c r="L40" i="4" a="1"/>
  <c r="P40" i="4" a="1"/>
  <c r="T40" i="4" a="1"/>
  <c r="X40" i="4" a="1"/>
  <c r="M38" i="4" a="1"/>
  <c r="Q38" i="4" a="1"/>
  <c r="U38" i="4" a="1"/>
  <c r="Y38" i="4" a="1"/>
  <c r="M39" i="4" a="1"/>
  <c r="Q39" i="4" a="1"/>
  <c r="U39" i="4" a="1"/>
  <c r="Y39" i="4" a="1"/>
  <c r="M40" i="4" a="1"/>
  <c r="Q40" i="4" a="1"/>
  <c r="U40" i="4" a="1"/>
  <c r="Y40" i="4" a="1"/>
  <c r="M41" i="4" a="1"/>
  <c r="Q41" i="4" a="1"/>
  <c r="U41" i="4" a="1"/>
  <c r="Y41" i="4" a="1"/>
  <c r="M42" i="4" a="1"/>
  <c r="Q42" i="4" a="1"/>
  <c r="U42" i="4" a="1"/>
  <c r="Y42" i="4" a="1"/>
  <c r="M43" i="4" a="1"/>
  <c r="Q43" i="4" a="1"/>
  <c r="U43" i="4" a="1"/>
  <c r="Y43" i="4" a="1"/>
  <c r="M44" i="4" a="1"/>
  <c r="Q44" i="4" a="1"/>
  <c r="U44" i="4" a="1"/>
  <c r="Y44" i="4" a="1"/>
  <c r="M45" i="4" a="1"/>
  <c r="Q45" i="4" a="1"/>
  <c r="U45" i="4" a="1"/>
  <c r="Y45" i="4" a="1"/>
  <c r="M46" i="4" a="1"/>
  <c r="Q46" i="4" a="1"/>
  <c r="U46" i="4" a="1"/>
  <c r="Y46" i="4" a="1"/>
  <c r="M47" i="4" a="1"/>
  <c r="Q47" i="4" a="1"/>
  <c r="U47" i="4" a="1"/>
  <c r="Y47" i="4" a="1"/>
  <c r="M48" i="4" a="1"/>
  <c r="Q48" i="4" a="1"/>
  <c r="U48" i="4" a="1"/>
  <c r="Y48" i="4" a="1"/>
  <c r="M49" i="4" a="1"/>
  <c r="Q49" i="4" a="1"/>
  <c r="U49" i="4" a="1"/>
  <c r="Y49" i="4" a="1"/>
  <c r="M50" i="4" a="1"/>
  <c r="Q50" i="4" a="1"/>
  <c r="U50" i="4" a="1"/>
  <c r="Y50" i="4" a="1"/>
  <c r="M51" i="4" a="1"/>
  <c r="Q51" i="4" a="1"/>
  <c r="U51" i="4" a="1"/>
  <c r="Y51" i="4" a="1"/>
  <c r="J46" i="4" a="1"/>
  <c r="J48" i="4" a="1"/>
  <c r="V48" i="4" a="1"/>
  <c r="N49" i="4" a="1"/>
  <c r="V49" i="4" a="1"/>
  <c r="N50" i="4" a="1"/>
  <c r="V50" i="4" a="1"/>
  <c r="N51" i="4" a="1"/>
  <c r="V51" i="4" a="1"/>
  <c r="W45" i="4" a="1"/>
  <c r="S46" i="4" a="1"/>
  <c r="O47" i="4" a="1"/>
  <c r="K48" i="4" a="1"/>
  <c r="W48" i="4" a="1"/>
  <c r="S49" i="4" a="1"/>
  <c r="O50" i="4" a="1"/>
  <c r="K51" i="4" a="1"/>
  <c r="W51" i="4" a="1"/>
  <c r="T41" i="4" a="1"/>
  <c r="T42" i="4" a="1"/>
  <c r="T43" i="4" a="1"/>
  <c r="T44" i="4" a="1"/>
  <c r="T45" i="4" a="1"/>
  <c r="T46" i="4" a="1"/>
  <c r="T47" i="4" a="1"/>
  <c r="T48" i="4" a="1"/>
  <c r="T49" i="4" a="1"/>
  <c r="P50" i="4" a="1"/>
  <c r="X47" i="4" a="1"/>
  <c r="T50" i="4" a="1"/>
  <c r="L43" i="4" a="1"/>
  <c r="L47" i="4" a="1"/>
  <c r="P43" i="4" a="1"/>
  <c r="P49" i="4" a="1"/>
  <c r="L51" i="4" a="1"/>
  <c r="X43" i="4" a="1"/>
  <c r="X46" i="4" a="1"/>
  <c r="X49" i="4" a="1"/>
  <c r="X51" i="4" a="1"/>
  <c r="L41" i="4" a="1"/>
  <c r="L45" i="4" a="1"/>
  <c r="L49" i="4" a="1"/>
  <c r="P51" i="4" a="1"/>
  <c r="P42" i="4" a="1"/>
  <c r="P48" i="4" a="1"/>
  <c r="X41" i="4" a="1"/>
  <c r="X42" i="4" a="1"/>
  <c r="X44" i="4" a="1"/>
  <c r="X45" i="4" a="1"/>
  <c r="X48" i="4" a="1"/>
  <c r="L42" i="4" a="1"/>
  <c r="L46" i="4" a="1"/>
  <c r="L48" i="4" a="1"/>
  <c r="P41" i="4" a="1"/>
  <c r="P47" i="4" a="1"/>
  <c r="X50" i="4" a="1"/>
  <c r="P44" i="4" a="1"/>
  <c r="L44" i="4" a="1"/>
  <c r="L50" i="4" a="1"/>
  <c r="P45" i="4" a="1"/>
  <c r="T51" i="4" a="1"/>
  <c r="P46" i="4" a="1"/>
  <c r="I39" i="4" a="1"/>
  <c r="I43" i="4" a="1"/>
  <c r="I47" i="4" a="1"/>
  <c r="I51" i="4" a="1"/>
  <c r="I50" i="4" a="1"/>
  <c r="I44" i="4" a="1"/>
  <c r="I48" i="4" a="1"/>
  <c r="I49" i="4" a="1"/>
  <c r="I42" i="4" a="1"/>
  <c r="I40" i="4" a="1"/>
  <c r="I45" i="4" a="1"/>
  <c r="I46" i="4" a="1"/>
  <c r="I41" i="4" a="1"/>
  <c r="I38" i="4" a="1"/>
  <c r="Y35" i="4" a="1"/>
  <c r="R35" i="4" a="1"/>
  <c r="Y22" i="4" a="1"/>
  <c r="Y26" i="4" a="1"/>
  <c r="Y30" i="4" a="1"/>
  <c r="Y34" i="4" a="1"/>
  <c r="Y33" i="4" a="1"/>
  <c r="Y27" i="4" a="1"/>
  <c r="Y32" i="4" a="1"/>
  <c r="Y23" i="4" a="1"/>
  <c r="Y31" i="4" a="1"/>
  <c r="Y24" i="4" a="1"/>
  <c r="Y28" i="4" a="1"/>
  <c r="Y29" i="4" a="1"/>
  <c r="Y25" i="4" a="1"/>
  <c r="J22" i="4" a="1"/>
  <c r="N22" i="4" a="1"/>
  <c r="R22" i="4" a="1"/>
  <c r="V22" i="4" a="1"/>
  <c r="K23" i="4" a="1"/>
  <c r="O23" i="4" a="1"/>
  <c r="S23" i="4" a="1"/>
  <c r="W23" i="4" a="1"/>
  <c r="L24" i="4" a="1"/>
  <c r="P24" i="4" a="1"/>
  <c r="T24" i="4" a="1"/>
  <c r="X24" i="4" a="1"/>
  <c r="M25" i="4" a="1"/>
  <c r="Q25" i="4" a="1"/>
  <c r="U25" i="4" a="1"/>
  <c r="J26" i="4" a="1"/>
  <c r="N26" i="4" a="1"/>
  <c r="R26" i="4" a="1"/>
  <c r="V26" i="4" a="1"/>
  <c r="K27" i="4" a="1"/>
  <c r="O27" i="4" a="1"/>
  <c r="S27" i="4" a="1"/>
  <c r="W27" i="4" a="1"/>
  <c r="L28" i="4" a="1"/>
  <c r="P28" i="4" a="1"/>
  <c r="T28" i="4" a="1"/>
  <c r="X28" i="4" a="1"/>
  <c r="M29" i="4" a="1"/>
  <c r="Q29" i="4" a="1"/>
  <c r="U29" i="4" a="1"/>
  <c r="N30" i="4" a="1"/>
  <c r="R30" i="4" a="1"/>
  <c r="V30" i="4" a="1"/>
  <c r="K31" i="4" a="1"/>
  <c r="O31" i="4" a="1"/>
  <c r="S31" i="4" a="1"/>
  <c r="W31" i="4" a="1"/>
  <c r="L32" i="4" a="1"/>
  <c r="P32" i="4" a="1"/>
  <c r="X32" i="4" a="1"/>
  <c r="M33" i="4" a="1"/>
  <c r="U33" i="4" a="1"/>
  <c r="N34" i="4" a="1"/>
  <c r="V34" i="4" a="1"/>
  <c r="S22" i="4" a="1"/>
  <c r="Q24" i="4" a="1"/>
  <c r="J25" i="4" a="1"/>
  <c r="R25" i="4" a="1"/>
  <c r="K26" i="4" a="1"/>
  <c r="S26" i="4" a="1"/>
  <c r="W26" i="4" a="1"/>
  <c r="P27" i="4" a="1"/>
  <c r="T27" i="4" a="1"/>
  <c r="M28" i="4" a="1"/>
  <c r="Q28" i="4" a="1"/>
  <c r="J29" i="4" a="1"/>
  <c r="N29" i="4" a="1"/>
  <c r="V29" i="4" a="1"/>
  <c r="O30" i="4" a="1"/>
  <c r="W30" i="4" a="1"/>
  <c r="P31" i="4" a="1"/>
  <c r="X31" i="4" a="1"/>
  <c r="Q32" i="4" a="1"/>
  <c r="J33" i="4" a="1"/>
  <c r="R33" i="4" a="1"/>
  <c r="K34" i="4" a="1"/>
  <c r="S34" i="4" a="1"/>
  <c r="L35" i="4" a="1"/>
  <c r="T35" i="4" a="1"/>
  <c r="K22" i="4" a="1"/>
  <c r="O22" i="4" a="1"/>
  <c r="W22" i="4" a="1"/>
  <c r="L23" i="4" a="1"/>
  <c r="P23" i="4" a="1"/>
  <c r="T23" i="4" a="1"/>
  <c r="X23" i="4" a="1"/>
  <c r="M24" i="4" a="1"/>
  <c r="U24" i="4" a="1"/>
  <c r="N25" i="4" a="1"/>
  <c r="V25" i="4" a="1"/>
  <c r="O26" i="4" a="1"/>
  <c r="L27" i="4" a="1"/>
  <c r="X27" i="4" a="1"/>
  <c r="U28" i="4" a="1"/>
  <c r="R29" i="4" a="1"/>
  <c r="K30" i="4" a="1"/>
  <c r="S30" i="4" a="1"/>
  <c r="L31" i="4" a="1"/>
  <c r="T31" i="4" a="1"/>
  <c r="M32" i="4" a="1"/>
  <c r="U32" i="4" a="1"/>
  <c r="N33" i="4" a="1"/>
  <c r="V33" i="4" a="1"/>
  <c r="O34" i="4" a="1"/>
  <c r="W34" i="4" a="1"/>
  <c r="P35" i="4" a="1"/>
  <c r="X35" i="4" a="1"/>
  <c r="L22" i="4" a="1"/>
  <c r="J30" i="4" a="1"/>
  <c r="T32" i="4" a="1"/>
  <c r="Q33" i="4" a="1"/>
  <c r="J34" i="4" a="1"/>
  <c r="R34" i="4" a="1"/>
  <c r="X22" i="4" a="1"/>
  <c r="R23" i="4" a="1"/>
  <c r="K25" i="4" a="1"/>
  <c r="T25" i="4" a="1"/>
  <c r="M27" i="4" a="1"/>
  <c r="V27" i="4" a="1"/>
  <c r="K35" i="4" a="1"/>
  <c r="X30" i="4" a="1"/>
  <c r="J32" i="4" a="1"/>
  <c r="K33" i="4" a="1"/>
  <c r="L34" i="4" a="1"/>
  <c r="S35" i="4" a="1"/>
  <c r="M23" i="4" a="1"/>
  <c r="X29" i="4" a="1"/>
  <c r="R31" i="4" a="1"/>
  <c r="L33" i="4" a="1"/>
  <c r="U34" i="4" a="1"/>
  <c r="J24" i="4" a="1"/>
  <c r="U26" i="4" a="1"/>
  <c r="W28" i="4" a="1"/>
  <c r="N23" i="4" a="1"/>
  <c r="R27" i="4" a="1"/>
  <c r="L30" i="4" a="1"/>
  <c r="U31" i="4" a="1"/>
  <c r="O33" i="4" a="1"/>
  <c r="X34" i="4" a="1"/>
  <c r="Q23" i="4" a="1"/>
  <c r="O28" i="4" a="1"/>
  <c r="W24" i="4" a="1"/>
  <c r="J27" i="4" a="1"/>
  <c r="T29" i="4" a="1"/>
  <c r="N31" i="4" a="1"/>
  <c r="W32" i="4" a="1"/>
  <c r="Q34" i="4" a="1"/>
  <c r="W35" i="4" a="1"/>
  <c r="M22" i="4" a="1"/>
  <c r="U23" i="4" a="1"/>
  <c r="O24" i="4" a="1"/>
  <c r="W25" i="4" a="1"/>
  <c r="Q26" i="4" a="1"/>
  <c r="J28" i="4" a="1"/>
  <c r="S28" i="4" a="1"/>
  <c r="O29" i="4" a="1"/>
  <c r="W29" i="4" a="1"/>
  <c r="P30" i="4" a="1"/>
  <c r="Q31" i="4" a="1"/>
  <c r="R32" i="4" a="1"/>
  <c r="S33" i="4" a="1"/>
  <c r="T34" i="4" a="1"/>
  <c r="V23" i="4" a="1"/>
  <c r="X25" i="4" a="1"/>
  <c r="K28" i="4" a="1"/>
  <c r="Q30" i="4" a="1"/>
  <c r="K32" i="4" a="1"/>
  <c r="T33" i="4" a="1"/>
  <c r="S24" i="4" a="1"/>
  <c r="N28" i="4" a="1"/>
  <c r="N35" i="4" a="1"/>
  <c r="P25" i="4" a="1"/>
  <c r="K29" i="4" a="1"/>
  <c r="T30" i="4" a="1"/>
  <c r="N32" i="4" a="1"/>
  <c r="W33" i="4" a="1"/>
  <c r="O35" i="4" a="1"/>
  <c r="K24" i="4" a="1"/>
  <c r="M26" i="4" a="1"/>
  <c r="V35" i="4" a="1"/>
  <c r="N24" i="4" a="1"/>
  <c r="R28" i="4" a="1"/>
  <c r="M30" i="4" a="1"/>
  <c r="V31" i="4" a="1"/>
  <c r="P33" i="4" a="1"/>
  <c r="J35" i="4" a="1"/>
  <c r="P22" i="4" a="1"/>
  <c r="J23" i="4" a="1"/>
  <c r="R24" i="4" a="1"/>
  <c r="L25" i="4" a="1"/>
  <c r="T26" i="4" a="1"/>
  <c r="N27" i="4" a="1"/>
  <c r="V28" i="4" a="1"/>
  <c r="M35" i="4" a="1"/>
  <c r="O25" i="4" a="1"/>
  <c r="Q27" i="4" a="1"/>
  <c r="P29" i="4" a="1"/>
  <c r="J31" i="4" a="1"/>
  <c r="S32" i="4" a="1"/>
  <c r="M34" i="4" a="1"/>
  <c r="Q22" i="4" a="1"/>
  <c r="L26" i="4" a="1"/>
  <c r="U35" i="4" a="1"/>
  <c r="V24" i="4" a="1"/>
  <c r="X26" i="4" a="1"/>
  <c r="S29" i="4" a="1"/>
  <c r="M31" i="4" a="1"/>
  <c r="V32" i="4" a="1"/>
  <c r="P34" i="4" a="1"/>
  <c r="S25" i="4" a="1"/>
  <c r="U27" i="4" a="1"/>
  <c r="U22" i="4" a="1"/>
  <c r="P26" i="4" a="1"/>
  <c r="L29" i="4" a="1"/>
  <c r="U30" i="4" a="1"/>
  <c r="O32" i="4" a="1"/>
  <c r="X33" i="4" a="1"/>
  <c r="Q35" i="4" a="1"/>
  <c r="T22" i="4" a="1"/>
  <c r="I23" i="4" a="1"/>
  <c r="I27" i="4" a="1"/>
  <c r="I31" i="4" a="1"/>
  <c r="I35" i="4" a="1"/>
  <c r="I34" i="4" a="1"/>
  <c r="I28" i="4" a="1"/>
  <c r="I32" i="4" a="1"/>
  <c r="I25" i="4" a="1"/>
  <c r="I33" i="4" a="1"/>
  <c r="I30" i="4" a="1"/>
  <c r="I24" i="4" a="1"/>
  <c r="I29" i="4" a="1"/>
  <c r="I26" i="4" a="1"/>
  <c r="I22" i="4" a="1"/>
  <c r="J6" i="4" a="1"/>
  <c r="N6" i="4" a="1"/>
  <c r="R6" i="4" a="1"/>
  <c r="V6" i="4" a="1"/>
  <c r="J7" i="4" a="1"/>
  <c r="N7" i="4" a="1"/>
  <c r="R7" i="4" a="1"/>
  <c r="V7" i="4" a="1"/>
  <c r="J8" i="4" a="1"/>
  <c r="N8" i="4" a="1"/>
  <c r="R8" i="4" a="1"/>
  <c r="V8" i="4" a="1"/>
  <c r="J9" i="4" a="1"/>
  <c r="N9" i="4" a="1"/>
  <c r="R9" i="4" a="1"/>
  <c r="V9" i="4" a="1"/>
  <c r="J10" i="4" a="1"/>
  <c r="N10" i="4" a="1"/>
  <c r="R10" i="4" a="1"/>
  <c r="V10" i="4" a="1"/>
  <c r="J11" i="4" a="1"/>
  <c r="N11" i="4" a="1"/>
  <c r="R11" i="4" a="1"/>
  <c r="V11" i="4" a="1"/>
  <c r="J12" i="4" a="1"/>
  <c r="N12" i="4" a="1"/>
  <c r="R12" i="4" a="1"/>
  <c r="V12" i="4" a="1"/>
  <c r="J13" i="4" a="1"/>
  <c r="N13" i="4" a="1"/>
  <c r="R13" i="4" a="1"/>
  <c r="J14" i="4" a="1"/>
  <c r="N14" i="4" a="1"/>
  <c r="R14" i="4" a="1"/>
  <c r="V14" i="4" a="1"/>
  <c r="J15" i="4" a="1"/>
  <c r="N15" i="4" a="1"/>
  <c r="R15" i="4" a="1"/>
  <c r="V15" i="4" a="1"/>
  <c r="J16" i="4" a="1"/>
  <c r="N16" i="4" a="1"/>
  <c r="R16" i="4" a="1"/>
  <c r="V16" i="4" a="1"/>
  <c r="J17" i="4" a="1"/>
  <c r="N17" i="4" a="1"/>
  <c r="R17" i="4" a="1"/>
  <c r="V17" i="4" a="1"/>
  <c r="J18" i="4" a="1"/>
  <c r="N18" i="4" a="1"/>
  <c r="R18" i="4" a="1"/>
  <c r="K8" i="4" a="1"/>
  <c r="W9" i="4" a="1"/>
  <c r="W10" i="4" a="1"/>
  <c r="O11" i="4" a="1"/>
  <c r="W11" i="4" a="1"/>
  <c r="K12" i="4" a="1"/>
  <c r="S12" i="4" a="1"/>
  <c r="W12" i="4" a="1"/>
  <c r="O13" i="4" a="1"/>
  <c r="W13" i="4" a="1"/>
  <c r="O14" i="4" a="1"/>
  <c r="W14" i="4" a="1"/>
  <c r="O15" i="4" a="1"/>
  <c r="W15" i="4" a="1"/>
  <c r="O16" i="4" a="1"/>
  <c r="S16" i="4" a="1"/>
  <c r="K17" i="4" a="1"/>
  <c r="S17" i="4" a="1"/>
  <c r="K18" i="4" a="1"/>
  <c r="S18" i="4" a="1"/>
  <c r="K19" i="4" a="1"/>
  <c r="O19" i="4" a="1"/>
  <c r="W19" i="4" a="1"/>
  <c r="K6" i="4" a="1"/>
  <c r="O6" i="4" a="1"/>
  <c r="S6" i="4" a="1"/>
  <c r="W6" i="4" a="1"/>
  <c r="K7" i="4" a="1"/>
  <c r="O7" i="4" a="1"/>
  <c r="S7" i="4" a="1"/>
  <c r="W7" i="4" a="1"/>
  <c r="O8" i="4" a="1"/>
  <c r="S8" i="4" a="1"/>
  <c r="W8" i="4" a="1"/>
  <c r="K9" i="4" a="1"/>
  <c r="O9" i="4" a="1"/>
  <c r="S9" i="4" a="1"/>
  <c r="K10" i="4" a="1"/>
  <c r="O10" i="4" a="1"/>
  <c r="S10" i="4" a="1"/>
  <c r="K11" i="4" a="1"/>
  <c r="S11" i="4" a="1"/>
  <c r="O12" i="4" a="1"/>
  <c r="K13" i="4" a="1"/>
  <c r="S13" i="4" a="1"/>
  <c r="K14" i="4" a="1"/>
  <c r="S14" i="4" a="1"/>
  <c r="K15" i="4" a="1"/>
  <c r="S15" i="4" a="1"/>
  <c r="K16" i="4" a="1"/>
  <c r="W16" i="4" a="1"/>
  <c r="O17" i="4" a="1"/>
  <c r="W17" i="4" a="1"/>
  <c r="O18" i="4" a="1"/>
  <c r="W18" i="4" a="1"/>
  <c r="S19" i="4" a="1"/>
  <c r="L6" i="4" a="1"/>
  <c r="V13" i="4" a="1"/>
  <c r="X6" i="4" a="1"/>
  <c r="Q7" i="4" a="1"/>
  <c r="X8" i="4" a="1"/>
  <c r="Q9" i="4" a="1"/>
  <c r="X10" i="4" a="1"/>
  <c r="Q11" i="4" a="1"/>
  <c r="U12" i="4" a="1"/>
  <c r="X18" i="4" a="1"/>
  <c r="N19" i="4" a="1"/>
  <c r="Y15" i="4" a="1"/>
  <c r="Y16" i="4" a="1"/>
  <c r="Q17" i="4" a="1"/>
  <c r="Q18" i="4" a="1"/>
  <c r="L7" i="4" a="1"/>
  <c r="U11" i="4" a="1"/>
  <c r="L14" i="4" a="1"/>
  <c r="T15" i="4" a="1"/>
  <c r="L17" i="4" a="1"/>
  <c r="T18" i="4" a="1"/>
  <c r="Q8" i="4" a="1"/>
  <c r="X11" i="4" a="1"/>
  <c r="T6" i="4" a="1"/>
  <c r="M9" i="4" a="1"/>
  <c r="U13" i="4" a="1"/>
  <c r="U15" i="4" a="1"/>
  <c r="U17" i="4" a="1"/>
  <c r="L19" i="4" a="1"/>
  <c r="Y7" i="4" a="1"/>
  <c r="P11" i="4" a="1"/>
  <c r="M13" i="4" a="1"/>
  <c r="Y19" i="4" a="1"/>
  <c r="L8" i="4" a="1"/>
  <c r="L12" i="4" a="1"/>
  <c r="P14" i="4" a="1"/>
  <c r="X15" i="4" a="1"/>
  <c r="P17" i="4" a="1"/>
  <c r="M6" i="4" a="1"/>
  <c r="T7" i="4" a="1"/>
  <c r="M8" i="4" a="1"/>
  <c r="T9" i="4" a="1"/>
  <c r="M10" i="4" a="1"/>
  <c r="T11" i="4" a="1"/>
  <c r="M12" i="4" a="1"/>
  <c r="X12" i="4" a="1"/>
  <c r="Q13" i="4" a="1"/>
  <c r="Y13" i="4" a="1"/>
  <c r="Q14" i="4" a="1"/>
  <c r="Y14" i="4" a="1"/>
  <c r="Q15" i="4" a="1"/>
  <c r="Q16" i="4" a="1"/>
  <c r="Y17" i="4" a="1"/>
  <c r="U19" i="4" a="1"/>
  <c r="U7" i="4" a="1"/>
  <c r="L11" i="4" a="1"/>
  <c r="T13" i="4" a="1"/>
  <c r="L15" i="4" a="1"/>
  <c r="T16" i="4" a="1"/>
  <c r="L18" i="4" a="1"/>
  <c r="Q6" i="4" a="1"/>
  <c r="Q10" i="4" a="1"/>
  <c r="L13" i="4" a="1"/>
  <c r="Q19" i="4" a="1"/>
  <c r="M7" i="4" a="1"/>
  <c r="T10" i="4" a="1"/>
  <c r="M14" i="4" a="1"/>
  <c r="M15" i="4" a="1"/>
  <c r="U16" i="4" a="1"/>
  <c r="M18" i="4" a="1"/>
  <c r="R19" i="4" a="1"/>
  <c r="P9" i="4" a="1"/>
  <c r="T12" i="4" a="1"/>
  <c r="U6" i="4" a="1"/>
  <c r="L10" i="4" a="1"/>
  <c r="X13" i="4" a="1"/>
  <c r="X14" i="4" a="1"/>
  <c r="P16" i="4" a="1"/>
  <c r="X17" i="4" a="1"/>
  <c r="T19" i="4" a="1"/>
  <c r="P6" i="4" a="1"/>
  <c r="Y6" i="4" a="1"/>
  <c r="P8" i="4" a="1"/>
  <c r="Y8" i="4" a="1"/>
  <c r="P10" i="4" a="1"/>
  <c r="Y10" i="4" a="1"/>
  <c r="P12" i="4" a="1"/>
  <c r="Y18" i="4" a="1"/>
  <c r="P19" i="4" a="1"/>
  <c r="V19" i="4" a="1"/>
  <c r="L9" i="4" a="1"/>
  <c r="U9" i="4" a="1"/>
  <c r="Y12" i="4" a="1"/>
  <c r="T14" i="4" a="1"/>
  <c r="L16" i="4" a="1"/>
  <c r="T17" i="4" a="1"/>
  <c r="J19" i="4" a="1"/>
  <c r="X7" i="4" a="1"/>
  <c r="X9" i="4" a="1"/>
  <c r="Q12" i="4" a="1"/>
  <c r="X19" i="4" a="1"/>
  <c r="T8" i="4" a="1"/>
  <c r="M11" i="4" a="1"/>
  <c r="U14" i="4" a="1"/>
  <c r="M16" i="4" a="1"/>
  <c r="M17" i="4" a="1"/>
  <c r="U18" i="4" a="1"/>
  <c r="Y9" i="4" a="1"/>
  <c r="Y11" i="4" a="1"/>
  <c r="V18" i="4" a="1"/>
  <c r="U8" i="4" a="1"/>
  <c r="U10" i="4" a="1"/>
  <c r="P13" i="4" a="1"/>
  <c r="P15" i="4" a="1"/>
  <c r="X16" i="4" a="1"/>
  <c r="P18" i="4" a="1"/>
  <c r="P7" i="4" a="1"/>
  <c r="M19" i="4" a="1"/>
  <c r="I7" i="4" a="1"/>
  <c r="I11" i="4" a="1"/>
  <c r="I15" i="4" a="1"/>
  <c r="I19" i="4" a="1"/>
  <c r="I16" i="4" a="1"/>
  <c r="I9" i="4" a="1"/>
  <c r="I13" i="4" a="1"/>
  <c r="I17" i="4" a="1"/>
  <c r="I14" i="4" a="1"/>
  <c r="I18" i="4" a="1"/>
  <c r="I12" i="4" a="1"/>
  <c r="I8" i="4" a="1"/>
  <c r="I10" i="4" a="1"/>
  <c r="I6" i="4" a="1"/>
  <c r="W26" i="2" a="1"/>
  <c r="Y28" i="2" a="1"/>
  <c r="T29" i="2" a="1"/>
  <c r="K30" i="2" a="1"/>
  <c r="S30" i="2" a="1"/>
  <c r="J31" i="2" a="1"/>
  <c r="R31" i="2" a="1"/>
  <c r="I32" i="2" a="1"/>
  <c r="Q32" i="2" a="1"/>
  <c r="Y32" i="2" a="1"/>
  <c r="P33" i="2" a="1"/>
  <c r="X33" i="2" a="1"/>
  <c r="O34" i="2" a="1"/>
  <c r="J35" i="2" a="1"/>
  <c r="R35" i="2" a="1"/>
  <c r="I36" i="2" a="1"/>
  <c r="Q36" i="2" a="1"/>
  <c r="Y36" i="2" a="1"/>
  <c r="K27" i="2" a="1"/>
  <c r="J28" i="2" a="1"/>
  <c r="V28" i="2" a="1"/>
  <c r="Q29" i="2" a="1"/>
  <c r="L30" i="2" a="1"/>
  <c r="X30" i="2" a="1"/>
  <c r="S31" i="2" a="1"/>
  <c r="N32" i="2" a="1"/>
  <c r="I33" i="2" a="1"/>
  <c r="U33" i="2" a="1"/>
  <c r="P34" i="2" a="1"/>
  <c r="O35" i="2" a="1"/>
  <c r="J36" i="2" a="1"/>
  <c r="V36" i="2" a="1"/>
  <c r="J23" i="2" a="1"/>
  <c r="N23" i="2" a="1"/>
  <c r="R23" i="2" a="1"/>
  <c r="V23" i="2" a="1"/>
  <c r="I24" i="2" a="1"/>
  <c r="M24" i="2" a="1"/>
  <c r="Q24" i="2" a="1"/>
  <c r="U24" i="2" a="1"/>
  <c r="Y24" i="2" a="1"/>
  <c r="L25" i="2" a="1"/>
  <c r="P25" i="2" a="1"/>
  <c r="T25" i="2" a="1"/>
  <c r="X25" i="2" a="1"/>
  <c r="K26" i="2" a="1"/>
  <c r="O26" i="2" a="1"/>
  <c r="S26" i="2" a="1"/>
  <c r="J27" i="2" a="1"/>
  <c r="N27" i="2" a="1"/>
  <c r="R27" i="2" a="1"/>
  <c r="V27" i="2" a="1"/>
  <c r="I28" i="2" a="1"/>
  <c r="M28" i="2" a="1"/>
  <c r="Q28" i="2" a="1"/>
  <c r="U28" i="2" a="1"/>
  <c r="L29" i="2" a="1"/>
  <c r="P29" i="2" a="1"/>
  <c r="X29" i="2" a="1"/>
  <c r="O30" i="2" a="1"/>
  <c r="W30" i="2" a="1"/>
  <c r="N31" i="2" a="1"/>
  <c r="V31" i="2" a="1"/>
  <c r="M32" i="2" a="1"/>
  <c r="U32" i="2" a="1"/>
  <c r="L33" i="2" a="1"/>
  <c r="T33" i="2" a="1"/>
  <c r="K34" i="2" a="1"/>
  <c r="S34" i="2" a="1"/>
  <c r="W34" i="2" a="1"/>
  <c r="N35" i="2" a="1"/>
  <c r="V35" i="2" a="1"/>
  <c r="M36" i="2" a="1"/>
  <c r="U36" i="2" a="1"/>
  <c r="T26" i="2" a="1"/>
  <c r="S27" i="2" a="1"/>
  <c r="N28" i="2" a="1"/>
  <c r="I29" i="2" a="1"/>
  <c r="U29" i="2" a="1"/>
  <c r="P30" i="2" a="1"/>
  <c r="K31" i="2" a="1"/>
  <c r="W31" i="2" a="1"/>
  <c r="R32" i="2" a="1"/>
  <c r="M33" i="2" a="1"/>
  <c r="Y33" i="2" a="1"/>
  <c r="T34" i="2" a="1"/>
  <c r="K35" i="2" a="1"/>
  <c r="W35" i="2" a="1"/>
  <c r="N36" i="2" a="1"/>
  <c r="K23" i="2" a="1"/>
  <c r="O23" i="2" a="1"/>
  <c r="S23" i="2" a="1"/>
  <c r="W23" i="2" a="1"/>
  <c r="J24" i="2" a="1"/>
  <c r="N24" i="2" a="1"/>
  <c r="R24" i="2" a="1"/>
  <c r="V24" i="2" a="1"/>
  <c r="I25" i="2" a="1"/>
  <c r="M25" i="2" a="1"/>
  <c r="Q25" i="2" a="1"/>
  <c r="U25" i="2" a="1"/>
  <c r="Y25" i="2" a="1"/>
  <c r="L26" i="2" a="1"/>
  <c r="P26" i="2" a="1"/>
  <c r="X26" i="2" a="1"/>
  <c r="O27" i="2" a="1"/>
  <c r="W27" i="2" a="1"/>
  <c r="R28" i="2" a="1"/>
  <c r="M29" i="2" a="1"/>
  <c r="Y29" i="2" a="1"/>
  <c r="T30" i="2" a="1"/>
  <c r="O31" i="2" a="1"/>
  <c r="J32" i="2" a="1"/>
  <c r="V32" i="2" a="1"/>
  <c r="Q33" i="2" a="1"/>
  <c r="L34" i="2" a="1"/>
  <c r="X34" i="2" a="1"/>
  <c r="S35" i="2" a="1"/>
  <c r="R36" i="2" a="1"/>
  <c r="M23" i="2" a="1"/>
  <c r="Q23" i="2" a="1"/>
  <c r="U23" i="2" a="1"/>
  <c r="Y23" i="2" a="1"/>
  <c r="L24" i="2" a="1"/>
  <c r="P24" i="2" a="1"/>
  <c r="T24" i="2" a="1"/>
  <c r="X24" i="2" a="1"/>
  <c r="K25" i="2" a="1"/>
  <c r="O25" i="2" a="1"/>
  <c r="S25" i="2" a="1"/>
  <c r="W25" i="2" a="1"/>
  <c r="J26" i="2" a="1"/>
  <c r="N26" i="2" a="1"/>
  <c r="R26" i="2" a="1"/>
  <c r="V26" i="2" a="1"/>
  <c r="I27" i="2" a="1"/>
  <c r="M27" i="2" a="1"/>
  <c r="Q27" i="2" a="1"/>
  <c r="U27" i="2" a="1"/>
  <c r="Y27" i="2" a="1"/>
  <c r="L28" i="2" a="1"/>
  <c r="P28" i="2" a="1"/>
  <c r="T28" i="2" a="1"/>
  <c r="X28" i="2" a="1"/>
  <c r="K29" i="2" a="1"/>
  <c r="O29" i="2" a="1"/>
  <c r="S29" i="2" a="1"/>
  <c r="W29" i="2" a="1"/>
  <c r="J30" i="2" a="1"/>
  <c r="N30" i="2" a="1"/>
  <c r="R30" i="2" a="1"/>
  <c r="V30" i="2" a="1"/>
  <c r="I31" i="2" a="1"/>
  <c r="M31" i="2" a="1"/>
  <c r="Q31" i="2" a="1"/>
  <c r="L27" i="2" a="1"/>
  <c r="J29" i="2" a="1"/>
  <c r="Y30" i="2" a="1"/>
  <c r="K32" i="2" a="1"/>
  <c r="J33" i="2" a="1"/>
  <c r="I34" i="2" a="1"/>
  <c r="Y34" i="2" a="1"/>
  <c r="O36" i="2" a="1"/>
  <c r="U31" i="2" a="1"/>
  <c r="K33" i="2" a="1"/>
  <c r="R34" i="2" a="1"/>
  <c r="Y35" i="2" a="1"/>
  <c r="I30" i="2" a="1"/>
  <c r="T23" i="2" a="1"/>
  <c r="U30" i="2" a="1"/>
  <c r="N33" i="2" a="1"/>
  <c r="L35" i="2" a="1"/>
  <c r="L23" i="2" a="1"/>
  <c r="K24" i="2" a="1"/>
  <c r="J25" i="2" a="1"/>
  <c r="I26" i="2" a="1"/>
  <c r="X27" i="2" a="1"/>
  <c r="V29" i="2" a="1"/>
  <c r="T31" i="2" a="1"/>
  <c r="S32" i="2" a="1"/>
  <c r="R33" i="2" a="1"/>
  <c r="Q34" i="2" a="1"/>
  <c r="P35" i="2" a="1"/>
  <c r="X35" i="2" a="1"/>
  <c r="W36" i="2" a="1"/>
  <c r="N29" i="2" a="1"/>
  <c r="L32" i="2" a="1"/>
  <c r="S33" i="2" a="1"/>
  <c r="I35" i="2" a="1"/>
  <c r="P36" i="2" a="1"/>
  <c r="K28" i="2" a="1"/>
  <c r="S24" i="2" a="1"/>
  <c r="X31" i="2" a="1"/>
  <c r="V33" i="2" a="1"/>
  <c r="T35" i="2" a="1"/>
  <c r="T27" i="2" a="1"/>
  <c r="P31" i="2" a="1"/>
  <c r="U26" i="2" a="1"/>
  <c r="S28" i="2" a="1"/>
  <c r="Q30" i="2" a="1"/>
  <c r="P23" i="2" a="1"/>
  <c r="O24" i="2" a="1"/>
  <c r="N25" i="2" a="1"/>
  <c r="P27" i="2" a="1"/>
  <c r="L31" i="2" a="1"/>
  <c r="T32" i="2" a="1"/>
  <c r="J34" i="2" a="1"/>
  <c r="Q35" i="2" a="1"/>
  <c r="X36" i="2" a="1"/>
  <c r="M26" i="2" a="1"/>
  <c r="Y26" i="2" a="1"/>
  <c r="O32" i="2" a="1"/>
  <c r="M34" i="2" a="1"/>
  <c r="K36" i="2" a="1"/>
  <c r="R29" i="2" a="1"/>
  <c r="X23" i="2" a="1"/>
  <c r="W24" i="2" a="1"/>
  <c r="V25" i="2" a="1"/>
  <c r="Q26" i="2" a="1"/>
  <c r="O28" i="2" a="1"/>
  <c r="M30" i="2" a="1"/>
  <c r="Y31" i="2" a="1"/>
  <c r="P32" i="2" a="1"/>
  <c r="X32" i="2" a="1"/>
  <c r="O33" i="2" a="1"/>
  <c r="W33" i="2" a="1"/>
  <c r="N34" i="2" a="1"/>
  <c r="V34" i="2" a="1"/>
  <c r="M35" i="2" a="1"/>
  <c r="U35" i="2" a="1"/>
  <c r="L36" i="2" a="1"/>
  <c r="T36" i="2" a="1"/>
  <c r="R25" i="2" a="1"/>
  <c r="W28" i="2" a="1"/>
  <c r="W32" i="2" a="1"/>
  <c r="U34" i="2" a="1"/>
  <c r="S36" i="2" a="1"/>
  <c r="J55" i="2" a="1"/>
  <c r="J57" i="2" a="1"/>
  <c r="J59" i="2" a="1"/>
  <c r="J61" i="2" a="1"/>
  <c r="J63" i="2" a="1"/>
  <c r="J65" i="2" a="1"/>
  <c r="J67" i="2" a="1"/>
  <c r="S62" i="2" a="1"/>
  <c r="O67" i="2" a="1"/>
  <c r="K56" i="2" a="1"/>
  <c r="K60" i="2" a="1"/>
  <c r="N55" i="2" a="1"/>
  <c r="R55" i="2" a="1"/>
  <c r="R57" i="2" a="1"/>
  <c r="R59" i="2" a="1"/>
  <c r="R61" i="2" a="1"/>
  <c r="R63" i="2" a="1"/>
  <c r="R65" i="2" a="1"/>
  <c r="R67" i="2" a="1"/>
  <c r="W64" i="2" a="1"/>
  <c r="O68" i="2" a="1"/>
  <c r="S56" i="2" a="1"/>
  <c r="S58" i="2" a="1"/>
  <c r="S60" i="2" a="1"/>
  <c r="W62" i="2" a="1"/>
  <c r="S65" i="2" a="1"/>
  <c r="T66" i="2" a="1"/>
  <c r="M65" i="2" a="1"/>
  <c r="P66" i="2" a="1"/>
  <c r="Y63" i="2" a="1"/>
  <c r="L63" i="2" a="1"/>
  <c r="U57" i="2" a="1"/>
  <c r="M63" i="2" a="1"/>
  <c r="X65" i="2" a="1"/>
  <c r="Q63" i="2" a="1"/>
  <c r="T63" i="2" a="1"/>
  <c r="P56" i="2" a="1"/>
  <c r="X63" i="2" a="1"/>
  <c r="Y62" i="2" a="1"/>
  <c r="T64" i="2" a="1"/>
  <c r="I68" i="2" a="1"/>
  <c r="I62" i="2" a="1"/>
  <c r="V57" i="2" a="1"/>
  <c r="V59" i="2" a="1"/>
  <c r="V61" i="2" a="1"/>
  <c r="V63" i="2" a="1"/>
  <c r="V65" i="2" a="1"/>
  <c r="V67" i="2" a="1"/>
  <c r="O65" i="2" a="1"/>
  <c r="S68" i="2" a="1"/>
  <c r="W56" i="2" a="1"/>
  <c r="W58" i="2" a="1"/>
  <c r="W60" i="2" a="1"/>
  <c r="K63" i="2" a="1"/>
  <c r="K66" i="2" a="1"/>
  <c r="L67" i="2" a="1"/>
  <c r="M66" i="2" a="1"/>
  <c r="Y68" i="2" a="1"/>
  <c r="Q65" i="2" a="1"/>
  <c r="L65" i="2" a="1"/>
  <c r="M58" i="2" a="1"/>
  <c r="U64" i="2" a="1"/>
  <c r="X66" i="2" a="1"/>
  <c r="Y64" i="2" a="1"/>
  <c r="T65" i="2" a="1"/>
  <c r="X56" i="2" a="1"/>
  <c r="P65" i="2" a="1"/>
  <c r="Q64" i="2" a="1"/>
  <c r="Y67" i="2" a="1"/>
  <c r="I59" i="2" a="1"/>
  <c r="I67" i="2" a="1"/>
  <c r="U56" i="2" a="1"/>
  <c r="P55" i="2" a="1"/>
  <c r="I60" i="2" a="1"/>
  <c r="N63" i="2" a="1"/>
  <c r="O56" i="2" a="1"/>
  <c r="K65" i="2" a="1"/>
  <c r="Q62" i="2" a="1"/>
  <c r="P64" i="2" a="1"/>
  <c r="P62" i="2" a="1"/>
  <c r="I57" i="2" a="1"/>
  <c r="V55" i="2" a="1"/>
  <c r="J56" i="2" a="1"/>
  <c r="J58" i="2" a="1"/>
  <c r="J60" i="2" a="1"/>
  <c r="J62" i="2" a="1"/>
  <c r="J64" i="2" a="1"/>
  <c r="J66" i="2" a="1"/>
  <c r="J68" i="2" a="1"/>
  <c r="W65" i="2" a="1"/>
  <c r="K55" i="2" a="1"/>
  <c r="K57" i="2" a="1"/>
  <c r="K59" i="2" a="1"/>
  <c r="K61" i="2" a="1"/>
  <c r="O63" i="2" a="1"/>
  <c r="W66" i="2" a="1"/>
  <c r="T67" i="2" a="1"/>
  <c r="X68" i="2" a="1"/>
  <c r="M68" i="2" a="1"/>
  <c r="Q66" i="2" a="1"/>
  <c r="L66" i="2" a="1"/>
  <c r="U58" i="2" a="1"/>
  <c r="U65" i="2" a="1"/>
  <c r="T68" i="2" a="1"/>
  <c r="X67" i="2" a="1"/>
  <c r="U66" i="2" a="1"/>
  <c r="P57" i="2" a="1"/>
  <c r="P67" i="2" a="1"/>
  <c r="Y65" i="2" a="1"/>
  <c r="T55" i="2" a="1"/>
  <c r="I61" i="2" a="1"/>
  <c r="Y52" i="2" a="1"/>
  <c r="R62" i="2" a="1"/>
  <c r="S66" i="2" a="1"/>
  <c r="S59" i="2" a="1"/>
  <c r="K68" i="2" a="1"/>
  <c r="Q57" i="2" a="1"/>
  <c r="M60" i="2" a="1"/>
  <c r="L56" i="2" a="1"/>
  <c r="X58" i="2" a="1"/>
  <c r="T61" i="2" a="1"/>
  <c r="V58" i="2" a="1"/>
  <c r="V64" i="2" a="1"/>
  <c r="K67" i="2" a="1"/>
  <c r="W61" i="2" a="1"/>
  <c r="U62" i="2" a="1"/>
  <c r="L58" i="2" a="1"/>
  <c r="P61" i="2" a="1"/>
  <c r="L68" i="2" a="1"/>
  <c r="T58" i="2" a="1"/>
  <c r="K58" i="2" a="1"/>
  <c r="M55" i="2" a="1"/>
  <c r="Y60" i="2" a="1"/>
  <c r="X62" i="2" a="1"/>
  <c r="X60" i="2" a="1"/>
  <c r="N57" i="2" a="1"/>
  <c r="N65" i="2" a="1"/>
  <c r="W67" i="2" a="1"/>
  <c r="O62" i="2" a="1"/>
  <c r="X64" i="2" a="1"/>
  <c r="M57" i="2" a="1"/>
  <c r="L62" i="2" a="1"/>
  <c r="T62" i="2" a="1"/>
  <c r="N56" i="2" a="1"/>
  <c r="N58" i="2" a="1"/>
  <c r="N60" i="2" a="1"/>
  <c r="N62" i="2" a="1"/>
  <c r="N64" i="2" a="1"/>
  <c r="N66" i="2" a="1"/>
  <c r="N68" i="2" a="1"/>
  <c r="O66" i="2" a="1"/>
  <c r="O55" i="2" a="1"/>
  <c r="O57" i="2" a="1"/>
  <c r="O59" i="2" a="1"/>
  <c r="O61" i="2" a="1"/>
  <c r="S63" i="2" a="1"/>
  <c r="S67" i="2" a="1"/>
  <c r="U59" i="2" a="1"/>
  <c r="P58" i="2" a="1"/>
  <c r="Q55" i="2" a="1"/>
  <c r="Q67" i="2" a="1"/>
  <c r="P68" i="2" a="1"/>
  <c r="M59" i="2" a="1"/>
  <c r="Q68" i="2" a="1"/>
  <c r="Q56" i="2" a="1"/>
  <c r="Y66" i="2" a="1"/>
  <c r="M67" i="2" a="1"/>
  <c r="X57" i="2" a="1"/>
  <c r="Y55" i="2" a="1"/>
  <c r="U68" i="2" a="1"/>
  <c r="L59" i="2" a="1"/>
  <c r="I65" i="2" a="1"/>
  <c r="R58" i="2" a="1"/>
  <c r="R64" i="2" a="1"/>
  <c r="R68" i="2" a="1"/>
  <c r="S55" i="2" a="1"/>
  <c r="S61" i="2" a="1"/>
  <c r="W63" i="2" a="1"/>
  <c r="P60" i="2" a="1"/>
  <c r="U55" i="2" a="1"/>
  <c r="P59" i="2" a="1"/>
  <c r="U67" i="2" a="1"/>
  <c r="L57" i="2" a="1"/>
  <c r="I58" i="2" a="1"/>
  <c r="V60" i="2" a="1"/>
  <c r="V66" i="2" a="1"/>
  <c r="W55" i="2" a="1"/>
  <c r="W59" i="2" a="1"/>
  <c r="W68" i="2" a="1"/>
  <c r="Q59" i="2" a="1"/>
  <c r="U60" i="2" a="1"/>
  <c r="T57" i="2" a="1"/>
  <c r="Q58" i="2" a="1"/>
  <c r="I66" i="2" a="1"/>
  <c r="K62" i="2" a="1"/>
  <c r="U63" i="2" a="1"/>
  <c r="L60" i="2" a="1"/>
  <c r="Q60" i="2" a="1"/>
  <c r="Y59" i="2" a="1"/>
  <c r="I63" i="2" a="1"/>
  <c r="N61" i="2" a="1"/>
  <c r="O64" i="2" a="1"/>
  <c r="O60" i="2" a="1"/>
  <c r="L55" i="2" a="1"/>
  <c r="M62" i="2" a="1"/>
  <c r="X55" i="2" a="1"/>
  <c r="I64" i="2" a="1"/>
  <c r="R56" i="2" a="1"/>
  <c r="R60" i="2" a="1"/>
  <c r="R66" i="2" a="1"/>
  <c r="S57" i="2" a="1"/>
  <c r="U61" i="2" a="1"/>
  <c r="T56" i="2" a="1"/>
  <c r="Y57" i="2" a="1"/>
  <c r="Y56" i="2" a="1"/>
  <c r="V62" i="2" a="1"/>
  <c r="V68" i="2" a="1"/>
  <c r="W57" i="2" a="1"/>
  <c r="K64" i="2" a="1"/>
  <c r="X61" i="2" a="1"/>
  <c r="M56" i="2" a="1"/>
  <c r="Y58" i="2" a="1"/>
  <c r="X59" i="2" a="1"/>
  <c r="L64" i="2" a="1"/>
  <c r="S64" i="2" a="1"/>
  <c r="P63" i="2" a="1"/>
  <c r="M61" i="2" a="1"/>
  <c r="T59" i="2" a="1"/>
  <c r="T60" i="2" a="1"/>
  <c r="N59" i="2" a="1"/>
  <c r="N67" i="2" a="1"/>
  <c r="O58" i="2" a="1"/>
  <c r="M64" i="2" a="1"/>
  <c r="L61" i="2" a="1"/>
  <c r="Y61" i="2" a="1"/>
  <c r="Q61" i="2" a="1"/>
  <c r="V56" i="2" a="1"/>
  <c r="Y187" i="2" a="1"/>
  <c r="J174" i="2" a="1"/>
  <c r="N174" i="2" a="1"/>
  <c r="R174" i="2" a="1"/>
  <c r="V174" i="2" a="1"/>
  <c r="J175" i="2" a="1"/>
  <c r="N175" i="2" a="1"/>
  <c r="R175" i="2" a="1"/>
  <c r="V175" i="2" a="1"/>
  <c r="J176" i="2" a="1"/>
  <c r="N176" i="2" a="1"/>
  <c r="R176" i="2" a="1"/>
  <c r="V176" i="2" a="1"/>
  <c r="J177" i="2" a="1"/>
  <c r="N177" i="2" a="1"/>
  <c r="R177" i="2" a="1"/>
  <c r="V177" i="2" a="1"/>
  <c r="J178" i="2" a="1"/>
  <c r="N178" i="2" a="1"/>
  <c r="R178" i="2" a="1"/>
  <c r="V178" i="2" a="1"/>
  <c r="J179" i="2" a="1"/>
  <c r="N179" i="2" a="1"/>
  <c r="R179" i="2" a="1"/>
  <c r="V179" i="2" a="1"/>
  <c r="J180" i="2" a="1"/>
  <c r="N180" i="2" a="1"/>
  <c r="R180" i="2" a="1"/>
  <c r="V180" i="2" a="1"/>
  <c r="J181" i="2" a="1"/>
  <c r="N181" i="2" a="1"/>
  <c r="R181" i="2" a="1"/>
  <c r="V181" i="2" a="1"/>
  <c r="J182" i="2" a="1"/>
  <c r="N182" i="2" a="1"/>
  <c r="R182" i="2" a="1"/>
  <c r="V182" i="2" a="1"/>
  <c r="J183" i="2" a="1"/>
  <c r="N183" i="2" a="1"/>
  <c r="R183" i="2" a="1"/>
  <c r="V183" i="2" a="1"/>
  <c r="J184" i="2" a="1"/>
  <c r="N184" i="2" a="1"/>
  <c r="R184" i="2" a="1"/>
  <c r="V184" i="2" a="1"/>
  <c r="J185" i="2" a="1"/>
  <c r="N185" i="2" a="1"/>
  <c r="R185" i="2" a="1"/>
  <c r="V185" i="2" a="1"/>
  <c r="J186" i="2" a="1"/>
  <c r="N186" i="2" a="1"/>
  <c r="R186" i="2" a="1"/>
  <c r="V186" i="2" a="1"/>
  <c r="J187" i="2" a="1"/>
  <c r="N187" i="2" a="1"/>
  <c r="R187" i="2" a="1"/>
  <c r="V187" i="2" a="1"/>
  <c r="T177" i="2" a="1"/>
  <c r="L180" i="2" a="1"/>
  <c r="L181" i="2" a="1"/>
  <c r="L182" i="2" a="1"/>
  <c r="L183" i="2" a="1"/>
  <c r="L184" i="2" a="1"/>
  <c r="L185" i="2" a="1"/>
  <c r="L186" i="2" a="1"/>
  <c r="L187" i="2" a="1"/>
  <c r="O184" i="2" a="1"/>
  <c r="W186" i="2" a="1"/>
  <c r="S187" i="2" a="1"/>
  <c r="X174" i="2" a="1"/>
  <c r="L177" i="2" a="1"/>
  <c r="L178" i="2" a="1"/>
  <c r="X178" i="2" a="1"/>
  <c r="T179" i="2" a="1"/>
  <c r="T180" i="2" a="1"/>
  <c r="X181" i="2" a="1"/>
  <c r="X182" i="2" a="1"/>
  <c r="X183" i="2" a="1"/>
  <c r="X184" i="2" a="1"/>
  <c r="X185" i="2" a="1"/>
  <c r="X186" i="2" a="1"/>
  <c r="X187" i="2" a="1"/>
  <c r="K174" i="2" a="1"/>
  <c r="O174" i="2" a="1"/>
  <c r="S174" i="2" a="1"/>
  <c r="W174" i="2" a="1"/>
  <c r="K175" i="2" a="1"/>
  <c r="O175" i="2" a="1"/>
  <c r="S175" i="2" a="1"/>
  <c r="W175" i="2" a="1"/>
  <c r="K176" i="2" a="1"/>
  <c r="O176" i="2" a="1"/>
  <c r="S176" i="2" a="1"/>
  <c r="W176" i="2" a="1"/>
  <c r="K177" i="2" a="1"/>
  <c r="O177" i="2" a="1"/>
  <c r="S177" i="2" a="1"/>
  <c r="W177" i="2" a="1"/>
  <c r="K178" i="2" a="1"/>
  <c r="O178" i="2" a="1"/>
  <c r="S178" i="2" a="1"/>
  <c r="W178" i="2" a="1"/>
  <c r="K179" i="2" a="1"/>
  <c r="O179" i="2" a="1"/>
  <c r="S179" i="2" a="1"/>
  <c r="W179" i="2" a="1"/>
  <c r="K180" i="2" a="1"/>
  <c r="O180" i="2" a="1"/>
  <c r="S180" i="2" a="1"/>
  <c r="W180" i="2" a="1"/>
  <c r="K181" i="2" a="1"/>
  <c r="O181" i="2" a="1"/>
  <c r="S181" i="2" a="1"/>
  <c r="W181" i="2" a="1"/>
  <c r="K182" i="2" a="1"/>
  <c r="O182" i="2" a="1"/>
  <c r="S182" i="2" a="1"/>
  <c r="W182" i="2" a="1"/>
  <c r="K183" i="2" a="1"/>
  <c r="O183" i="2" a="1"/>
  <c r="S183" i="2" a="1"/>
  <c r="W183" i="2" a="1"/>
  <c r="K184" i="2" a="1"/>
  <c r="S184" i="2" a="1"/>
  <c r="W184" i="2" a="1"/>
  <c r="K185" i="2" a="1"/>
  <c r="O185" i="2" a="1"/>
  <c r="S185" i="2" a="1"/>
  <c r="W185" i="2" a="1"/>
  <c r="K186" i="2" a="1"/>
  <c r="O186" i="2" a="1"/>
  <c r="S186" i="2" a="1"/>
  <c r="K187" i="2" a="1"/>
  <c r="O187" i="2" a="1"/>
  <c r="W187" i="2" a="1"/>
  <c r="L176" i="2" a="1"/>
  <c r="P178" i="2" a="1"/>
  <c r="L179" i="2" a="1"/>
  <c r="X179" i="2" a="1"/>
  <c r="X180" i="2" a="1"/>
  <c r="T181" i="2" a="1"/>
  <c r="T182" i="2" a="1"/>
  <c r="P183" i="2" a="1"/>
  <c r="P184" i="2" a="1"/>
  <c r="P185" i="2" a="1"/>
  <c r="P186" i="2" a="1"/>
  <c r="P187" i="2" a="1"/>
  <c r="L174" i="2" a="1"/>
  <c r="P174" i="2" a="1"/>
  <c r="T174" i="2" a="1"/>
  <c r="L175" i="2" a="1"/>
  <c r="P175" i="2" a="1"/>
  <c r="T175" i="2" a="1"/>
  <c r="X175" i="2" a="1"/>
  <c r="P176" i="2" a="1"/>
  <c r="T176" i="2" a="1"/>
  <c r="X176" i="2" a="1"/>
  <c r="P177" i="2" a="1"/>
  <c r="X177" i="2" a="1"/>
  <c r="T178" i="2" a="1"/>
  <c r="P179" i="2" a="1"/>
  <c r="P180" i="2" a="1"/>
  <c r="P181" i="2" a="1"/>
  <c r="P182" i="2" a="1"/>
  <c r="T183" i="2" a="1"/>
  <c r="T184" i="2" a="1"/>
  <c r="T185" i="2" a="1"/>
  <c r="T186" i="2" a="1"/>
  <c r="T187" i="2" a="1"/>
  <c r="M174" i="2" a="1"/>
  <c r="M175" i="2" a="1"/>
  <c r="M176" i="2" a="1"/>
  <c r="M177" i="2" a="1"/>
  <c r="M178" i="2" a="1"/>
  <c r="M179" i="2" a="1"/>
  <c r="M180" i="2" a="1"/>
  <c r="M181" i="2" a="1"/>
  <c r="M182" i="2" a="1"/>
  <c r="M183" i="2" a="1"/>
  <c r="M184" i="2" a="1"/>
  <c r="M185" i="2" a="1"/>
  <c r="M186" i="2" a="1"/>
  <c r="M187" i="2" a="1"/>
  <c r="U177" i="2" a="1"/>
  <c r="U180" i="2" a="1"/>
  <c r="U183" i="2" a="1"/>
  <c r="U186" i="2" a="1"/>
  <c r="Y175" i="2" a="1"/>
  <c r="Y179" i="2" a="1"/>
  <c r="Y183" i="2" a="1"/>
  <c r="Y186" i="2" a="1"/>
  <c r="Q182" i="2" a="1"/>
  <c r="Q187" i="2" a="1"/>
  <c r="U175" i="2" a="1"/>
  <c r="U178" i="2" a="1"/>
  <c r="U181" i="2" a="1"/>
  <c r="U184" i="2" a="1"/>
  <c r="U187" i="2" a="1"/>
  <c r="Y176" i="2" a="1"/>
  <c r="Y180" i="2" a="1"/>
  <c r="Y184" i="2" a="1"/>
  <c r="Q174" i="2" a="1"/>
  <c r="Q175" i="2" a="1"/>
  <c r="Q176" i="2" a="1"/>
  <c r="Q177" i="2" a="1"/>
  <c r="Q178" i="2" a="1"/>
  <c r="Q179" i="2" a="1"/>
  <c r="Q180" i="2" a="1"/>
  <c r="Q181" i="2" a="1"/>
  <c r="Q183" i="2" a="1"/>
  <c r="Q184" i="2" a="1"/>
  <c r="Q185" i="2" a="1"/>
  <c r="Q186" i="2" a="1"/>
  <c r="U176" i="2" a="1"/>
  <c r="U179" i="2" a="1"/>
  <c r="U182" i="2" a="1"/>
  <c r="U185" i="2" a="1"/>
  <c r="Y177" i="2" a="1"/>
  <c r="Y181" i="2" a="1"/>
  <c r="Y185" i="2" a="1"/>
  <c r="Y178" i="2" a="1"/>
  <c r="U174" i="2" a="1"/>
  <c r="Y174" i="2" a="1"/>
  <c r="Y182" i="2" a="1"/>
  <c r="I175" i="2" a="1"/>
  <c r="I179" i="2" a="1"/>
  <c r="I183" i="2" a="1"/>
  <c r="I187" i="2" a="1"/>
  <c r="I178" i="2" a="1"/>
  <c r="I177" i="2" a="1"/>
  <c r="I186" i="2" a="1"/>
  <c r="I176" i="2" a="1"/>
  <c r="I180" i="2" a="1"/>
  <c r="I184" i="2" a="1"/>
  <c r="I185" i="2" a="1"/>
  <c r="I182" i="2" a="1"/>
  <c r="I181" i="2" a="1"/>
  <c r="I174" i="2" a="1"/>
  <c r="J158" i="2" a="1"/>
  <c r="N158" i="2" a="1"/>
  <c r="R158" i="2" a="1"/>
  <c r="V158" i="2" a="1"/>
  <c r="J159" i="2" a="1"/>
  <c r="N159" i="2" a="1"/>
  <c r="R159" i="2" a="1"/>
  <c r="V159" i="2" a="1"/>
  <c r="J160" i="2" a="1"/>
  <c r="N160" i="2" a="1"/>
  <c r="R160" i="2" a="1"/>
  <c r="V160" i="2" a="1"/>
  <c r="J161" i="2" a="1"/>
  <c r="N161" i="2" a="1"/>
  <c r="R161" i="2" a="1"/>
  <c r="V161" i="2" a="1"/>
  <c r="J162" i="2" a="1"/>
  <c r="N162" i="2" a="1"/>
  <c r="R162" i="2" a="1"/>
  <c r="V162" i="2" a="1"/>
  <c r="J163" i="2" a="1"/>
  <c r="N163" i="2" a="1"/>
  <c r="R163" i="2" a="1"/>
  <c r="V163" i="2" a="1"/>
  <c r="J164" i="2" a="1"/>
  <c r="N164" i="2" a="1"/>
  <c r="R164" i="2" a="1"/>
  <c r="V164" i="2" a="1"/>
  <c r="J165" i="2" a="1"/>
  <c r="N165" i="2" a="1"/>
  <c r="R165" i="2" a="1"/>
  <c r="V165" i="2" a="1"/>
  <c r="J166" i="2" a="1"/>
  <c r="N166" i="2" a="1"/>
  <c r="R166" i="2" a="1"/>
  <c r="V166" i="2" a="1"/>
  <c r="J167" i="2" a="1"/>
  <c r="N167" i="2" a="1"/>
  <c r="V167" i="2" a="1"/>
  <c r="J168" i="2" a="1"/>
  <c r="N168" i="2" a="1"/>
  <c r="R168" i="2" a="1"/>
  <c r="V168" i="2" a="1"/>
  <c r="J169" i="2" a="1"/>
  <c r="N169" i="2" a="1"/>
  <c r="V169" i="2" a="1"/>
  <c r="J170" i="2" a="1"/>
  <c r="R170" i="2" a="1"/>
  <c r="J171" i="2" a="1"/>
  <c r="R171" i="2" a="1"/>
  <c r="L159" i="2" a="1"/>
  <c r="P161" i="2" a="1"/>
  <c r="L163" i="2" a="1"/>
  <c r="P164" i="2" a="1"/>
  <c r="T165" i="2" a="1"/>
  <c r="T166" i="2" a="1"/>
  <c r="P167" i="2" a="1"/>
  <c r="P168" i="2" a="1"/>
  <c r="X169" i="2" a="1"/>
  <c r="L171" i="2" a="1"/>
  <c r="M159" i="2" a="1"/>
  <c r="U161" i="2" a="1"/>
  <c r="Y162" i="2" a="1"/>
  <c r="M164" i="2" a="1"/>
  <c r="U165" i="2" a="1"/>
  <c r="Y167" i="2" a="1"/>
  <c r="U169" i="2" a="1"/>
  <c r="S167" i="2" a="1"/>
  <c r="S169" i="2" a="1"/>
  <c r="O170" i="2" a="1"/>
  <c r="W170" i="2" a="1"/>
  <c r="O171" i="2" a="1"/>
  <c r="W171" i="2" a="1"/>
  <c r="P158" i="2" a="1"/>
  <c r="T159" i="2" a="1"/>
  <c r="L160" i="2" a="1"/>
  <c r="X160" i="2" a="1"/>
  <c r="X161" i="2" a="1"/>
  <c r="T162" i="2" a="1"/>
  <c r="T163" i="2" a="1"/>
  <c r="T164" i="2" a="1"/>
  <c r="X165" i="2" a="1"/>
  <c r="X166" i="2" a="1"/>
  <c r="L168" i="2" a="1"/>
  <c r="P169" i="2" a="1"/>
  <c r="T170" i="2" a="1"/>
  <c r="X171" i="2" a="1"/>
  <c r="U158" i="2" a="1"/>
  <c r="Q160" i="2" a="1"/>
  <c r="M162" i="2" a="1"/>
  <c r="Q163" i="2" a="1"/>
  <c r="U164" i="2" a="1"/>
  <c r="Y165" i="2" a="1"/>
  <c r="U167" i="2" a="1"/>
  <c r="Y168" i="2" a="1"/>
  <c r="K158" i="2" a="1"/>
  <c r="O158" i="2" a="1"/>
  <c r="S158" i="2" a="1"/>
  <c r="W158" i="2" a="1"/>
  <c r="K159" i="2" a="1"/>
  <c r="O159" i="2" a="1"/>
  <c r="S159" i="2" a="1"/>
  <c r="W159" i="2" a="1"/>
  <c r="K160" i="2" a="1"/>
  <c r="O160" i="2" a="1"/>
  <c r="S160" i="2" a="1"/>
  <c r="W160" i="2" a="1"/>
  <c r="K161" i="2" a="1"/>
  <c r="O161" i="2" a="1"/>
  <c r="S161" i="2" a="1"/>
  <c r="W161" i="2" a="1"/>
  <c r="K162" i="2" a="1"/>
  <c r="O162" i="2" a="1"/>
  <c r="S162" i="2" a="1"/>
  <c r="W162" i="2" a="1"/>
  <c r="K163" i="2" a="1"/>
  <c r="O163" i="2" a="1"/>
  <c r="S163" i="2" a="1"/>
  <c r="W163" i="2" a="1"/>
  <c r="K164" i="2" a="1"/>
  <c r="O164" i="2" a="1"/>
  <c r="S164" i="2" a="1"/>
  <c r="W164" i="2" a="1"/>
  <c r="K165" i="2" a="1"/>
  <c r="O165" i="2" a="1"/>
  <c r="S165" i="2" a="1"/>
  <c r="W165" i="2" a="1"/>
  <c r="K166" i="2" a="1"/>
  <c r="O166" i="2" a="1"/>
  <c r="S166" i="2" a="1"/>
  <c r="W166" i="2" a="1"/>
  <c r="K167" i="2" a="1"/>
  <c r="O167" i="2" a="1"/>
  <c r="W167" i="2" a="1"/>
  <c r="K168" i="2" a="1"/>
  <c r="O168" i="2" a="1"/>
  <c r="S168" i="2" a="1"/>
  <c r="W168" i="2" a="1"/>
  <c r="K169" i="2" a="1"/>
  <c r="O169" i="2" a="1"/>
  <c r="W169" i="2" a="1"/>
  <c r="K170" i="2" a="1"/>
  <c r="S170" i="2" a="1"/>
  <c r="K171" i="2" a="1"/>
  <c r="S171" i="2" a="1"/>
  <c r="X158" i="2" a="1"/>
  <c r="L161" i="2" a="1"/>
  <c r="X162" i="2" a="1"/>
  <c r="L164" i="2" a="1"/>
  <c r="L165" i="2" a="1"/>
  <c r="P166" i="2" a="1"/>
  <c r="X167" i="2" a="1"/>
  <c r="X168" i="2" a="1"/>
  <c r="L170" i="2" a="1"/>
  <c r="P171" i="2" a="1"/>
  <c r="Y158" i="2" a="1"/>
  <c r="Q161" i="2" a="1"/>
  <c r="M163" i="2" a="1"/>
  <c r="Y164" i="2" a="1"/>
  <c r="Q166" i="2" a="1"/>
  <c r="U168" i="2" a="1"/>
  <c r="L158" i="2" a="1"/>
  <c r="P159" i="2" a="1"/>
  <c r="P160" i="2" a="1"/>
  <c r="L162" i="2" a="1"/>
  <c r="P163" i="2" a="1"/>
  <c r="X164" i="2" a="1"/>
  <c r="L167" i="2" a="1"/>
  <c r="L169" i="2" a="1"/>
  <c r="P170" i="2" a="1"/>
  <c r="T171" i="2" a="1"/>
  <c r="Q158" i="2" a="1"/>
  <c r="U159" i="2" a="1"/>
  <c r="Y159" i="2" a="1"/>
  <c r="Y160" i="2" a="1"/>
  <c r="U162" i="2" a="1"/>
  <c r="Y163" i="2" a="1"/>
  <c r="Q165" i="2" a="1"/>
  <c r="Q167" i="2" a="1"/>
  <c r="Q168" i="2" a="1"/>
  <c r="M170" i="2" a="1"/>
  <c r="M160" i="2" a="1"/>
  <c r="U166" i="2" a="1"/>
  <c r="M169" i="2" a="1"/>
  <c r="M161" i="2" a="1"/>
  <c r="Y166" i="2" a="1"/>
  <c r="Q169" i="2" a="1"/>
  <c r="M158" i="2" a="1"/>
  <c r="Y161" i="2" a="1"/>
  <c r="Q164" i="2" a="1"/>
  <c r="M167" i="2" a="1"/>
  <c r="Y169" i="2" a="1"/>
  <c r="R167" i="2" a="1"/>
  <c r="R169" i="2" a="1"/>
  <c r="N170" i="2" a="1"/>
  <c r="V170" i="2" a="1"/>
  <c r="N171" i="2" a="1"/>
  <c r="V171" i="2" a="1"/>
  <c r="T158" i="2" a="1"/>
  <c r="X159" i="2" a="1"/>
  <c r="T160" i="2" a="1"/>
  <c r="T161" i="2" a="1"/>
  <c r="P162" i="2" a="1"/>
  <c r="X163" i="2" a="1"/>
  <c r="P165" i="2" a="1"/>
  <c r="L166" i="2" a="1"/>
  <c r="T167" i="2" a="1"/>
  <c r="T168" i="2" a="1"/>
  <c r="T169" i="2" a="1"/>
  <c r="X170" i="2" a="1"/>
  <c r="Q159" i="2" a="1"/>
  <c r="U160" i="2" a="1"/>
  <c r="Q162" i="2" a="1"/>
  <c r="U163" i="2" a="1"/>
  <c r="M165" i="2" a="1"/>
  <c r="M166" i="2" a="1"/>
  <c r="M168" i="2" a="1"/>
  <c r="Q170" i="2" a="1"/>
  <c r="M171" i="2" a="1"/>
  <c r="U170" i="2" a="1"/>
  <c r="Y170" i="2" a="1"/>
  <c r="Y171" i="2" a="1"/>
  <c r="Q171" i="2" a="1"/>
  <c r="U171" i="2" a="1"/>
  <c r="I159" i="2" a="1"/>
  <c r="I163" i="2" a="1"/>
  <c r="I167" i="2" a="1"/>
  <c r="I171" i="2" a="1"/>
  <c r="I165" i="2" a="1"/>
  <c r="I170" i="2" a="1"/>
  <c r="I160" i="2" a="1"/>
  <c r="I164" i="2" a="1"/>
  <c r="I168" i="2" a="1"/>
  <c r="I169" i="2" a="1"/>
  <c r="I166" i="2" a="1"/>
  <c r="I161" i="2" a="1"/>
  <c r="I162" i="2" a="1"/>
  <c r="I158" i="2" a="1"/>
  <c r="Y155" i="2" a="1"/>
  <c r="J142" i="2" a="1"/>
  <c r="N142" i="2" a="1"/>
  <c r="R142" i="2" a="1"/>
  <c r="V142" i="2" a="1"/>
  <c r="J143" i="2" a="1"/>
  <c r="N143" i="2" a="1"/>
  <c r="R143" i="2" a="1"/>
  <c r="V143" i="2" a="1"/>
  <c r="J144" i="2" a="1"/>
  <c r="N144" i="2" a="1"/>
  <c r="R144" i="2" a="1"/>
  <c r="V144" i="2" a="1"/>
  <c r="J145" i="2" a="1"/>
  <c r="N145" i="2" a="1"/>
  <c r="R145" i="2" a="1"/>
  <c r="V145" i="2" a="1"/>
  <c r="J146" i="2" a="1"/>
  <c r="N146" i="2" a="1"/>
  <c r="R146" i="2" a="1"/>
  <c r="V146" i="2" a="1"/>
  <c r="J147" i="2" a="1"/>
  <c r="N147" i="2" a="1"/>
  <c r="R147" i="2" a="1"/>
  <c r="V147" i="2" a="1"/>
  <c r="J148" i="2" a="1"/>
  <c r="N148" i="2" a="1"/>
  <c r="R148" i="2" a="1"/>
  <c r="V148" i="2" a="1"/>
  <c r="J149" i="2" a="1"/>
  <c r="N149" i="2" a="1"/>
  <c r="R149" i="2" a="1"/>
  <c r="V149" i="2" a="1"/>
  <c r="J150" i="2" a="1"/>
  <c r="N150" i="2" a="1"/>
  <c r="R150" i="2" a="1"/>
  <c r="V150" i="2" a="1"/>
  <c r="J151" i="2" a="1"/>
  <c r="N151" i="2" a="1"/>
  <c r="R151" i="2" a="1"/>
  <c r="V151" i="2" a="1"/>
  <c r="J152" i="2" a="1"/>
  <c r="N152" i="2" a="1"/>
  <c r="R152" i="2" a="1"/>
  <c r="V152" i="2" a="1"/>
  <c r="J153" i="2" a="1"/>
  <c r="N153" i="2" a="1"/>
  <c r="R153" i="2" a="1"/>
  <c r="V153" i="2" a="1"/>
  <c r="J154" i="2" a="1"/>
  <c r="N154" i="2" a="1"/>
  <c r="R154" i="2" a="1"/>
  <c r="V154" i="2" a="1"/>
  <c r="J155" i="2" a="1"/>
  <c r="N155" i="2" a="1"/>
  <c r="R155" i="2" a="1"/>
  <c r="V155" i="2" a="1"/>
  <c r="X142" i="2" a="1"/>
  <c r="P143" i="2" a="1"/>
  <c r="X143" i="2" a="1"/>
  <c r="L144" i="2" a="1"/>
  <c r="T144" i="2" a="1"/>
  <c r="L145" i="2" a="1"/>
  <c r="T145" i="2" a="1"/>
  <c r="L146" i="2" a="1"/>
  <c r="L147" i="2" a="1"/>
  <c r="T147" i="2" a="1"/>
  <c r="T148" i="2" a="1"/>
  <c r="P149" i="2" a="1"/>
  <c r="P150" i="2" a="1"/>
  <c r="P151" i="2" a="1"/>
  <c r="T152" i="2" a="1"/>
  <c r="T153" i="2" a="1"/>
  <c r="T154" i="2" a="1"/>
  <c r="T155" i="2" a="1"/>
  <c r="Y142" i="2" a="1"/>
  <c r="Y143" i="2" a="1"/>
  <c r="Y144" i="2" a="1"/>
  <c r="Y145" i="2" a="1"/>
  <c r="M147" i="2" a="1"/>
  <c r="Y147" i="2" a="1"/>
  <c r="Q149" i="2" a="1"/>
  <c r="Q150" i="2" a="1"/>
  <c r="Q151" i="2" a="1"/>
  <c r="U152" i="2" a="1"/>
  <c r="U153" i="2" a="1"/>
  <c r="U154" i="2" a="1"/>
  <c r="T142" i="2" a="1"/>
  <c r="P146" i="2" a="1"/>
  <c r="X147" i="2" a="1"/>
  <c r="L149" i="2" a="1"/>
  <c r="L150" i="2" a="1"/>
  <c r="L151" i="2" a="1"/>
  <c r="L152" i="2" a="1"/>
  <c r="L153" i="2" a="1"/>
  <c r="L154" i="2" a="1"/>
  <c r="L155" i="2" a="1"/>
  <c r="X155" i="2" a="1"/>
  <c r="M142" i="2" a="1"/>
  <c r="Q143" i="2" a="1"/>
  <c r="Q144" i="2" a="1"/>
  <c r="Q145" i="2" a="1"/>
  <c r="Y146" i="2" a="1"/>
  <c r="U148" i="2" a="1"/>
  <c r="U149" i="2" a="1"/>
  <c r="U150" i="2" a="1"/>
  <c r="U151" i="2" a="1"/>
  <c r="Q152" i="2" a="1"/>
  <c r="Q153" i="2" a="1"/>
  <c r="K142" i="2" a="1"/>
  <c r="O142" i="2" a="1"/>
  <c r="S142" i="2" a="1"/>
  <c r="W142" i="2" a="1"/>
  <c r="K143" i="2" a="1"/>
  <c r="O143" i="2" a="1"/>
  <c r="S143" i="2" a="1"/>
  <c r="W143" i="2" a="1"/>
  <c r="K144" i="2" a="1"/>
  <c r="O144" i="2" a="1"/>
  <c r="S144" i="2" a="1"/>
  <c r="W144" i="2" a="1"/>
  <c r="K145" i="2" a="1"/>
  <c r="O145" i="2" a="1"/>
  <c r="S145" i="2" a="1"/>
  <c r="W145" i="2" a="1"/>
  <c r="K146" i="2" a="1"/>
  <c r="O146" i="2" a="1"/>
  <c r="S146" i="2" a="1"/>
  <c r="W146" i="2" a="1"/>
  <c r="K147" i="2" a="1"/>
  <c r="O147" i="2" a="1"/>
  <c r="S147" i="2" a="1"/>
  <c r="W147" i="2" a="1"/>
  <c r="K148" i="2" a="1"/>
  <c r="O148" i="2" a="1"/>
  <c r="S148" i="2" a="1"/>
  <c r="W148" i="2" a="1"/>
  <c r="K149" i="2" a="1"/>
  <c r="O149" i="2" a="1"/>
  <c r="S149" i="2" a="1"/>
  <c r="W149" i="2" a="1"/>
  <c r="K150" i="2" a="1"/>
  <c r="O150" i="2" a="1"/>
  <c r="S150" i="2" a="1"/>
  <c r="W150" i="2" a="1"/>
  <c r="K151" i="2" a="1"/>
  <c r="O151" i="2" a="1"/>
  <c r="S151" i="2" a="1"/>
  <c r="W151" i="2" a="1"/>
  <c r="K152" i="2" a="1"/>
  <c r="O152" i="2" a="1"/>
  <c r="S152" i="2" a="1"/>
  <c r="W152" i="2" a="1"/>
  <c r="K153" i="2" a="1"/>
  <c r="O153" i="2" a="1"/>
  <c r="S153" i="2" a="1"/>
  <c r="W153" i="2" a="1"/>
  <c r="K154" i="2" a="1"/>
  <c r="O154" i="2" a="1"/>
  <c r="S154" i="2" a="1"/>
  <c r="W154" i="2" a="1"/>
  <c r="K155" i="2" a="1"/>
  <c r="O155" i="2" a="1"/>
  <c r="S155" i="2" a="1"/>
  <c r="W155" i="2" a="1"/>
  <c r="P142" i="2" a="1"/>
  <c r="L143" i="2" a="1"/>
  <c r="T143" i="2" a="1"/>
  <c r="P144" i="2" a="1"/>
  <c r="X144" i="2" a="1"/>
  <c r="P145" i="2" a="1"/>
  <c r="X145" i="2" a="1"/>
  <c r="T146" i="2" a="1"/>
  <c r="P147" i="2" a="1"/>
  <c r="L148" i="2" a="1"/>
  <c r="X148" i="2" a="1"/>
  <c r="X149" i="2" a="1"/>
  <c r="T150" i="2" a="1"/>
  <c r="T151" i="2" a="1"/>
  <c r="P152" i="2" a="1"/>
  <c r="P153" i="2" a="1"/>
  <c r="P154" i="2" a="1"/>
  <c r="P155" i="2" a="1"/>
  <c r="U142" i="2" a="1"/>
  <c r="M143" i="2" a="1"/>
  <c r="M144" i="2" a="1"/>
  <c r="M145" i="2" a="1"/>
  <c r="Q146" i="2" a="1"/>
  <c r="U147" i="2" a="1"/>
  <c r="Q148" i="2" a="1"/>
  <c r="M149" i="2" a="1"/>
  <c r="M150" i="2" a="1"/>
  <c r="M151" i="2" a="1"/>
  <c r="M152" i="2" a="1"/>
  <c r="M153" i="2" a="1"/>
  <c r="Q154" i="2" a="1"/>
  <c r="L142" i="2" a="1"/>
  <c r="X146" i="2" a="1"/>
  <c r="P148" i="2" a="1"/>
  <c r="T149" i="2" a="1"/>
  <c r="X150" i="2" a="1"/>
  <c r="X151" i="2" a="1"/>
  <c r="X152" i="2" a="1"/>
  <c r="X153" i="2" a="1"/>
  <c r="X154" i="2" a="1"/>
  <c r="Q142" i="2" a="1"/>
  <c r="U143" i="2" a="1"/>
  <c r="U144" i="2" a="1"/>
  <c r="U145" i="2" a="1"/>
  <c r="M146" i="2" a="1"/>
  <c r="Q147" i="2" a="1"/>
  <c r="M148" i="2" a="1"/>
  <c r="Y148" i="2" a="1"/>
  <c r="Y149" i="2" a="1"/>
  <c r="Y150" i="2" a="1"/>
  <c r="Y151" i="2" a="1"/>
  <c r="Y152" i="2" a="1"/>
  <c r="M154" i="2" a="1"/>
  <c r="Y153" i="2" a="1"/>
  <c r="Q155" i="2" a="1"/>
  <c r="U146" i="2" a="1"/>
  <c r="U155" i="2" a="1"/>
  <c r="M155" i="2" a="1"/>
  <c r="Y154" i="2" a="1"/>
  <c r="I143" i="2" a="1"/>
  <c r="I147" i="2" a="1"/>
  <c r="I151" i="2" a="1"/>
  <c r="I155" i="2" a="1"/>
  <c r="I153" i="2" a="1"/>
  <c r="I154" i="2" a="1"/>
  <c r="I144" i="2" a="1"/>
  <c r="I148" i="2" a="1"/>
  <c r="I152" i="2" a="1"/>
  <c r="I149" i="2" a="1"/>
  <c r="I146" i="2" a="1"/>
  <c r="I145" i="2" a="1"/>
  <c r="I150" i="2" a="1"/>
  <c r="I142" i="2" a="1"/>
  <c r="J126" i="2" a="1"/>
  <c r="N126" i="2" a="1"/>
  <c r="R126" i="2" a="1"/>
  <c r="V126" i="2" a="1"/>
  <c r="J127" i="2" a="1"/>
  <c r="N127" i="2" a="1"/>
  <c r="R127" i="2" a="1"/>
  <c r="V127" i="2" a="1"/>
  <c r="J128" i="2" a="1"/>
  <c r="N128" i="2" a="1"/>
  <c r="R128" i="2" a="1"/>
  <c r="V128" i="2" a="1"/>
  <c r="J129" i="2" a="1"/>
  <c r="N129" i="2" a="1"/>
  <c r="R129" i="2" a="1"/>
  <c r="V129" i="2" a="1"/>
  <c r="J130" i="2" a="1"/>
  <c r="N130" i="2" a="1"/>
  <c r="R130" i="2" a="1"/>
  <c r="V130" i="2" a="1"/>
  <c r="J131" i="2" a="1"/>
  <c r="N131" i="2" a="1"/>
  <c r="R131" i="2" a="1"/>
  <c r="V131" i="2" a="1"/>
  <c r="J132" i="2" a="1"/>
  <c r="N132" i="2" a="1"/>
  <c r="R132" i="2" a="1"/>
  <c r="V132" i="2" a="1"/>
  <c r="J133" i="2" a="1"/>
  <c r="N133" i="2" a="1"/>
  <c r="R133" i="2" a="1"/>
  <c r="V133" i="2" a="1"/>
  <c r="J134" i="2" a="1"/>
  <c r="N134" i="2" a="1"/>
  <c r="R134" i="2" a="1"/>
  <c r="V134" i="2" a="1"/>
  <c r="J135" i="2" a="1"/>
  <c r="N135" i="2" a="1"/>
  <c r="R135" i="2" a="1"/>
  <c r="V135" i="2" a="1"/>
  <c r="J136" i="2" a="1"/>
  <c r="N136" i="2" a="1"/>
  <c r="R136" i="2" a="1"/>
  <c r="V136" i="2" a="1"/>
  <c r="J137" i="2" a="1"/>
  <c r="N137" i="2" a="1"/>
  <c r="R137" i="2" a="1"/>
  <c r="V137" i="2" a="1"/>
  <c r="J138" i="2" a="1"/>
  <c r="N138" i="2" a="1"/>
  <c r="R138" i="2" a="1"/>
  <c r="V138" i="2" a="1"/>
  <c r="J139" i="2" a="1"/>
  <c r="N139" i="2" a="1"/>
  <c r="R139" i="2" a="1"/>
  <c r="V139" i="2" a="1"/>
  <c r="T126" i="2" a="1"/>
  <c r="T127" i="2" a="1"/>
  <c r="P128" i="2" a="1"/>
  <c r="L129" i="2" a="1"/>
  <c r="X129" i="2" a="1"/>
  <c r="T130" i="2" a="1"/>
  <c r="P131" i="2" a="1"/>
  <c r="L132" i="2" a="1"/>
  <c r="X132" i="2" a="1"/>
  <c r="T133" i="2" a="1"/>
  <c r="P134" i="2" a="1"/>
  <c r="L135" i="2" a="1"/>
  <c r="X135" i="2" a="1"/>
  <c r="P136" i="2" a="1"/>
  <c r="L137" i="2" a="1"/>
  <c r="X137" i="2" a="1"/>
  <c r="T138" i="2" a="1"/>
  <c r="P139" i="2" a="1"/>
  <c r="S136" i="2" a="1"/>
  <c r="O138" i="2" a="1"/>
  <c r="K139" i="2" a="1"/>
  <c r="S139" i="2" a="1"/>
  <c r="L126" i="2" a="1"/>
  <c r="X126" i="2" a="1"/>
  <c r="L127" i="2" a="1"/>
  <c r="P127" i="2" a="1"/>
  <c r="L128" i="2" a="1"/>
  <c r="T128" i="2" a="1"/>
  <c r="P129" i="2" a="1"/>
  <c r="L130" i="2" a="1"/>
  <c r="X130" i="2" a="1"/>
  <c r="T131" i="2" a="1"/>
  <c r="P132" i="2" a="1"/>
  <c r="L133" i="2" a="1"/>
  <c r="X133" i="2" a="1"/>
  <c r="T134" i="2" a="1"/>
  <c r="P135" i="2" a="1"/>
  <c r="L136" i="2" a="1"/>
  <c r="X136" i="2" a="1"/>
  <c r="T137" i="2" a="1"/>
  <c r="P138" i="2" a="1"/>
  <c r="L139" i="2" a="1"/>
  <c r="X139" i="2" a="1"/>
  <c r="K126" i="2" a="1"/>
  <c r="O126" i="2" a="1"/>
  <c r="S126" i="2" a="1"/>
  <c r="W126" i="2" a="1"/>
  <c r="K127" i="2" a="1"/>
  <c r="O127" i="2" a="1"/>
  <c r="S127" i="2" a="1"/>
  <c r="W127" i="2" a="1"/>
  <c r="K128" i="2" a="1"/>
  <c r="O128" i="2" a="1"/>
  <c r="S128" i="2" a="1"/>
  <c r="W128" i="2" a="1"/>
  <c r="K129" i="2" a="1"/>
  <c r="O129" i="2" a="1"/>
  <c r="S129" i="2" a="1"/>
  <c r="W129" i="2" a="1"/>
  <c r="K130" i="2" a="1"/>
  <c r="O130" i="2" a="1"/>
  <c r="S130" i="2" a="1"/>
  <c r="W130" i="2" a="1"/>
  <c r="K131" i="2" a="1"/>
  <c r="O131" i="2" a="1"/>
  <c r="S131" i="2" a="1"/>
  <c r="W131" i="2" a="1"/>
  <c r="K132" i="2" a="1"/>
  <c r="O132" i="2" a="1"/>
  <c r="S132" i="2" a="1"/>
  <c r="W132" i="2" a="1"/>
  <c r="K133" i="2" a="1"/>
  <c r="O133" i="2" a="1"/>
  <c r="S133" i="2" a="1"/>
  <c r="W133" i="2" a="1"/>
  <c r="K134" i="2" a="1"/>
  <c r="O134" i="2" a="1"/>
  <c r="S134" i="2" a="1"/>
  <c r="W134" i="2" a="1"/>
  <c r="K135" i="2" a="1"/>
  <c r="O135" i="2" a="1"/>
  <c r="S135" i="2" a="1"/>
  <c r="W135" i="2" a="1"/>
  <c r="K136" i="2" a="1"/>
  <c r="O136" i="2" a="1"/>
  <c r="W136" i="2" a="1"/>
  <c r="K137" i="2" a="1"/>
  <c r="O137" i="2" a="1"/>
  <c r="S137" i="2" a="1"/>
  <c r="W137" i="2" a="1"/>
  <c r="K138" i="2" a="1"/>
  <c r="S138" i="2" a="1"/>
  <c r="W138" i="2" a="1"/>
  <c r="O139" i="2" a="1"/>
  <c r="W139" i="2" a="1"/>
  <c r="P126" i="2" a="1"/>
  <c r="X127" i="2" a="1"/>
  <c r="X128" i="2" a="1"/>
  <c r="T129" i="2" a="1"/>
  <c r="P130" i="2" a="1"/>
  <c r="L131" i="2" a="1"/>
  <c r="X131" i="2" a="1"/>
  <c r="T132" i="2" a="1"/>
  <c r="P133" i="2" a="1"/>
  <c r="L134" i="2" a="1"/>
  <c r="X134" i="2" a="1"/>
  <c r="T135" i="2" a="1"/>
  <c r="T136" i="2" a="1"/>
  <c r="P137" i="2" a="1"/>
  <c r="L138" i="2" a="1"/>
  <c r="X138" i="2" a="1"/>
  <c r="T139" i="2" a="1"/>
  <c r="M126" i="2" a="1"/>
  <c r="Q126" i="2" a="1"/>
  <c r="U126" i="2" a="1"/>
  <c r="Y126" i="2" a="1"/>
  <c r="M127" i="2" a="1"/>
  <c r="Q127" i="2" a="1"/>
  <c r="U127" i="2" a="1"/>
  <c r="Y127" i="2" a="1"/>
  <c r="M128" i="2" a="1"/>
  <c r="Q128" i="2" a="1"/>
  <c r="U128" i="2" a="1"/>
  <c r="Y128" i="2" a="1"/>
  <c r="M129" i="2" a="1"/>
  <c r="Q129" i="2" a="1"/>
  <c r="U129" i="2" a="1"/>
  <c r="Y129" i="2" a="1"/>
  <c r="M130" i="2" a="1"/>
  <c r="Q130" i="2" a="1"/>
  <c r="U130" i="2" a="1"/>
  <c r="Y130" i="2" a="1"/>
  <c r="M131" i="2" a="1"/>
  <c r="Q131" i="2" a="1"/>
  <c r="U131" i="2" a="1"/>
  <c r="Y131" i="2" a="1"/>
  <c r="M132" i="2" a="1"/>
  <c r="Q132" i="2" a="1"/>
  <c r="U132" i="2" a="1"/>
  <c r="Y132" i="2" a="1"/>
  <c r="M133" i="2" a="1"/>
  <c r="Q133" i="2" a="1"/>
  <c r="U133" i="2" a="1"/>
  <c r="Y133" i="2" a="1"/>
  <c r="M134" i="2" a="1"/>
  <c r="Q134" i="2" a="1"/>
  <c r="U134" i="2" a="1"/>
  <c r="Y134" i="2" a="1"/>
  <c r="M135" i="2" a="1"/>
  <c r="Q135" i="2" a="1"/>
  <c r="U135" i="2" a="1"/>
  <c r="Y135" i="2" a="1"/>
  <c r="M136" i="2" a="1"/>
  <c r="Q136" i="2" a="1"/>
  <c r="U136" i="2" a="1"/>
  <c r="Y136" i="2" a="1"/>
  <c r="M137" i="2" a="1"/>
  <c r="Q137" i="2" a="1"/>
  <c r="U137" i="2" a="1"/>
  <c r="Y137" i="2" a="1"/>
  <c r="M138" i="2" a="1"/>
  <c r="Q138" i="2" a="1"/>
  <c r="U138" i="2" a="1"/>
  <c r="Y138" i="2" a="1"/>
  <c r="M139" i="2" a="1"/>
  <c r="Q139" i="2" a="1"/>
  <c r="U139" i="2" a="1"/>
  <c r="Y139" i="2" a="1"/>
  <c r="I127" i="2" a="1"/>
  <c r="I131" i="2" a="1"/>
  <c r="I135" i="2" a="1"/>
  <c r="I139" i="2" a="1"/>
  <c r="I130" i="2" a="1"/>
  <c r="I137" i="2" a="1"/>
  <c r="I128" i="2" a="1"/>
  <c r="I132" i="2" a="1"/>
  <c r="I136" i="2" a="1"/>
  <c r="I129" i="2" a="1"/>
  <c r="I134" i="2" a="1"/>
  <c r="I133" i="2" a="1"/>
  <c r="I138" i="2" a="1"/>
  <c r="I126" i="2" a="1"/>
  <c r="I111" i="2" a="1"/>
  <c r="M111" i="2" a="1"/>
  <c r="Q111" i="2" a="1"/>
  <c r="U111" i="2" a="1"/>
  <c r="Y111" i="2" a="1"/>
  <c r="L112" i="2" a="1"/>
  <c r="P112" i="2" a="1"/>
  <c r="T112" i="2" a="1"/>
  <c r="X112" i="2" a="1"/>
  <c r="K113" i="2" a="1"/>
  <c r="O113" i="2" a="1"/>
  <c r="S113" i="2" a="1"/>
  <c r="W113" i="2" a="1"/>
  <c r="J114" i="2" a="1"/>
  <c r="N114" i="2" a="1"/>
  <c r="R114" i="2" a="1"/>
  <c r="V114" i="2" a="1"/>
  <c r="I115" i="2" a="1"/>
  <c r="M115" i="2" a="1"/>
  <c r="Q115" i="2" a="1"/>
  <c r="U115" i="2" a="1"/>
  <c r="Y115" i="2" a="1"/>
  <c r="L116" i="2" a="1"/>
  <c r="P116" i="2" a="1"/>
  <c r="T116" i="2" a="1"/>
  <c r="X116" i="2" a="1"/>
  <c r="K117" i="2" a="1"/>
  <c r="O117" i="2" a="1"/>
  <c r="S117" i="2" a="1"/>
  <c r="W117" i="2" a="1"/>
  <c r="J118" i="2" a="1"/>
  <c r="N118" i="2" a="1"/>
  <c r="R118" i="2" a="1"/>
  <c r="V118" i="2" a="1"/>
  <c r="I119" i="2" a="1"/>
  <c r="M119" i="2" a="1"/>
  <c r="Q119" i="2" a="1"/>
  <c r="U119" i="2" a="1"/>
  <c r="Y119" i="2" a="1"/>
  <c r="L120" i="2" a="1"/>
  <c r="P120" i="2" a="1"/>
  <c r="T120" i="2" a="1"/>
  <c r="X120" i="2" a="1"/>
  <c r="K121" i="2" a="1"/>
  <c r="O121" i="2" a="1"/>
  <c r="S121" i="2" a="1"/>
  <c r="W121" i="2" a="1"/>
  <c r="J122" i="2" a="1"/>
  <c r="R122" i="2" a="1"/>
  <c r="V122" i="2" a="1"/>
  <c r="I123" i="2" a="1"/>
  <c r="M123" i="2" a="1"/>
  <c r="Q123" i="2" a="1"/>
  <c r="U123" i="2" a="1"/>
  <c r="Y123" i="2" a="1"/>
  <c r="S111" i="2" a="1"/>
  <c r="N112" i="2" a="1"/>
  <c r="M113" i="2" a="1"/>
  <c r="L114" i="2" a="1"/>
  <c r="K115" i="2" a="1"/>
  <c r="J116" i="2" a="1"/>
  <c r="I117" i="2" a="1"/>
  <c r="L118" i="2" a="1"/>
  <c r="K119" i="2" a="1"/>
  <c r="W119" i="2" a="1"/>
  <c r="V120" i="2" a="1"/>
  <c r="Q121" i="2" a="1"/>
  <c r="P122" i="2" a="1"/>
  <c r="O123" i="2" a="1"/>
  <c r="O122" i="2" a="1"/>
  <c r="W111" i="2" a="1"/>
  <c r="I113" i="2" a="1"/>
  <c r="Y113" i="2" a="1"/>
  <c r="X114" i="2" a="1"/>
  <c r="W115" i="2" a="1"/>
  <c r="V116" i="2" a="1"/>
  <c r="U117" i="2" a="1"/>
  <c r="P118" i="2" a="1"/>
  <c r="O119" i="2" a="1"/>
  <c r="N120" i="2" a="1"/>
  <c r="M121" i="2" a="1"/>
  <c r="L122" i="2" a="1"/>
  <c r="J111" i="2" a="1"/>
  <c r="N111" i="2" a="1"/>
  <c r="R111" i="2" a="1"/>
  <c r="V111" i="2" a="1"/>
  <c r="I112" i="2" a="1"/>
  <c r="M112" i="2" a="1"/>
  <c r="Q112" i="2" a="1"/>
  <c r="U112" i="2" a="1"/>
  <c r="Y112" i="2" a="1"/>
  <c r="L113" i="2" a="1"/>
  <c r="P113" i="2" a="1"/>
  <c r="T113" i="2" a="1"/>
  <c r="X113" i="2" a="1"/>
  <c r="K114" i="2" a="1"/>
  <c r="O114" i="2" a="1"/>
  <c r="S114" i="2" a="1"/>
  <c r="W114" i="2" a="1"/>
  <c r="J115" i="2" a="1"/>
  <c r="N115" i="2" a="1"/>
  <c r="R115" i="2" a="1"/>
  <c r="V115" i="2" a="1"/>
  <c r="I116" i="2" a="1"/>
  <c r="M116" i="2" a="1"/>
  <c r="Q116" i="2" a="1"/>
  <c r="U116" i="2" a="1"/>
  <c r="Y116" i="2" a="1"/>
  <c r="L117" i="2" a="1"/>
  <c r="P117" i="2" a="1"/>
  <c r="T117" i="2" a="1"/>
  <c r="X117" i="2" a="1"/>
  <c r="K118" i="2" a="1"/>
  <c r="O118" i="2" a="1"/>
  <c r="S118" i="2" a="1"/>
  <c r="W118" i="2" a="1"/>
  <c r="J119" i="2" a="1"/>
  <c r="N119" i="2" a="1"/>
  <c r="R119" i="2" a="1"/>
  <c r="V119" i="2" a="1"/>
  <c r="I120" i="2" a="1"/>
  <c r="M120" i="2" a="1"/>
  <c r="Q120" i="2" a="1"/>
  <c r="U120" i="2" a="1"/>
  <c r="Y120" i="2" a="1"/>
  <c r="L121" i="2" a="1"/>
  <c r="P121" i="2" a="1"/>
  <c r="T121" i="2" a="1"/>
  <c r="X121" i="2" a="1"/>
  <c r="K122" i="2" a="1"/>
  <c r="S122" i="2" a="1"/>
  <c r="W122" i="2" a="1"/>
  <c r="J123" i="2" a="1"/>
  <c r="N123" i="2" a="1"/>
  <c r="R123" i="2" a="1"/>
  <c r="V123" i="2" a="1"/>
  <c r="J112" i="2" a="1"/>
  <c r="R112" i="2" a="1"/>
  <c r="Q113" i="2" a="1"/>
  <c r="P114" i="2" a="1"/>
  <c r="O115" i="2" a="1"/>
  <c r="N116" i="2" a="1"/>
  <c r="M117" i="2" a="1"/>
  <c r="Y117" i="2" a="1"/>
  <c r="X118" i="2" a="1"/>
  <c r="J120" i="2" a="1"/>
  <c r="I121" i="2" a="1"/>
  <c r="Y121" i="2" a="1"/>
  <c r="X122" i="2" a="1"/>
  <c r="K111" i="2" a="1"/>
  <c r="N122" i="2" a="1"/>
  <c r="O111" i="2" a="1"/>
  <c r="V112" i="2" a="1"/>
  <c r="U113" i="2" a="1"/>
  <c r="T114" i="2" a="1"/>
  <c r="S115" i="2" a="1"/>
  <c r="R116" i="2" a="1"/>
  <c r="Q117" i="2" a="1"/>
  <c r="T118" i="2" a="1"/>
  <c r="S119" i="2" a="1"/>
  <c r="R120" i="2" a="1"/>
  <c r="U121" i="2" a="1"/>
  <c r="T122" i="2" a="1"/>
  <c r="S123" i="2" a="1"/>
  <c r="L123" i="2" a="1"/>
  <c r="S120" i="2" a="1"/>
  <c r="N113" i="2" a="1"/>
  <c r="K116" i="2" a="1"/>
  <c r="I118" i="2" a="1"/>
  <c r="V121" i="2" a="1"/>
  <c r="O116" i="2" a="1"/>
  <c r="K120" i="2" a="1"/>
  <c r="W123" i="2" a="1"/>
  <c r="L111" i="2" a="1"/>
  <c r="K112" i="2" a="1"/>
  <c r="J113" i="2" a="1"/>
  <c r="I114" i="2" a="1"/>
  <c r="Y114" i="2" a="1"/>
  <c r="X115" i="2" a="1"/>
  <c r="W116" i="2" a="1"/>
  <c r="V117" i="2" a="1"/>
  <c r="U118" i="2" a="1"/>
  <c r="T119" i="2" a="1"/>
  <c r="R121" i="2" a="1"/>
  <c r="Q122" i="2" a="1"/>
  <c r="X119" i="2" a="1"/>
  <c r="P115" i="2" a="1"/>
  <c r="I122" i="2" a="1"/>
  <c r="P123" i="2" a="1"/>
  <c r="W120" i="2" a="1"/>
  <c r="M118" i="2" a="1"/>
  <c r="Y122" i="2" a="1"/>
  <c r="P111" i="2" a="1"/>
  <c r="O112" i="2" a="1"/>
  <c r="M114" i="2" a="1"/>
  <c r="L115" i="2" a="1"/>
  <c r="J117" i="2" a="1"/>
  <c r="Y118" i="2" a="1"/>
  <c r="U122" i="2" a="1"/>
  <c r="T123" i="2" a="1"/>
  <c r="T111" i="2" a="1"/>
  <c r="S112" i="2" a="1"/>
  <c r="R113" i="2" a="1"/>
  <c r="Q114" i="2" a="1"/>
  <c r="N117" i="2" a="1"/>
  <c r="L119" i="2" a="1"/>
  <c r="J121" i="2" a="1"/>
  <c r="K123" i="2" a="1"/>
  <c r="X111" i="2" a="1"/>
  <c r="W112" i="2" a="1"/>
  <c r="V113" i="2" a="1"/>
  <c r="U114" i="2" a="1"/>
  <c r="T115" i="2" a="1"/>
  <c r="S116" i="2" a="1"/>
  <c r="R117" i="2" a="1"/>
  <c r="Q118" i="2" a="1"/>
  <c r="P119" i="2" a="1"/>
  <c r="O120" i="2" a="1"/>
  <c r="N121" i="2" a="1"/>
  <c r="M122" i="2" a="1"/>
  <c r="X123" i="2" a="1"/>
  <c r="J110" i="2" a="1"/>
  <c r="N110" i="2" a="1"/>
  <c r="R110" i="2" a="1"/>
  <c r="V110" i="2" a="1"/>
  <c r="T110" i="2" a="1"/>
  <c r="M110" i="2" a="1"/>
  <c r="Y110" i="2" a="1"/>
  <c r="P110" i="2" a="1"/>
  <c r="U110" i="2" a="1"/>
  <c r="K110" i="2" a="1"/>
  <c r="O110" i="2" a="1"/>
  <c r="S110" i="2" a="1"/>
  <c r="W110" i="2" a="1"/>
  <c r="L110" i="2" a="1"/>
  <c r="X110" i="2" a="1"/>
  <c r="Q110" i="2" a="1"/>
  <c r="I110" i="2" a="1"/>
  <c r="AE87" i="2" a="1"/>
  <c r="AI87" i="2" a="1"/>
  <c r="AM87" i="2" a="1"/>
  <c r="AQ87" i="2" a="1"/>
  <c r="AE88" i="2" a="1"/>
  <c r="AI88" i="2" a="1"/>
  <c r="AM88" i="2" a="1"/>
  <c r="AQ88" i="2" a="1"/>
  <c r="AE89" i="2" a="1"/>
  <c r="AI89" i="2" a="1"/>
  <c r="AM89" i="2" a="1"/>
  <c r="AQ89" i="2" a="1"/>
  <c r="AE90" i="2" a="1"/>
  <c r="AI90" i="2" a="1"/>
  <c r="AM90" i="2" a="1"/>
  <c r="AQ90" i="2" a="1"/>
  <c r="AE91" i="2" a="1"/>
  <c r="AI91" i="2" a="1"/>
  <c r="AM91" i="2" a="1"/>
  <c r="AQ91" i="2" a="1"/>
  <c r="AE92" i="2" a="1"/>
  <c r="AI92" i="2" a="1"/>
  <c r="AM92" i="2" a="1"/>
  <c r="AQ92" i="2" a="1"/>
  <c r="AE93" i="2" a="1"/>
  <c r="AI93" i="2" a="1"/>
  <c r="AM93" i="2" a="1"/>
  <c r="AQ93" i="2" a="1"/>
  <c r="AE94" i="2" a="1"/>
  <c r="AI94" i="2" a="1"/>
  <c r="AM94" i="2" a="1"/>
  <c r="AQ94" i="2" a="1"/>
  <c r="AE95" i="2" a="1"/>
  <c r="AI95" i="2" a="1"/>
  <c r="AM95" i="2" a="1"/>
  <c r="AQ95" i="2" a="1"/>
  <c r="AE96" i="2" a="1"/>
  <c r="AI96" i="2" a="1"/>
  <c r="AM96" i="2" a="1"/>
  <c r="AQ96" i="2" a="1"/>
  <c r="AE97" i="2" a="1"/>
  <c r="AI97" i="2" a="1"/>
  <c r="AM97" i="2" a="1"/>
  <c r="AQ97" i="2" a="1"/>
  <c r="AE98" i="2" a="1"/>
  <c r="AI98" i="2" a="1"/>
  <c r="AM98" i="2" a="1"/>
  <c r="AQ98" i="2" a="1"/>
  <c r="AE99" i="2" a="1"/>
  <c r="AI99" i="2" a="1"/>
  <c r="AM99" i="2" a="1"/>
  <c r="AQ99" i="2" a="1"/>
  <c r="AE100" i="2" a="1"/>
  <c r="AI100" i="2" a="1"/>
  <c r="AM100" i="2" a="1"/>
  <c r="AQ100" i="2" a="1"/>
  <c r="AF87" i="2" a="1"/>
  <c r="AJ87" i="2" a="1"/>
  <c r="AN87" i="2" a="1"/>
  <c r="AR87" i="2" a="1"/>
  <c r="AF88" i="2" a="1"/>
  <c r="AJ88" i="2" a="1"/>
  <c r="AN88" i="2" a="1"/>
  <c r="AR88" i="2" a="1"/>
  <c r="AF89" i="2" a="1"/>
  <c r="AJ89" i="2" a="1"/>
  <c r="AN89" i="2" a="1"/>
  <c r="AR89" i="2" a="1"/>
  <c r="AF90" i="2" a="1"/>
  <c r="AJ90" i="2" a="1"/>
  <c r="AN90" i="2" a="1"/>
  <c r="AR90" i="2" a="1"/>
  <c r="AF91" i="2" a="1"/>
  <c r="AJ91" i="2" a="1"/>
  <c r="AN91" i="2" a="1"/>
  <c r="AR91" i="2" a="1"/>
  <c r="AF92" i="2" a="1"/>
  <c r="AJ92" i="2" a="1"/>
  <c r="AN92" i="2" a="1"/>
  <c r="AR92" i="2" a="1"/>
  <c r="AF93" i="2" a="1"/>
  <c r="AJ93" i="2" a="1"/>
  <c r="AN93" i="2" a="1"/>
  <c r="AR93" i="2" a="1"/>
  <c r="AF94" i="2" a="1"/>
  <c r="AJ94" i="2" a="1"/>
  <c r="AN94" i="2" a="1"/>
  <c r="AR94" i="2" a="1"/>
  <c r="AF95" i="2" a="1"/>
  <c r="AJ95" i="2" a="1"/>
  <c r="AN95" i="2" a="1"/>
  <c r="AR95" i="2" a="1"/>
  <c r="AF96" i="2" a="1"/>
  <c r="AJ96" i="2" a="1"/>
  <c r="AN96" i="2" a="1"/>
  <c r="AR96" i="2" a="1"/>
  <c r="AF97" i="2" a="1"/>
  <c r="AJ97" i="2" a="1"/>
  <c r="AN97" i="2" a="1"/>
  <c r="AR97" i="2" a="1"/>
  <c r="AF98" i="2" a="1"/>
  <c r="AJ98" i="2" a="1"/>
  <c r="AN98" i="2" a="1"/>
  <c r="AR98" i="2" a="1"/>
  <c r="AF99" i="2" a="1"/>
  <c r="AJ99" i="2" a="1"/>
  <c r="AN99" i="2" a="1"/>
  <c r="AR99" i="2" a="1"/>
  <c r="AF100" i="2" a="1"/>
  <c r="AJ100" i="2" a="1"/>
  <c r="AN100" i="2" a="1"/>
  <c r="AR100" i="2" a="1"/>
  <c r="AH87" i="2" a="1"/>
  <c r="AG87" i="2" a="1"/>
  <c r="AS87" i="2" a="1"/>
  <c r="AH89" i="2" a="1"/>
  <c r="AS89" i="2" a="1"/>
  <c r="AH91" i="2" a="1"/>
  <c r="AS91" i="2" a="1"/>
  <c r="AH93" i="2" a="1"/>
  <c r="AS93" i="2" a="1"/>
  <c r="AH95" i="2" a="1"/>
  <c r="AS95" i="2" a="1"/>
  <c r="AH97" i="2" a="1"/>
  <c r="AS97" i="2" a="1"/>
  <c r="AH99" i="2" a="1"/>
  <c r="AS99" i="2" a="1"/>
  <c r="AO98" i="2" a="1"/>
  <c r="AL87" i="2" a="1"/>
  <c r="AG88" i="2" a="1"/>
  <c r="AL89" i="2" a="1"/>
  <c r="AG90" i="2" a="1"/>
  <c r="AL91" i="2" a="1"/>
  <c r="AL93" i="2" a="1"/>
  <c r="AG94" i="2" a="1"/>
  <c r="AG96" i="2" a="1"/>
  <c r="AL99" i="2" a="1"/>
  <c r="AS88" i="2" a="1"/>
  <c r="AS90" i="2" a="1"/>
  <c r="AS94" i="2" a="1"/>
  <c r="AS98" i="2" a="1"/>
  <c r="AO89" i="2" a="1"/>
  <c r="AO91" i="2" a="1"/>
  <c r="AO93" i="2" a="1"/>
  <c r="AT96" i="2" a="1"/>
  <c r="AT100" i="2" a="1"/>
  <c r="AT87" i="2" a="1"/>
  <c r="AO88" i="2" a="1"/>
  <c r="AT89" i="2" a="1"/>
  <c r="AO90" i="2" a="1"/>
  <c r="AT91" i="2" a="1"/>
  <c r="AO92" i="2" a="1"/>
  <c r="AT93" i="2" a="1"/>
  <c r="AO94" i="2" a="1"/>
  <c r="AT95" i="2" a="1"/>
  <c r="AO96" i="2" a="1"/>
  <c r="AT97" i="2" a="1"/>
  <c r="AT99" i="2" a="1"/>
  <c r="AO100" i="2" a="1"/>
  <c r="AL95" i="2" a="1"/>
  <c r="AL97" i="2" a="1"/>
  <c r="AG100" i="2" a="1"/>
  <c r="AH90" i="2" a="1"/>
  <c r="AH92" i="2" a="1"/>
  <c r="AH94" i="2" a="1"/>
  <c r="AS96" i="2" a="1"/>
  <c r="AS100" i="2" a="1"/>
  <c r="AO87" i="2" a="1"/>
  <c r="AT90" i="2" a="1"/>
  <c r="AT94" i="2" a="1"/>
  <c r="AO99" i="2" a="1"/>
  <c r="AK87" i="2" a="1"/>
  <c r="AP88" i="2" a="1"/>
  <c r="AK89" i="2" a="1"/>
  <c r="AP90" i="2" a="1"/>
  <c r="AK91" i="2" a="1"/>
  <c r="AP92" i="2" a="1"/>
  <c r="AK93" i="2" a="1"/>
  <c r="AP94" i="2" a="1"/>
  <c r="AK95" i="2" a="1"/>
  <c r="AP96" i="2" a="1"/>
  <c r="AK97" i="2" a="1"/>
  <c r="AP98" i="2" a="1"/>
  <c r="AK99" i="2" a="1"/>
  <c r="AP100" i="2" a="1"/>
  <c r="AG92" i="2" a="1"/>
  <c r="AG98" i="2" a="1"/>
  <c r="AH88" i="2" a="1"/>
  <c r="AS92" i="2" a="1"/>
  <c r="AH96" i="2" a="1"/>
  <c r="AH98" i="2" a="1"/>
  <c r="AH100" i="2" a="1"/>
  <c r="AT88" i="2" a="1"/>
  <c r="AT92" i="2" a="1"/>
  <c r="AO95" i="2" a="1"/>
  <c r="AT98" i="2" a="1"/>
  <c r="AP87" i="2" a="1"/>
  <c r="AK88" i="2" a="1"/>
  <c r="AP89" i="2" a="1"/>
  <c r="AK90" i="2" a="1"/>
  <c r="AP91" i="2" a="1"/>
  <c r="AK92" i="2" a="1"/>
  <c r="AP93" i="2" a="1"/>
  <c r="AK94" i="2" a="1"/>
  <c r="AP95" i="2" a="1"/>
  <c r="AK96" i="2" a="1"/>
  <c r="AP97" i="2" a="1"/>
  <c r="AK98" i="2" a="1"/>
  <c r="AP99" i="2" a="1"/>
  <c r="AK100" i="2" a="1"/>
  <c r="AL88" i="2" a="1"/>
  <c r="AG89" i="2" a="1"/>
  <c r="AL90" i="2" a="1"/>
  <c r="AG91" i="2" a="1"/>
  <c r="AL92" i="2" a="1"/>
  <c r="AG93" i="2" a="1"/>
  <c r="AL94" i="2" a="1"/>
  <c r="AG95" i="2" a="1"/>
  <c r="AL96" i="2" a="1"/>
  <c r="AG97" i="2" a="1"/>
  <c r="AL98" i="2" a="1"/>
  <c r="AG99" i="2" a="1"/>
  <c r="AL100" i="2" a="1"/>
  <c r="AO97" i="2" a="1"/>
  <c r="AD88" i="2" a="1"/>
  <c r="AD92" i="2" a="1"/>
  <c r="AD96" i="2" a="1"/>
  <c r="AD100" i="2" a="1"/>
  <c r="AD89" i="2" a="1"/>
  <c r="AD93" i="2" a="1"/>
  <c r="AD97" i="2" a="1"/>
  <c r="AD94" i="2" a="1"/>
  <c r="AD99" i="2" a="1"/>
  <c r="AD90" i="2" a="1"/>
  <c r="AD91" i="2" a="1"/>
  <c r="AD95" i="2" a="1"/>
  <c r="AD98" i="2" a="1"/>
  <c r="AD87" i="2" a="1"/>
  <c r="AE71" i="2" a="1"/>
  <c r="AI71" i="2" a="1"/>
  <c r="AM71" i="2" a="1"/>
  <c r="AQ71" i="2" a="1"/>
  <c r="AE72" i="2" a="1"/>
  <c r="AI72" i="2" a="1"/>
  <c r="AM72" i="2" a="1"/>
  <c r="AQ72" i="2" a="1"/>
  <c r="AE73" i="2" a="1"/>
  <c r="AI73" i="2" a="1"/>
  <c r="AM73" i="2" a="1"/>
  <c r="AQ73" i="2" a="1"/>
  <c r="AE74" i="2" a="1"/>
  <c r="AI74" i="2" a="1"/>
  <c r="AM74" i="2" a="1"/>
  <c r="AQ74" i="2" a="1"/>
  <c r="AE75" i="2" a="1"/>
  <c r="AI75" i="2" a="1"/>
  <c r="AM75" i="2" a="1"/>
  <c r="AQ75" i="2" a="1"/>
  <c r="AE76" i="2" a="1"/>
  <c r="AI76" i="2" a="1"/>
  <c r="AM76" i="2" a="1"/>
  <c r="AQ76" i="2" a="1"/>
  <c r="AE77" i="2" a="1"/>
  <c r="AI77" i="2" a="1"/>
  <c r="AM77" i="2" a="1"/>
  <c r="AQ77" i="2" a="1"/>
  <c r="AE78" i="2" a="1"/>
  <c r="AI78" i="2" a="1"/>
  <c r="AM78" i="2" a="1"/>
  <c r="AQ78" i="2" a="1"/>
  <c r="AE79" i="2" a="1"/>
  <c r="AI79" i="2" a="1"/>
  <c r="AM79" i="2" a="1"/>
  <c r="AQ79" i="2" a="1"/>
  <c r="AE80" i="2" a="1"/>
  <c r="AI80" i="2" a="1"/>
  <c r="AM80" i="2" a="1"/>
  <c r="AQ80" i="2" a="1"/>
  <c r="AE81" i="2" a="1"/>
  <c r="AI81" i="2" a="1"/>
  <c r="AM81" i="2" a="1"/>
  <c r="AQ81" i="2" a="1"/>
  <c r="AE82" i="2" a="1"/>
  <c r="AI82" i="2" a="1"/>
  <c r="AM82" i="2" a="1"/>
  <c r="AQ82" i="2" a="1"/>
  <c r="AE83" i="2" a="1"/>
  <c r="AI83" i="2" a="1"/>
  <c r="AM83" i="2" a="1"/>
  <c r="AQ83" i="2" a="1"/>
  <c r="AE84" i="2" a="1"/>
  <c r="AI84" i="2" a="1"/>
  <c r="AM84" i="2" a="1"/>
  <c r="AQ84" i="2" a="1"/>
  <c r="AO71" i="2" a="1"/>
  <c r="AS71" i="2" a="1"/>
  <c r="AO72" i="2" a="1"/>
  <c r="AK73" i="2" a="1"/>
  <c r="AS73" i="2" a="1"/>
  <c r="AO74" i="2" a="1"/>
  <c r="AK75" i="2" a="1"/>
  <c r="AG76" i="2" a="1"/>
  <c r="AS76" i="2" a="1"/>
  <c r="AO77" i="2" a="1"/>
  <c r="AK78" i="2" a="1"/>
  <c r="AG79" i="2" a="1"/>
  <c r="AS79" i="2" a="1"/>
  <c r="AO80" i="2" a="1"/>
  <c r="AK81" i="2" a="1"/>
  <c r="AG82" i="2" a="1"/>
  <c r="AS82" i="2" a="1"/>
  <c r="AO83" i="2" a="1"/>
  <c r="AK84" i="2" a="1"/>
  <c r="AP81" i="2" a="1"/>
  <c r="AP82" i="2" a="1"/>
  <c r="AP83" i="2" a="1"/>
  <c r="AR84" i="2" a="1"/>
  <c r="AK71" i="2" a="1"/>
  <c r="AK72" i="2" a="1"/>
  <c r="AG73" i="2" a="1"/>
  <c r="AG74" i="2" a="1"/>
  <c r="AG75" i="2" a="1"/>
  <c r="AS75" i="2" a="1"/>
  <c r="AO76" i="2" a="1"/>
  <c r="AK77" i="2" a="1"/>
  <c r="AG78" i="2" a="1"/>
  <c r="AS78" i="2" a="1"/>
  <c r="AO79" i="2" a="1"/>
  <c r="AK80" i="2" a="1"/>
  <c r="AG81" i="2" a="1"/>
  <c r="AS81" i="2" a="1"/>
  <c r="AO82" i="2" a="1"/>
  <c r="AG83" i="2" a="1"/>
  <c r="AS83" i="2" a="1"/>
  <c r="AO84" i="2" a="1"/>
  <c r="AL81" i="2" a="1"/>
  <c r="AT82" i="2" a="1"/>
  <c r="AT83" i="2" a="1"/>
  <c r="AF71" i="2" a="1"/>
  <c r="AJ71" i="2" a="1"/>
  <c r="AN71" i="2" a="1"/>
  <c r="AR71" i="2" a="1"/>
  <c r="AF72" i="2" a="1"/>
  <c r="AJ72" i="2" a="1"/>
  <c r="AN72" i="2" a="1"/>
  <c r="AR72" i="2" a="1"/>
  <c r="AF73" i="2" a="1"/>
  <c r="AJ73" i="2" a="1"/>
  <c r="AN73" i="2" a="1"/>
  <c r="AR73" i="2" a="1"/>
  <c r="AF74" i="2" a="1"/>
  <c r="AJ74" i="2" a="1"/>
  <c r="AN74" i="2" a="1"/>
  <c r="AR74" i="2" a="1"/>
  <c r="AF75" i="2" a="1"/>
  <c r="AJ75" i="2" a="1"/>
  <c r="AN75" i="2" a="1"/>
  <c r="AR75" i="2" a="1"/>
  <c r="AF76" i="2" a="1"/>
  <c r="AJ76" i="2" a="1"/>
  <c r="AN76" i="2" a="1"/>
  <c r="AR76" i="2" a="1"/>
  <c r="AF77" i="2" a="1"/>
  <c r="AJ77" i="2" a="1"/>
  <c r="AN77" i="2" a="1"/>
  <c r="AR77" i="2" a="1"/>
  <c r="AF78" i="2" a="1"/>
  <c r="AJ78" i="2" a="1"/>
  <c r="AN78" i="2" a="1"/>
  <c r="AR78" i="2" a="1"/>
  <c r="AF79" i="2" a="1"/>
  <c r="AJ79" i="2" a="1"/>
  <c r="AN79" i="2" a="1"/>
  <c r="AR79" i="2" a="1"/>
  <c r="AF80" i="2" a="1"/>
  <c r="AJ80" i="2" a="1"/>
  <c r="AN80" i="2" a="1"/>
  <c r="AR80" i="2" a="1"/>
  <c r="AF81" i="2" a="1"/>
  <c r="AJ81" i="2" a="1"/>
  <c r="AN81" i="2" a="1"/>
  <c r="AR81" i="2" a="1"/>
  <c r="AF82" i="2" a="1"/>
  <c r="AJ82" i="2" a="1"/>
  <c r="AN82" i="2" a="1"/>
  <c r="AR82" i="2" a="1"/>
  <c r="AF83" i="2" a="1"/>
  <c r="AJ83" i="2" a="1"/>
  <c r="AN83" i="2" a="1"/>
  <c r="AR83" i="2" a="1"/>
  <c r="AF84" i="2" a="1"/>
  <c r="AJ84" i="2" a="1"/>
  <c r="AN84" i="2" a="1"/>
  <c r="AG71" i="2" a="1"/>
  <c r="AG72" i="2" a="1"/>
  <c r="AS72" i="2" a="1"/>
  <c r="AO73" i="2" a="1"/>
  <c r="AK74" i="2" a="1"/>
  <c r="AS74" i="2" a="1"/>
  <c r="AO75" i="2" a="1"/>
  <c r="AK76" i="2" a="1"/>
  <c r="AG77" i="2" a="1"/>
  <c r="AS77" i="2" a="1"/>
  <c r="AO78" i="2" a="1"/>
  <c r="AK79" i="2" a="1"/>
  <c r="AG80" i="2" a="1"/>
  <c r="AS80" i="2" a="1"/>
  <c r="AO81" i="2" a="1"/>
  <c r="AK82" i="2" a="1"/>
  <c r="AK83" i="2" a="1"/>
  <c r="AG84" i="2" a="1"/>
  <c r="AS84" i="2" a="1"/>
  <c r="AH81" i="2" a="1"/>
  <c r="AH83" i="2" a="1"/>
  <c r="AH84" i="2" a="1"/>
  <c r="AL71" i="2" a="1"/>
  <c r="AP71" i="2" a="1"/>
  <c r="AT71" i="2" a="1"/>
  <c r="AH72" i="2" a="1"/>
  <c r="AL72" i="2" a="1"/>
  <c r="AP72" i="2" a="1"/>
  <c r="AT72" i="2" a="1"/>
  <c r="AH73" i="2" a="1"/>
  <c r="AL73" i="2" a="1"/>
  <c r="AP73" i="2" a="1"/>
  <c r="AT73" i="2" a="1"/>
  <c r="AH74" i="2" a="1"/>
  <c r="AL74" i="2" a="1"/>
  <c r="AP74" i="2" a="1"/>
  <c r="AT74" i="2" a="1"/>
  <c r="AH75" i="2" a="1"/>
  <c r="AL75" i="2" a="1"/>
  <c r="AP75" i="2" a="1"/>
  <c r="AT75" i="2" a="1"/>
  <c r="AH76" i="2" a="1"/>
  <c r="AL76" i="2" a="1"/>
  <c r="AP76" i="2" a="1"/>
  <c r="AT76" i="2" a="1"/>
  <c r="AH77" i="2" a="1"/>
  <c r="AL77" i="2" a="1"/>
  <c r="AP77" i="2" a="1"/>
  <c r="AT77" i="2" a="1"/>
  <c r="AH78" i="2" a="1"/>
  <c r="AL78" i="2" a="1"/>
  <c r="AP78" i="2" a="1"/>
  <c r="AT78" i="2" a="1"/>
  <c r="AH79" i="2" a="1"/>
  <c r="AL79" i="2" a="1"/>
  <c r="AP79" i="2" a="1"/>
  <c r="AT79" i="2" a="1"/>
  <c r="AH80" i="2" a="1"/>
  <c r="AL80" i="2" a="1"/>
  <c r="AP80" i="2" a="1"/>
  <c r="AT80" i="2" a="1"/>
  <c r="AT81" i="2" a="1"/>
  <c r="AH82" i="2" a="1"/>
  <c r="AL82" i="2" a="1"/>
  <c r="AL83" i="2" a="1"/>
  <c r="AH71" i="2" a="1"/>
  <c r="AP84" i="2" a="1"/>
  <c r="AT84" i="2" a="1"/>
  <c r="AL84" i="2" a="1"/>
  <c r="AD72" i="2" a="1"/>
  <c r="AD76" i="2" a="1"/>
  <c r="AD80" i="2" a="1"/>
  <c r="AD84" i="2" a="1"/>
  <c r="AD78" i="2" a="1"/>
  <c r="AD75" i="2" a="1"/>
  <c r="AD82" i="2" a="1"/>
  <c r="AD73" i="2" a="1"/>
  <c r="AD77" i="2" a="1"/>
  <c r="AD81" i="2" a="1"/>
  <c r="AD74" i="2" a="1"/>
  <c r="AD79" i="2" a="1"/>
  <c r="AD83" i="2" a="1"/>
  <c r="AD71" i="2" a="1"/>
  <c r="AE55" i="2" a="1"/>
  <c r="AI55" i="2" a="1"/>
  <c r="AM55" i="2" a="1"/>
  <c r="AQ55" i="2" a="1"/>
  <c r="AE56" i="2" a="1"/>
  <c r="AI56" i="2" a="1"/>
  <c r="AM56" i="2" a="1"/>
  <c r="AQ56" i="2" a="1"/>
  <c r="AE57" i="2" a="1"/>
  <c r="AI57" i="2" a="1"/>
  <c r="AM57" i="2" a="1"/>
  <c r="AQ57" i="2" a="1"/>
  <c r="AE58" i="2" a="1"/>
  <c r="AI58" i="2" a="1"/>
  <c r="AM58" i="2" a="1"/>
  <c r="AQ58" i="2" a="1"/>
  <c r="AE59" i="2" a="1"/>
  <c r="AI59" i="2" a="1"/>
  <c r="AM59" i="2" a="1"/>
  <c r="AQ59" i="2" a="1"/>
  <c r="AE60" i="2" a="1"/>
  <c r="AI60" i="2" a="1"/>
  <c r="AM60" i="2" a="1"/>
  <c r="AQ60" i="2" a="1"/>
  <c r="AE61" i="2" a="1"/>
  <c r="AI61" i="2" a="1"/>
  <c r="AM61" i="2" a="1"/>
  <c r="AQ61" i="2" a="1"/>
  <c r="AE62" i="2" a="1"/>
  <c r="AI62" i="2" a="1"/>
  <c r="AM62" i="2" a="1"/>
  <c r="AQ62" i="2" a="1"/>
  <c r="AE63" i="2" a="1"/>
  <c r="AI63" i="2" a="1"/>
  <c r="AM63" i="2" a="1"/>
  <c r="AQ63" i="2" a="1"/>
  <c r="AE64" i="2" a="1"/>
  <c r="AI64" i="2" a="1"/>
  <c r="AM64" i="2" a="1"/>
  <c r="AQ64" i="2" a="1"/>
  <c r="AE65" i="2" a="1"/>
  <c r="AI65" i="2" a="1"/>
  <c r="AM65" i="2" a="1"/>
  <c r="AQ65" i="2" a="1"/>
  <c r="AE66" i="2" a="1"/>
  <c r="AI66" i="2" a="1"/>
  <c r="AM66" i="2" a="1"/>
  <c r="AQ66" i="2" a="1"/>
  <c r="AE67" i="2" a="1"/>
  <c r="AI67" i="2" a="1"/>
  <c r="AM67" i="2" a="1"/>
  <c r="AQ67" i="2" a="1"/>
  <c r="AE68" i="2" a="1"/>
  <c r="AI68" i="2" a="1"/>
  <c r="AM68" i="2" a="1"/>
  <c r="AQ68" i="2" a="1"/>
  <c r="AG56" i="2" a="1"/>
  <c r="AK56" i="2" a="1"/>
  <c r="AS56" i="2" a="1"/>
  <c r="AK57" i="2" a="1"/>
  <c r="AS57" i="2" a="1"/>
  <c r="AO58" i="2" a="1"/>
  <c r="AK59" i="2" a="1"/>
  <c r="AG60" i="2" a="1"/>
  <c r="AS60" i="2" a="1"/>
  <c r="AS61" i="2" a="1"/>
  <c r="AS62" i="2" a="1"/>
  <c r="AO63" i="2" a="1"/>
  <c r="AO64" i="2" a="1"/>
  <c r="AO65" i="2" a="1"/>
  <c r="AO66" i="2" a="1"/>
  <c r="AO67" i="2" a="1"/>
  <c r="AO68" i="2" a="1"/>
  <c r="AO55" i="2" a="1"/>
  <c r="AK58" i="2" a="1"/>
  <c r="AS59" i="2" a="1"/>
  <c r="AG61" i="2" a="1"/>
  <c r="AG62" i="2" a="1"/>
  <c r="AG63" i="2" a="1"/>
  <c r="AG64" i="2" a="1"/>
  <c r="AG65" i="2" a="1"/>
  <c r="AG66" i="2" a="1"/>
  <c r="AG67" i="2" a="1"/>
  <c r="AS67" i="2" a="1"/>
  <c r="AS68" i="2" a="1"/>
  <c r="AF55" i="2" a="1"/>
  <c r="AJ55" i="2" a="1"/>
  <c r="AN55" i="2" a="1"/>
  <c r="AR55" i="2" a="1"/>
  <c r="AF56" i="2" a="1"/>
  <c r="AJ56" i="2" a="1"/>
  <c r="AN56" i="2" a="1"/>
  <c r="AR56" i="2" a="1"/>
  <c r="AF57" i="2" a="1"/>
  <c r="AJ57" i="2" a="1"/>
  <c r="AN57" i="2" a="1"/>
  <c r="AR57" i="2" a="1"/>
  <c r="AF58" i="2" a="1"/>
  <c r="AJ58" i="2" a="1"/>
  <c r="AN58" i="2" a="1"/>
  <c r="AR58" i="2" a="1"/>
  <c r="AF59" i="2" a="1"/>
  <c r="AJ59" i="2" a="1"/>
  <c r="AN59" i="2" a="1"/>
  <c r="AR59" i="2" a="1"/>
  <c r="AF60" i="2" a="1"/>
  <c r="AJ60" i="2" a="1"/>
  <c r="AN60" i="2" a="1"/>
  <c r="AR60" i="2" a="1"/>
  <c r="AF61" i="2" a="1"/>
  <c r="AJ61" i="2" a="1"/>
  <c r="AN61" i="2" a="1"/>
  <c r="AR61" i="2" a="1"/>
  <c r="AF62" i="2" a="1"/>
  <c r="AJ62" i="2" a="1"/>
  <c r="AN62" i="2" a="1"/>
  <c r="AR62" i="2" a="1"/>
  <c r="AF63" i="2" a="1"/>
  <c r="AJ63" i="2" a="1"/>
  <c r="AN63" i="2" a="1"/>
  <c r="AR63" i="2" a="1"/>
  <c r="AF64" i="2" a="1"/>
  <c r="AJ64" i="2" a="1"/>
  <c r="AN64" i="2" a="1"/>
  <c r="AR64" i="2" a="1"/>
  <c r="AF65" i="2" a="1"/>
  <c r="AJ65" i="2" a="1"/>
  <c r="AN65" i="2" a="1"/>
  <c r="AR65" i="2" a="1"/>
  <c r="AF66" i="2" a="1"/>
  <c r="AJ66" i="2" a="1"/>
  <c r="AN66" i="2" a="1"/>
  <c r="AR66" i="2" a="1"/>
  <c r="AF67" i="2" a="1"/>
  <c r="AJ67" i="2" a="1"/>
  <c r="AN67" i="2" a="1"/>
  <c r="AR67" i="2" a="1"/>
  <c r="AF68" i="2" a="1"/>
  <c r="AJ68" i="2" a="1"/>
  <c r="AN68" i="2" a="1"/>
  <c r="AR68" i="2" a="1"/>
  <c r="AS55" i="2" a="1"/>
  <c r="AO56" i="2" a="1"/>
  <c r="AG57" i="2" a="1"/>
  <c r="AO57" i="2" a="1"/>
  <c r="AG58" i="2" a="1"/>
  <c r="AG59" i="2" a="1"/>
  <c r="AO59" i="2" a="1"/>
  <c r="AK60" i="2" a="1"/>
  <c r="AK61" i="2" a="1"/>
  <c r="AK62" i="2" a="1"/>
  <c r="AK63" i="2" a="1"/>
  <c r="AK64" i="2" a="1"/>
  <c r="AK65" i="2" a="1"/>
  <c r="AK66" i="2" a="1"/>
  <c r="AK67" i="2" a="1"/>
  <c r="AK68" i="2" a="1"/>
  <c r="AG55" i="2" a="1"/>
  <c r="AK55" i="2" a="1"/>
  <c r="AS58" i="2" a="1"/>
  <c r="AO60" i="2" a="1"/>
  <c r="AO61" i="2" a="1"/>
  <c r="AO62" i="2" a="1"/>
  <c r="AS63" i="2" a="1"/>
  <c r="AS64" i="2" a="1"/>
  <c r="AS65" i="2" a="1"/>
  <c r="AS66" i="2" a="1"/>
  <c r="AG68" i="2" a="1"/>
  <c r="AH55" i="2" a="1"/>
  <c r="AH57" i="2" a="1"/>
  <c r="AH59" i="2" a="1"/>
  <c r="AH61" i="2" a="1"/>
  <c r="AH63" i="2" a="1"/>
  <c r="AL64" i="2" a="1"/>
  <c r="AL65" i="2" a="1"/>
  <c r="AL66" i="2" a="1"/>
  <c r="AL67" i="2" a="1"/>
  <c r="AL68" i="2" a="1"/>
  <c r="AT66" i="2" a="1"/>
  <c r="AL60" i="2" a="1"/>
  <c r="AP60" i="2" a="1"/>
  <c r="AH67" i="2" a="1"/>
  <c r="AT60" i="2" a="1"/>
  <c r="AL55" i="2" a="1"/>
  <c r="AL57" i="2" a="1"/>
  <c r="AL59" i="2" a="1"/>
  <c r="AL61" i="2" a="1"/>
  <c r="AL63" i="2" a="1"/>
  <c r="AT57" i="2" a="1"/>
  <c r="AT59" i="2" a="1"/>
  <c r="AT61" i="2" a="1"/>
  <c r="AT67" i="2" a="1"/>
  <c r="AL58" i="2" a="1"/>
  <c r="AP58" i="2" a="1"/>
  <c r="AH65" i="2" a="1"/>
  <c r="AT56" i="2" a="1"/>
  <c r="AP55" i="2" a="1"/>
  <c r="AP57" i="2" a="1"/>
  <c r="AP59" i="2" a="1"/>
  <c r="AP61" i="2" a="1"/>
  <c r="AP63" i="2" a="1"/>
  <c r="AP64" i="2" a="1"/>
  <c r="AP65" i="2" a="1"/>
  <c r="AP66" i="2" a="1"/>
  <c r="AP67" i="2" a="1"/>
  <c r="AP68" i="2" a="1"/>
  <c r="AT68" i="2" a="1"/>
  <c r="AL56" i="2" a="1"/>
  <c r="AP56" i="2" a="1"/>
  <c r="AH64" i="2" a="1"/>
  <c r="AH68" i="2" a="1"/>
  <c r="AT62" i="2" a="1"/>
  <c r="AT55" i="2" a="1"/>
  <c r="AH56" i="2" a="1"/>
  <c r="AH58" i="2" a="1"/>
  <c r="AH60" i="2" a="1"/>
  <c r="AH62" i="2" a="1"/>
  <c r="AT63" i="2" a="1"/>
  <c r="AT64" i="2" a="1"/>
  <c r="AT65" i="2" a="1"/>
  <c r="AL62" i="2" a="1"/>
  <c r="AP62" i="2" a="1"/>
  <c r="AH66" i="2" a="1"/>
  <c r="AT58" i="2" a="1"/>
  <c r="AD56" i="2" a="1"/>
  <c r="AD60" i="2" a="1"/>
  <c r="AD64" i="2" a="1"/>
  <c r="AD68" i="2" a="1"/>
  <c r="AD63" i="2" a="1"/>
  <c r="AD62" i="2" a="1"/>
  <c r="AD57" i="2" a="1"/>
  <c r="AD61" i="2" a="1"/>
  <c r="AD65" i="2" a="1"/>
  <c r="AD66" i="2" a="1"/>
  <c r="AD67" i="2" a="1"/>
  <c r="AD59" i="2" a="1"/>
  <c r="AD58" i="2" a="1"/>
  <c r="AD55" i="2" a="1"/>
  <c r="AE39" i="2" a="1"/>
  <c r="AI39" i="2" a="1"/>
  <c r="AM39" i="2" a="1"/>
  <c r="AQ39" i="2" a="1"/>
  <c r="AE40" i="2" a="1"/>
  <c r="AI40" i="2" a="1"/>
  <c r="AM40" i="2" a="1"/>
  <c r="AQ40" i="2" a="1"/>
  <c r="AE41" i="2" a="1"/>
  <c r="AI41" i="2" a="1"/>
  <c r="AM41" i="2" a="1"/>
  <c r="AQ41" i="2" a="1"/>
  <c r="AE42" i="2" a="1"/>
  <c r="AI42" i="2" a="1"/>
  <c r="AM42" i="2" a="1"/>
  <c r="AQ42" i="2" a="1"/>
  <c r="AE43" i="2" a="1"/>
  <c r="AI43" i="2" a="1"/>
  <c r="AM43" i="2" a="1"/>
  <c r="AQ43" i="2" a="1"/>
  <c r="AE44" i="2" a="1"/>
  <c r="AI44" i="2" a="1"/>
  <c r="AM44" i="2" a="1"/>
  <c r="AQ44" i="2" a="1"/>
  <c r="AE45" i="2" a="1"/>
  <c r="AI45" i="2" a="1"/>
  <c r="AM45" i="2" a="1"/>
  <c r="AQ45" i="2" a="1"/>
  <c r="AE46" i="2" a="1"/>
  <c r="AI46" i="2" a="1"/>
  <c r="AM46" i="2" a="1"/>
  <c r="AQ46" i="2" a="1"/>
  <c r="AE47" i="2" a="1"/>
  <c r="AI47" i="2" a="1"/>
  <c r="AM47" i="2" a="1"/>
  <c r="AQ47" i="2" a="1"/>
  <c r="AE48" i="2" a="1"/>
  <c r="AI48" i="2" a="1"/>
  <c r="AM48" i="2" a="1"/>
  <c r="AQ48" i="2" a="1"/>
  <c r="AE49" i="2" a="1"/>
  <c r="AI49" i="2" a="1"/>
  <c r="AM49" i="2" a="1"/>
  <c r="AQ49" i="2" a="1"/>
  <c r="AE50" i="2" a="1"/>
  <c r="AI50" i="2" a="1"/>
  <c r="AM50" i="2" a="1"/>
  <c r="AQ50" i="2" a="1"/>
  <c r="AI51" i="2" a="1"/>
  <c r="AM51" i="2" a="1"/>
  <c r="AQ51" i="2" a="1"/>
  <c r="AE52" i="2" a="1"/>
  <c r="AI52" i="2" a="1"/>
  <c r="AM52" i="2" a="1"/>
  <c r="AQ52" i="2" a="1"/>
  <c r="AS40" i="2" a="1"/>
  <c r="AS41" i="2" a="1"/>
  <c r="AS42" i="2" a="1"/>
  <c r="AG44" i="2" a="1"/>
  <c r="AK45" i="2" a="1"/>
  <c r="AO46" i="2" a="1"/>
  <c r="AS47" i="2" a="1"/>
  <c r="AS48" i="2" a="1"/>
  <c r="AG50" i="2" a="1"/>
  <c r="AS50" i="2" a="1"/>
  <c r="AS51" i="2" a="1"/>
  <c r="AS52" i="2" a="1"/>
  <c r="AP39" i="2" a="1"/>
  <c r="AT41" i="2" a="1"/>
  <c r="AH43" i="2" a="1"/>
  <c r="AL44" i="2" a="1"/>
  <c r="AP45" i="2" a="1"/>
  <c r="AT46" i="2" a="1"/>
  <c r="AL48" i="2" a="1"/>
  <c r="AL49" i="2" a="1"/>
  <c r="AT50" i="2" a="1"/>
  <c r="AP52" i="2" a="1"/>
  <c r="AF51" i="2" a="1"/>
  <c r="AO40" i="2" a="1"/>
  <c r="AO42" i="2" a="1"/>
  <c r="AS43" i="2" a="1"/>
  <c r="AS44" i="2" a="1"/>
  <c r="AS45" i="2" a="1"/>
  <c r="AG47" i="2" a="1"/>
  <c r="AK48" i="2" a="1"/>
  <c r="AO49" i="2" a="1"/>
  <c r="AG51" i="2" a="1"/>
  <c r="AK52" i="2" a="1"/>
  <c r="AL39" i="2" a="1"/>
  <c r="AL42" i="2" a="1"/>
  <c r="AP43" i="2" a="1"/>
  <c r="AT44" i="2" a="1"/>
  <c r="AH46" i="2" a="1"/>
  <c r="AP47" i="2" a="1"/>
  <c r="AT48" i="2" a="1"/>
  <c r="AT49" i="2" a="1"/>
  <c r="AT51" i="2" a="1"/>
  <c r="AF39" i="2" a="1"/>
  <c r="AJ39" i="2" a="1"/>
  <c r="AN39" i="2" a="1"/>
  <c r="AR39" i="2" a="1"/>
  <c r="AF40" i="2" a="1"/>
  <c r="AJ40" i="2" a="1"/>
  <c r="AN40" i="2" a="1"/>
  <c r="AR40" i="2" a="1"/>
  <c r="AF41" i="2" a="1"/>
  <c r="AJ41" i="2" a="1"/>
  <c r="AN41" i="2" a="1"/>
  <c r="AR41" i="2" a="1"/>
  <c r="AF42" i="2" a="1"/>
  <c r="AJ42" i="2" a="1"/>
  <c r="AN42" i="2" a="1"/>
  <c r="AR42" i="2" a="1"/>
  <c r="AF43" i="2" a="1"/>
  <c r="AJ43" i="2" a="1"/>
  <c r="AN43" i="2" a="1"/>
  <c r="AR43" i="2" a="1"/>
  <c r="AF44" i="2" a="1"/>
  <c r="AJ44" i="2" a="1"/>
  <c r="AN44" i="2" a="1"/>
  <c r="AR44" i="2" a="1"/>
  <c r="AF45" i="2" a="1"/>
  <c r="AJ45" i="2" a="1"/>
  <c r="AN45" i="2" a="1"/>
  <c r="AR45" i="2" a="1"/>
  <c r="AF46" i="2" a="1"/>
  <c r="AJ46" i="2" a="1"/>
  <c r="AN46" i="2" a="1"/>
  <c r="AR46" i="2" a="1"/>
  <c r="AF47" i="2" a="1"/>
  <c r="AJ47" i="2" a="1"/>
  <c r="AN47" i="2" a="1"/>
  <c r="AR47" i="2" a="1"/>
  <c r="AF48" i="2" a="1"/>
  <c r="AJ48" i="2" a="1"/>
  <c r="AN48" i="2" a="1"/>
  <c r="AR48" i="2" a="1"/>
  <c r="AF49" i="2" a="1"/>
  <c r="AJ49" i="2" a="1"/>
  <c r="AN49" i="2" a="1"/>
  <c r="AR49" i="2" a="1"/>
  <c r="AF50" i="2" a="1"/>
  <c r="AJ50" i="2" a="1"/>
  <c r="AN50" i="2" a="1"/>
  <c r="AR50" i="2" a="1"/>
  <c r="AJ51" i="2" a="1"/>
  <c r="AN51" i="2" a="1"/>
  <c r="AR51" i="2" a="1"/>
  <c r="AF52" i="2" a="1"/>
  <c r="AJ52" i="2" a="1"/>
  <c r="AN52" i="2" a="1"/>
  <c r="AR52" i="2" a="1"/>
  <c r="AK40" i="2" a="1"/>
  <c r="AG42" i="2" a="1"/>
  <c r="AG43" i="2" a="1"/>
  <c r="AK44" i="2" a="1"/>
  <c r="AG45" i="2" a="1"/>
  <c r="AG46" i="2" a="1"/>
  <c r="AK47" i="2" a="1"/>
  <c r="AG48" i="2" a="1"/>
  <c r="AK49" i="2" a="1"/>
  <c r="AO50" i="2" a="1"/>
  <c r="AG52" i="2" a="1"/>
  <c r="AH40" i="2" a="1"/>
  <c r="AH42" i="2" a="1"/>
  <c r="AL43" i="2" a="1"/>
  <c r="AP44" i="2" a="1"/>
  <c r="AT45" i="2" a="1"/>
  <c r="AH47" i="2" a="1"/>
  <c r="AP48" i="2" a="1"/>
  <c r="AP49" i="2" a="1"/>
  <c r="AP50" i="2" a="1"/>
  <c r="AH52" i="2" a="1"/>
  <c r="AT40" i="2" a="1"/>
  <c r="AL46" i="2" a="1"/>
  <c r="AH51" i="2" a="1"/>
  <c r="AG39" i="2" a="1"/>
  <c r="AK39" i="2" a="1"/>
  <c r="AO39" i="2" a="1"/>
  <c r="AS39" i="2" a="1"/>
  <c r="AG40" i="2" a="1"/>
  <c r="AK41" i="2" a="1"/>
  <c r="AO41" i="2" a="1"/>
  <c r="AK43" i="2" a="1"/>
  <c r="AK46" i="2" a="1"/>
  <c r="AG49" i="2" a="1"/>
  <c r="AK51" i="2" a="1"/>
  <c r="AP40" i="2" a="1"/>
  <c r="AL41" i="2" a="1"/>
  <c r="AP42" i="2" a="1"/>
  <c r="AH45" i="2" a="1"/>
  <c r="AH48" i="2" a="1"/>
  <c r="AL50" i="2" a="1"/>
  <c r="AL40" i="2" a="1"/>
  <c r="AP46" i="2" a="1"/>
  <c r="AL51" i="2" a="1"/>
  <c r="AH39" i="2" a="1"/>
  <c r="AH41" i="2" a="1"/>
  <c r="AT43" i="2" a="1"/>
  <c r="AT47" i="2" a="1"/>
  <c r="AL52" i="2" a="1"/>
  <c r="AE51" i="2" a="1"/>
  <c r="AG41" i="2" a="1"/>
  <c r="AK42" i="2" a="1"/>
  <c r="AO43" i="2" a="1"/>
  <c r="AO44" i="2" a="1"/>
  <c r="AO45" i="2" a="1"/>
  <c r="AS46" i="2" a="1"/>
  <c r="AO47" i="2" a="1"/>
  <c r="AO48" i="2" a="1"/>
  <c r="AS49" i="2" a="1"/>
  <c r="AK50" i="2" a="1"/>
  <c r="AO51" i="2" a="1"/>
  <c r="AO52" i="2" a="1"/>
  <c r="AT39" i="2" a="1"/>
  <c r="AP41" i="2" a="1"/>
  <c r="AT42" i="2" a="1"/>
  <c r="AH44" i="2" a="1"/>
  <c r="AL45" i="2" a="1"/>
  <c r="AL47" i="2" a="1"/>
  <c r="AH49" i="2" a="1"/>
  <c r="AH50" i="2" a="1"/>
  <c r="AP51" i="2" a="1"/>
  <c r="AT52" i="2" a="1"/>
  <c r="AD40" i="2" a="1"/>
  <c r="AD44" i="2" a="1"/>
  <c r="AD48" i="2" a="1"/>
  <c r="AD52" i="2" a="1"/>
  <c r="AD50" i="2" a="1"/>
  <c r="AD51" i="2" a="1"/>
  <c r="AD46" i="2" a="1"/>
  <c r="AD47" i="2" a="1"/>
  <c r="AD41" i="2" a="1"/>
  <c r="AD45" i="2" a="1"/>
  <c r="AD49" i="2" a="1"/>
  <c r="AD42" i="2" a="1"/>
  <c r="AD43" i="2" a="1"/>
  <c r="AD39" i="2" a="1"/>
  <c r="AQ23" i="2" a="1"/>
  <c r="AE23" i="2" a="1"/>
  <c r="AI23" i="2" a="1"/>
  <c r="AM23" i="2" a="1"/>
  <c r="AE24" i="2" a="1"/>
  <c r="AI24" i="2" a="1"/>
  <c r="AM24" i="2" a="1"/>
  <c r="AQ24" i="2" a="1"/>
  <c r="AE25" i="2" a="1"/>
  <c r="AI25" i="2" a="1"/>
  <c r="AM25" i="2" a="1"/>
  <c r="AQ25" i="2" a="1"/>
  <c r="AE26" i="2" a="1"/>
  <c r="AI26" i="2" a="1"/>
  <c r="AM26" i="2" a="1"/>
  <c r="AQ26" i="2" a="1"/>
  <c r="AE27" i="2" a="1"/>
  <c r="AI27" i="2" a="1"/>
  <c r="AM27" i="2" a="1"/>
  <c r="AQ27" i="2" a="1"/>
  <c r="AE28" i="2" a="1"/>
  <c r="AI28" i="2" a="1"/>
  <c r="AM28" i="2" a="1"/>
  <c r="AQ28" i="2" a="1"/>
  <c r="AE29" i="2" a="1"/>
  <c r="AI29" i="2" a="1"/>
  <c r="AM29" i="2" a="1"/>
  <c r="AQ29" i="2" a="1"/>
  <c r="AE30" i="2" a="1"/>
  <c r="AI30" i="2" a="1"/>
  <c r="AM30" i="2" a="1"/>
  <c r="AQ30" i="2" a="1"/>
  <c r="AE31" i="2" a="1"/>
  <c r="AI31" i="2" a="1"/>
  <c r="AM31" i="2" a="1"/>
  <c r="AQ31" i="2" a="1"/>
  <c r="AE32" i="2" a="1"/>
  <c r="AI32" i="2" a="1"/>
  <c r="AM32" i="2" a="1"/>
  <c r="AQ32" i="2" a="1"/>
  <c r="AE33" i="2" a="1"/>
  <c r="AI33" i="2" a="1"/>
  <c r="AM33" i="2" a="1"/>
  <c r="AQ33" i="2" a="1"/>
  <c r="AI34" i="2" a="1"/>
  <c r="AM34" i="2" a="1"/>
  <c r="AQ34" i="2" a="1"/>
  <c r="AE35" i="2" a="1"/>
  <c r="AI35" i="2" a="1"/>
  <c r="AM35" i="2" a="1"/>
  <c r="AQ35" i="2" a="1"/>
  <c r="AI36" i="2" a="1"/>
  <c r="AM36" i="2" a="1"/>
  <c r="AQ36" i="2" a="1"/>
  <c r="AG23" i="2" a="1"/>
  <c r="AG24" i="2" a="1"/>
  <c r="AG25" i="2" a="1"/>
  <c r="AG26" i="2" a="1"/>
  <c r="AG27" i="2" a="1"/>
  <c r="AG28" i="2" a="1"/>
  <c r="AG29" i="2" a="1"/>
  <c r="AG30" i="2" a="1"/>
  <c r="AG31" i="2" a="1"/>
  <c r="AG32" i="2" a="1"/>
  <c r="AG33" i="2" a="1"/>
  <c r="AG34" i="2" a="1"/>
  <c r="AG35" i="2" a="1"/>
  <c r="AG36" i="2" a="1"/>
  <c r="AN34" i="2" a="1"/>
  <c r="AN36" i="2" a="1"/>
  <c r="AS23" i="2" a="1"/>
  <c r="AK24" i="2" a="1"/>
  <c r="AK25" i="2" a="1"/>
  <c r="AK26" i="2" a="1"/>
  <c r="AK27" i="2" a="1"/>
  <c r="AK28" i="2" a="1"/>
  <c r="AK29" i="2" a="1"/>
  <c r="AK30" i="2" a="1"/>
  <c r="AK31" i="2" a="1"/>
  <c r="AK32" i="2" a="1"/>
  <c r="AK33" i="2" a="1"/>
  <c r="AK34" i="2" a="1"/>
  <c r="AK35" i="2" a="1"/>
  <c r="AK36" i="2" a="1"/>
  <c r="AF23" i="2" a="1"/>
  <c r="AJ23" i="2" a="1"/>
  <c r="AN23" i="2" a="1"/>
  <c r="AR23" i="2" a="1"/>
  <c r="AF24" i="2" a="1"/>
  <c r="AJ24" i="2" a="1"/>
  <c r="AN24" i="2" a="1"/>
  <c r="AR24" i="2" a="1"/>
  <c r="AF25" i="2" a="1"/>
  <c r="AJ25" i="2" a="1"/>
  <c r="AN25" i="2" a="1"/>
  <c r="AR25" i="2" a="1"/>
  <c r="AF26" i="2" a="1"/>
  <c r="AJ26" i="2" a="1"/>
  <c r="AN26" i="2" a="1"/>
  <c r="AR26" i="2" a="1"/>
  <c r="AF27" i="2" a="1"/>
  <c r="AJ27" i="2" a="1"/>
  <c r="AN27" i="2" a="1"/>
  <c r="AR27" i="2" a="1"/>
  <c r="AF28" i="2" a="1"/>
  <c r="AJ28" i="2" a="1"/>
  <c r="AN28" i="2" a="1"/>
  <c r="AR28" i="2" a="1"/>
  <c r="AF29" i="2" a="1"/>
  <c r="AJ29" i="2" a="1"/>
  <c r="AN29" i="2" a="1"/>
  <c r="AR29" i="2" a="1"/>
  <c r="AF30" i="2" a="1"/>
  <c r="AJ30" i="2" a="1"/>
  <c r="AN30" i="2" a="1"/>
  <c r="AR30" i="2" a="1"/>
  <c r="AF31" i="2" a="1"/>
  <c r="AJ31" i="2" a="1"/>
  <c r="AN31" i="2" a="1"/>
  <c r="AR31" i="2" a="1"/>
  <c r="AF32" i="2" a="1"/>
  <c r="AJ32" i="2" a="1"/>
  <c r="AN32" i="2" a="1"/>
  <c r="AR32" i="2" a="1"/>
  <c r="AF33" i="2" a="1"/>
  <c r="AJ33" i="2" a="1"/>
  <c r="AN33" i="2" a="1"/>
  <c r="AR33" i="2" a="1"/>
  <c r="AF34" i="2" a="1"/>
  <c r="AJ34" i="2" a="1"/>
  <c r="AR34" i="2" a="1"/>
  <c r="AF35" i="2" a="1"/>
  <c r="AJ35" i="2" a="1"/>
  <c r="AN35" i="2" a="1"/>
  <c r="AR35" i="2" a="1"/>
  <c r="AF36" i="2" a="1"/>
  <c r="AJ36" i="2" a="1"/>
  <c r="AR36" i="2" a="1"/>
  <c r="AO23" i="2" a="1"/>
  <c r="AO24" i="2" a="1"/>
  <c r="AS25" i="2" a="1"/>
  <c r="AS26" i="2" a="1"/>
  <c r="AS27" i="2" a="1"/>
  <c r="AO28" i="2" a="1"/>
  <c r="AO29" i="2" a="1"/>
  <c r="AO30" i="2" a="1"/>
  <c r="AO31" i="2" a="1"/>
  <c r="AO32" i="2" a="1"/>
  <c r="AO33" i="2" a="1"/>
  <c r="AS34" i="2" a="1"/>
  <c r="AS35" i="2" a="1"/>
  <c r="AS36" i="2" a="1"/>
  <c r="AE34" i="2" a="1"/>
  <c r="AE36" i="2" a="1"/>
  <c r="AK23" i="2" a="1"/>
  <c r="AS24" i="2" a="1"/>
  <c r="AO25" i="2" a="1"/>
  <c r="AO26" i="2" a="1"/>
  <c r="AO27" i="2" a="1"/>
  <c r="AS28" i="2" a="1"/>
  <c r="AS29" i="2" a="1"/>
  <c r="AS30" i="2" a="1"/>
  <c r="AS31" i="2" a="1"/>
  <c r="AS32" i="2" a="1"/>
  <c r="AS33" i="2" a="1"/>
  <c r="AO34" i="2" a="1"/>
  <c r="AO35" i="2" a="1"/>
  <c r="AO36" i="2" a="1"/>
  <c r="AH29" i="2" a="1"/>
  <c r="AH34" i="2" a="1"/>
  <c r="AH36" i="2" a="1"/>
  <c r="AL24" i="2" a="1"/>
  <c r="AL25" i="2" a="1"/>
  <c r="AL26" i="2" a="1"/>
  <c r="AL28" i="2" a="1"/>
  <c r="AL30" i="2" a="1"/>
  <c r="AL31" i="2" a="1"/>
  <c r="AL32" i="2" a="1"/>
  <c r="AL35" i="2" a="1"/>
  <c r="AP34" i="2" a="1"/>
  <c r="AH23" i="2" a="1"/>
  <c r="AH24" i="2" a="1"/>
  <c r="AH25" i="2" a="1"/>
  <c r="AH26" i="2" a="1"/>
  <c r="AH27" i="2" a="1"/>
  <c r="AH28" i="2" a="1"/>
  <c r="AH30" i="2" a="1"/>
  <c r="AH31" i="2" a="1"/>
  <c r="AH32" i="2" a="1"/>
  <c r="AH33" i="2" a="1"/>
  <c r="AH35" i="2" a="1"/>
  <c r="AL29" i="2" a="1"/>
  <c r="AL33" i="2" a="1"/>
  <c r="AL36" i="2" a="1"/>
  <c r="AP32" i="2" a="1"/>
  <c r="AL27" i="2" a="1"/>
  <c r="AL34" i="2" a="1"/>
  <c r="AP31" i="2" a="1"/>
  <c r="AP36" i="2" a="1"/>
  <c r="AL23" i="2" a="1"/>
  <c r="AP23" i="2" a="1"/>
  <c r="AP24" i="2" a="1"/>
  <c r="AP25" i="2" a="1"/>
  <c r="AP26" i="2" a="1"/>
  <c r="AP27" i="2" a="1"/>
  <c r="AP28" i="2" a="1"/>
  <c r="AP29" i="2" a="1"/>
  <c r="AP30" i="2" a="1"/>
  <c r="AP33" i="2" a="1"/>
  <c r="AP35" i="2" a="1"/>
  <c r="AT23" i="2" a="1"/>
  <c r="AT24" i="2" a="1"/>
  <c r="AT25" i="2" a="1"/>
  <c r="AT26" i="2" a="1"/>
  <c r="AT27" i="2" a="1"/>
  <c r="AT28" i="2" a="1"/>
  <c r="AT29" i="2" a="1"/>
  <c r="AT30" i="2" a="1"/>
  <c r="AT31" i="2" a="1"/>
  <c r="AT32" i="2" a="1"/>
  <c r="AT33" i="2" a="1"/>
  <c r="AT34" i="2" a="1"/>
  <c r="AT35" i="2" a="1"/>
  <c r="AT36" i="2" a="1"/>
  <c r="AD24" i="2" a="1"/>
  <c r="AD28" i="2" a="1"/>
  <c r="AD32" i="2" a="1"/>
  <c r="AD36" i="2" a="1"/>
  <c r="AD31" i="2" a="1"/>
  <c r="AD34" i="2" a="1"/>
  <c r="AD27" i="2" a="1"/>
  <c r="AD25" i="2" a="1"/>
  <c r="AD29" i="2" a="1"/>
  <c r="AD33" i="2" a="1"/>
  <c r="AD30" i="2" a="1"/>
  <c r="AD35" i="2" a="1"/>
  <c r="AD26" i="2" a="1"/>
  <c r="AD23" i="2" a="1"/>
  <c r="Y87" i="2" a="1"/>
  <c r="Y91" i="2" a="1"/>
  <c r="Y95" i="2" a="1"/>
  <c r="Y99" i="2" a="1"/>
  <c r="Y98" i="2" a="1"/>
  <c r="Y97" i="2" a="1"/>
  <c r="Y94" i="2" a="1"/>
  <c r="Y88" i="2" a="1"/>
  <c r="Y92" i="2" a="1"/>
  <c r="Y96" i="2" a="1"/>
  <c r="Y100" i="2" a="1"/>
  <c r="Y93" i="2" a="1"/>
  <c r="Y89" i="2" a="1"/>
  <c r="Y90" i="2" a="1"/>
  <c r="J87" i="2" a="1"/>
  <c r="N87" i="2" a="1"/>
  <c r="R87" i="2" a="1"/>
  <c r="V87" i="2" a="1"/>
  <c r="K88" i="2" a="1"/>
  <c r="O88" i="2" a="1"/>
  <c r="S88" i="2" a="1"/>
  <c r="W88" i="2" a="1"/>
  <c r="L89" i="2" a="1"/>
  <c r="P89" i="2" a="1"/>
  <c r="T89" i="2" a="1"/>
  <c r="X89" i="2" a="1"/>
  <c r="M90" i="2" a="1"/>
  <c r="Q90" i="2" a="1"/>
  <c r="U90" i="2" a="1"/>
  <c r="J91" i="2" a="1"/>
  <c r="N91" i="2" a="1"/>
  <c r="R91" i="2" a="1"/>
  <c r="V91" i="2" a="1"/>
  <c r="K92" i="2" a="1"/>
  <c r="O92" i="2" a="1"/>
  <c r="S92" i="2" a="1"/>
  <c r="W92" i="2" a="1"/>
  <c r="L93" i="2" a="1"/>
  <c r="P93" i="2" a="1"/>
  <c r="T93" i="2" a="1"/>
  <c r="X93" i="2" a="1"/>
  <c r="M94" i="2" a="1"/>
  <c r="Q94" i="2" a="1"/>
  <c r="U94" i="2" a="1"/>
  <c r="J95" i="2" a="1"/>
  <c r="N95" i="2" a="1"/>
  <c r="R95" i="2" a="1"/>
  <c r="V95" i="2" a="1"/>
  <c r="K96" i="2" a="1"/>
  <c r="O96" i="2" a="1"/>
  <c r="S96" i="2" a="1"/>
  <c r="W96" i="2" a="1"/>
  <c r="L97" i="2" a="1"/>
  <c r="P97" i="2" a="1"/>
  <c r="T97" i="2" a="1"/>
  <c r="X97" i="2" a="1"/>
  <c r="M98" i="2" a="1"/>
  <c r="Q98" i="2" a="1"/>
  <c r="U98" i="2" a="1"/>
  <c r="N99" i="2" a="1"/>
  <c r="R99" i="2" a="1"/>
  <c r="V99" i="2" a="1"/>
  <c r="K100" i="2" a="1"/>
  <c r="O100" i="2" a="1"/>
  <c r="S100" i="2" a="1"/>
  <c r="W100" i="2" a="1"/>
  <c r="M88" i="2" a="1"/>
  <c r="U88" i="2" a="1"/>
  <c r="V89" i="2" a="1"/>
  <c r="W90" i="2" a="1"/>
  <c r="X91" i="2" a="1"/>
  <c r="J93" i="2" a="1"/>
  <c r="V93" i="2" a="1"/>
  <c r="W94" i="2" a="1"/>
  <c r="X95" i="2" a="1"/>
  <c r="J97" i="2" a="1"/>
  <c r="K98" i="2" a="1"/>
  <c r="L99" i="2" a="1"/>
  <c r="M100" i="2" a="1"/>
  <c r="P94" i="2" a="1"/>
  <c r="N96" i="2" a="1"/>
  <c r="O97" i="2" a="1"/>
  <c r="P98" i="2" a="1"/>
  <c r="U99" i="2" a="1"/>
  <c r="V100" i="2" a="1"/>
  <c r="K99" i="2" a="1"/>
  <c r="T87" i="2" a="1"/>
  <c r="N89" i="2" a="1"/>
  <c r="O90" i="2" a="1"/>
  <c r="L91" i="2" a="1"/>
  <c r="M92" i="2" a="1"/>
  <c r="N93" i="2" a="1"/>
  <c r="O94" i="2" a="1"/>
  <c r="P95" i="2" a="1"/>
  <c r="Q96" i="2" a="1"/>
  <c r="R97" i="2" a="1"/>
  <c r="O98" i="2" a="1"/>
  <c r="P99" i="2" a="1"/>
  <c r="Q100" i="2" a="1"/>
  <c r="T94" i="2" a="1"/>
  <c r="R96" i="2" a="1"/>
  <c r="S97" i="2" a="1"/>
  <c r="T98" i="2" a="1"/>
  <c r="J100" i="2" a="1"/>
  <c r="K87" i="2" a="1"/>
  <c r="O87" i="2" a="1"/>
  <c r="S87" i="2" a="1"/>
  <c r="W87" i="2" a="1"/>
  <c r="L88" i="2" a="1"/>
  <c r="P88" i="2" a="1"/>
  <c r="T88" i="2" a="1"/>
  <c r="X88" i="2" a="1"/>
  <c r="M89" i="2" a="1"/>
  <c r="Q89" i="2" a="1"/>
  <c r="U89" i="2" a="1"/>
  <c r="J90" i="2" a="1"/>
  <c r="N90" i="2" a="1"/>
  <c r="R90" i="2" a="1"/>
  <c r="V90" i="2" a="1"/>
  <c r="K91" i="2" a="1"/>
  <c r="O91" i="2" a="1"/>
  <c r="S91" i="2" a="1"/>
  <c r="W91" i="2" a="1"/>
  <c r="L92" i="2" a="1"/>
  <c r="P92" i="2" a="1"/>
  <c r="T92" i="2" a="1"/>
  <c r="X92" i="2" a="1"/>
  <c r="M93" i="2" a="1"/>
  <c r="Q93" i="2" a="1"/>
  <c r="U93" i="2" a="1"/>
  <c r="J94" i="2" a="1"/>
  <c r="N94" i="2" a="1"/>
  <c r="R94" i="2" a="1"/>
  <c r="V94" i="2" a="1"/>
  <c r="K95" i="2" a="1"/>
  <c r="O95" i="2" a="1"/>
  <c r="S95" i="2" a="1"/>
  <c r="W95" i="2" a="1"/>
  <c r="L96" i="2" a="1"/>
  <c r="P96" i="2" a="1"/>
  <c r="T96" i="2" a="1"/>
  <c r="X96" i="2" a="1"/>
  <c r="M97" i="2" a="1"/>
  <c r="Q97" i="2" a="1"/>
  <c r="U97" i="2" a="1"/>
  <c r="J98" i="2" a="1"/>
  <c r="N98" i="2" a="1"/>
  <c r="R98" i="2" a="1"/>
  <c r="V98" i="2" a="1"/>
  <c r="O99" i="2" a="1"/>
  <c r="S99" i="2" a="1"/>
  <c r="W99" i="2" a="1"/>
  <c r="L100" i="2" a="1"/>
  <c r="P100" i="2" a="1"/>
  <c r="T100" i="2" a="1"/>
  <c r="X100" i="2" a="1"/>
  <c r="X87" i="2" a="1"/>
  <c r="Q88" i="2" a="1"/>
  <c r="R89" i="2" a="1"/>
  <c r="S90" i="2" a="1"/>
  <c r="T91" i="2" a="1"/>
  <c r="U92" i="2" a="1"/>
  <c r="R93" i="2" a="1"/>
  <c r="S94" i="2" a="1"/>
  <c r="T95" i="2" a="1"/>
  <c r="U96" i="2" a="1"/>
  <c r="V97" i="2" a="1"/>
  <c r="W98" i="2" a="1"/>
  <c r="X99" i="2" a="1"/>
  <c r="M95" i="2" a="1"/>
  <c r="V96" i="2" a="1"/>
  <c r="W97" i="2" a="1"/>
  <c r="X98" i="2" a="1"/>
  <c r="N100" i="2" a="1"/>
  <c r="J96" i="2" a="1"/>
  <c r="L87" i="2" a="1"/>
  <c r="U95" i="2" a="1"/>
  <c r="M87" i="2" a="1"/>
  <c r="Q87" i="2" a="1"/>
  <c r="U87" i="2" a="1"/>
  <c r="J88" i="2" a="1"/>
  <c r="N88" i="2" a="1"/>
  <c r="R88" i="2" a="1"/>
  <c r="V88" i="2" a="1"/>
  <c r="K89" i="2" a="1"/>
  <c r="O89" i="2" a="1"/>
  <c r="S89" i="2" a="1"/>
  <c r="W89" i="2" a="1"/>
  <c r="L90" i="2" a="1"/>
  <c r="P90" i="2" a="1"/>
  <c r="T90" i="2" a="1"/>
  <c r="X90" i="2" a="1"/>
  <c r="M91" i="2" a="1"/>
  <c r="Q91" i="2" a="1"/>
  <c r="U91" i="2" a="1"/>
  <c r="J92" i="2" a="1"/>
  <c r="N92" i="2" a="1"/>
  <c r="R92" i="2" a="1"/>
  <c r="V92" i="2" a="1"/>
  <c r="K93" i="2" a="1"/>
  <c r="O93" i="2" a="1"/>
  <c r="S93" i="2" a="1"/>
  <c r="W93" i="2" a="1"/>
  <c r="L94" i="2" a="1"/>
  <c r="Q95" i="2" a="1"/>
  <c r="Q99" i="2" a="1"/>
  <c r="J99" i="2" a="1"/>
  <c r="P87" i="2" a="1"/>
  <c r="J89" i="2" a="1"/>
  <c r="K90" i="2" a="1"/>
  <c r="P91" i="2" a="1"/>
  <c r="Q92" i="2" a="1"/>
  <c r="K94" i="2" a="1"/>
  <c r="L95" i="2" a="1"/>
  <c r="M96" i="2" a="1"/>
  <c r="N97" i="2" a="1"/>
  <c r="S98" i="2" a="1"/>
  <c r="T99" i="2" a="1"/>
  <c r="U100" i="2" a="1"/>
  <c r="X94" i="2" a="1"/>
  <c r="K97" i="2" a="1"/>
  <c r="L98" i="2" a="1"/>
  <c r="M99" i="2" a="1"/>
  <c r="R100" i="2" a="1"/>
  <c r="I100" i="2" a="1"/>
  <c r="I88" i="2" a="1"/>
  <c r="I92" i="2" a="1"/>
  <c r="I96" i="2" a="1"/>
  <c r="I98" i="2" a="1"/>
  <c r="I91" i="2" a="1"/>
  <c r="I95" i="2" a="1"/>
  <c r="I89" i="2" a="1"/>
  <c r="I93" i="2" a="1"/>
  <c r="I97" i="2" a="1"/>
  <c r="I94" i="2" a="1"/>
  <c r="I99" i="2" a="1"/>
  <c r="I90" i="2" a="1"/>
  <c r="I87" i="2" a="1"/>
  <c r="J71" i="2" a="1"/>
  <c r="N71" i="2" a="1"/>
  <c r="R71" i="2" a="1"/>
  <c r="V71" i="2" a="1"/>
  <c r="J72" i="2" a="1"/>
  <c r="N72" i="2" a="1"/>
  <c r="R72" i="2" a="1"/>
  <c r="V72" i="2" a="1"/>
  <c r="J73" i="2" a="1"/>
  <c r="N73" i="2" a="1"/>
  <c r="R73" i="2" a="1"/>
  <c r="V73" i="2" a="1"/>
  <c r="J74" i="2" a="1"/>
  <c r="N74" i="2" a="1"/>
  <c r="R74" i="2" a="1"/>
  <c r="V74" i="2" a="1"/>
  <c r="J75" i="2" a="1"/>
  <c r="N75" i="2" a="1"/>
  <c r="R75" i="2" a="1"/>
  <c r="V75" i="2" a="1"/>
  <c r="J76" i="2" a="1"/>
  <c r="N76" i="2" a="1"/>
  <c r="R76" i="2" a="1"/>
  <c r="V76" i="2" a="1"/>
  <c r="J77" i="2" a="1"/>
  <c r="N77" i="2" a="1"/>
  <c r="R77" i="2" a="1"/>
  <c r="V77" i="2" a="1"/>
  <c r="J78" i="2" a="1"/>
  <c r="N78" i="2" a="1"/>
  <c r="R78" i="2" a="1"/>
  <c r="V78" i="2" a="1"/>
  <c r="J79" i="2" a="1"/>
  <c r="N79" i="2" a="1"/>
  <c r="R79" i="2" a="1"/>
  <c r="V79" i="2" a="1"/>
  <c r="J80" i="2" a="1"/>
  <c r="N80" i="2" a="1"/>
  <c r="R80" i="2" a="1"/>
  <c r="V80" i="2" a="1"/>
  <c r="J81" i="2" a="1"/>
  <c r="N81" i="2" a="1"/>
  <c r="R81" i="2" a="1"/>
  <c r="V81" i="2" a="1"/>
  <c r="J82" i="2" a="1"/>
  <c r="N82" i="2" a="1"/>
  <c r="R82" i="2" a="1"/>
  <c r="V82" i="2" a="1"/>
  <c r="J83" i="2" a="1"/>
  <c r="N83" i="2" a="1"/>
  <c r="R83" i="2" a="1"/>
  <c r="V83" i="2" a="1"/>
  <c r="J84" i="2" a="1"/>
  <c r="N84" i="2" a="1"/>
  <c r="R84" i="2" a="1"/>
  <c r="K81" i="2" a="1"/>
  <c r="O83" i="2" a="1"/>
  <c r="K84" i="2" a="1"/>
  <c r="S84" i="2" a="1"/>
  <c r="K71" i="2" a="1"/>
  <c r="O71" i="2" a="1"/>
  <c r="S71" i="2" a="1"/>
  <c r="W71" i="2" a="1"/>
  <c r="K72" i="2" a="1"/>
  <c r="O72" i="2" a="1"/>
  <c r="S72" i="2" a="1"/>
  <c r="W72" i="2" a="1"/>
  <c r="K73" i="2" a="1"/>
  <c r="O73" i="2" a="1"/>
  <c r="S73" i="2" a="1"/>
  <c r="W73" i="2" a="1"/>
  <c r="K74" i="2" a="1"/>
  <c r="O74" i="2" a="1"/>
  <c r="S74" i="2" a="1"/>
  <c r="W74" i="2" a="1"/>
  <c r="K75" i="2" a="1"/>
  <c r="O75" i="2" a="1"/>
  <c r="S75" i="2" a="1"/>
  <c r="W75" i="2" a="1"/>
  <c r="K76" i="2" a="1"/>
  <c r="O76" i="2" a="1"/>
  <c r="S76" i="2" a="1"/>
  <c r="W76" i="2" a="1"/>
  <c r="K77" i="2" a="1"/>
  <c r="O77" i="2" a="1"/>
  <c r="S77" i="2" a="1"/>
  <c r="W77" i="2" a="1"/>
  <c r="K78" i="2" a="1"/>
  <c r="O78" i="2" a="1"/>
  <c r="S78" i="2" a="1"/>
  <c r="W78" i="2" a="1"/>
  <c r="K79" i="2" a="1"/>
  <c r="O79" i="2" a="1"/>
  <c r="S79" i="2" a="1"/>
  <c r="W79" i="2" a="1"/>
  <c r="K80" i="2" a="1"/>
  <c r="O80" i="2" a="1"/>
  <c r="S80" i="2" a="1"/>
  <c r="W80" i="2" a="1"/>
  <c r="O81" i="2" a="1"/>
  <c r="S81" i="2" a="1"/>
  <c r="W81" i="2" a="1"/>
  <c r="K82" i="2" a="1"/>
  <c r="O82" i="2" a="1"/>
  <c r="S82" i="2" a="1"/>
  <c r="W82" i="2" a="1"/>
  <c r="K83" i="2" a="1"/>
  <c r="S83" i="2" a="1"/>
  <c r="W83" i="2" a="1"/>
  <c r="O84" i="2" a="1"/>
  <c r="W84" i="2" a="1"/>
  <c r="V84" i="2" a="1"/>
  <c r="L71" i="2" a="1"/>
  <c r="U71" i="2" a="1"/>
  <c r="L73" i="2" a="1"/>
  <c r="U73" i="2" a="1"/>
  <c r="L75" i="2" a="1"/>
  <c r="U75" i="2" a="1"/>
  <c r="L77" i="2" a="1"/>
  <c r="U77" i="2" a="1"/>
  <c r="L79" i="2" a="1"/>
  <c r="U79" i="2" a="1"/>
  <c r="L81" i="2" a="1"/>
  <c r="U81" i="2" a="1"/>
  <c r="Y82" i="2" a="1"/>
  <c r="M84" i="2" a="1"/>
  <c r="Y81" i="2" a="1"/>
  <c r="X83" i="2" a="1"/>
  <c r="L74" i="2" a="1"/>
  <c r="U76" i="2" a="1"/>
  <c r="L80" i="2" a="1"/>
  <c r="T84" i="2" a="1"/>
  <c r="X74" i="2" a="1"/>
  <c r="X76" i="2" a="1"/>
  <c r="U82" i="2" a="1"/>
  <c r="M72" i="2" a="1"/>
  <c r="T75" i="2" a="1"/>
  <c r="M80" i="2" a="1"/>
  <c r="Q83" i="2" a="1"/>
  <c r="X71" i="2" a="1"/>
  <c r="Q72" i="2" a="1"/>
  <c r="X73" i="2" a="1"/>
  <c r="Q74" i="2" a="1"/>
  <c r="X75" i="2" a="1"/>
  <c r="Q76" i="2" a="1"/>
  <c r="X77" i="2" a="1"/>
  <c r="Q78" i="2" a="1"/>
  <c r="X79" i="2" a="1"/>
  <c r="Q80" i="2" a="1"/>
  <c r="X81" i="2" a="1"/>
  <c r="Q82" i="2" a="1"/>
  <c r="L83" i="2" a="1"/>
  <c r="U83" i="2" a="1"/>
  <c r="P84" i="2" a="1"/>
  <c r="Y84" i="2" a="1"/>
  <c r="Y75" i="2" a="1"/>
  <c r="Y79" i="2" a="1"/>
  <c r="T82" i="2" a="1"/>
  <c r="Q84" i="2" a="1"/>
  <c r="U72" i="2" a="1"/>
  <c r="L76" i="2" a="1"/>
  <c r="U80" i="2" a="1"/>
  <c r="Q75" i="2" a="1"/>
  <c r="Q79" i="2" a="1"/>
  <c r="T73" i="2" a="1"/>
  <c r="M78" i="2" a="1"/>
  <c r="T81" i="2" a="1"/>
  <c r="L84" i="2" a="1"/>
  <c r="M71" i="2" a="1"/>
  <c r="T72" i="2" a="1"/>
  <c r="M73" i="2" a="1"/>
  <c r="T74" i="2" a="1"/>
  <c r="M75" i="2" a="1"/>
  <c r="T76" i="2" a="1"/>
  <c r="M77" i="2" a="1"/>
  <c r="T78" i="2" a="1"/>
  <c r="M79" i="2" a="1"/>
  <c r="T80" i="2" a="1"/>
  <c r="M81" i="2" a="1"/>
  <c r="P71" i="2" a="1"/>
  <c r="Y71" i="2" a="1"/>
  <c r="P73" i="2" a="1"/>
  <c r="Y73" i="2" a="1"/>
  <c r="P75" i="2" a="1"/>
  <c r="P77" i="2" a="1"/>
  <c r="Y77" i="2" a="1"/>
  <c r="P79" i="2" a="1"/>
  <c r="P81" i="2" a="1"/>
  <c r="M83" i="2" a="1"/>
  <c r="L72" i="2" a="1"/>
  <c r="U78" i="2" a="1"/>
  <c r="P83" i="2" a="1"/>
  <c r="X72" i="2" a="1"/>
  <c r="X78" i="2" a="1"/>
  <c r="Q81" i="2" a="1"/>
  <c r="Y83" i="2" a="1"/>
  <c r="M74" i="2" a="1"/>
  <c r="T77" i="2" a="1"/>
  <c r="M82" i="2" a="1"/>
  <c r="U84" i="2" a="1"/>
  <c r="Q71" i="2" a="1"/>
  <c r="T71" i="2" a="1"/>
  <c r="P72" i="2" a="1"/>
  <c r="Y72" i="2" a="1"/>
  <c r="P74" i="2" a="1"/>
  <c r="Y74" i="2" a="1"/>
  <c r="P76" i="2" a="1"/>
  <c r="Y76" i="2" a="1"/>
  <c r="P78" i="2" a="1"/>
  <c r="Y78" i="2" a="1"/>
  <c r="P80" i="2" a="1"/>
  <c r="Y80" i="2" a="1"/>
  <c r="P82" i="2" a="1"/>
  <c r="T83" i="2" a="1"/>
  <c r="X84" i="2" a="1"/>
  <c r="U74" i="2" a="1"/>
  <c r="L78" i="2" a="1"/>
  <c r="L82" i="2" a="1"/>
  <c r="Q73" i="2" a="1"/>
  <c r="Q77" i="2" a="1"/>
  <c r="X80" i="2" a="1"/>
  <c r="M76" i="2" a="1"/>
  <c r="T79" i="2" a="1"/>
  <c r="X82" i="2" a="1"/>
  <c r="I72" i="2" a="1"/>
  <c r="I76" i="2" a="1"/>
  <c r="I80" i="2" a="1"/>
  <c r="I84" i="2" a="1"/>
  <c r="I78" i="2" a="1"/>
  <c r="I82" i="2" a="1"/>
  <c r="I73" i="2" a="1"/>
  <c r="I77" i="2" a="1"/>
  <c r="I81" i="2" a="1"/>
  <c r="I74" i="2" a="1"/>
  <c r="I83" i="2" a="1"/>
  <c r="I75" i="2" a="1"/>
  <c r="I79" i="2" a="1"/>
  <c r="I71" i="2" a="1"/>
  <c r="I56" i="2" a="1"/>
  <c r="I55" i="2" a="1"/>
  <c r="I39" i="2" l="1"/>
  <c r="I23" i="2"/>
  <c r="Y103" i="4"/>
  <c r="J101" i="4"/>
  <c r="X91" i="4"/>
  <c r="M102" i="4"/>
  <c r="X103" i="4"/>
  <c r="U102" i="4"/>
  <c r="N102" i="4"/>
  <c r="X101" i="4"/>
  <c r="U100" i="4"/>
  <c r="N100" i="4"/>
  <c r="X99" i="4"/>
  <c r="P99" i="4"/>
  <c r="X98" i="4"/>
  <c r="P98" i="4"/>
  <c r="X97" i="4"/>
  <c r="P97" i="4"/>
  <c r="L96" i="4"/>
  <c r="X93" i="4"/>
  <c r="T102" i="4"/>
  <c r="T100" i="4"/>
  <c r="V103" i="4"/>
  <c r="V101" i="4"/>
  <c r="T94" i="4"/>
  <c r="Y102" i="4"/>
  <c r="Y100" i="4"/>
  <c r="U99" i="4"/>
  <c r="M98" i="4"/>
  <c r="X95" i="4"/>
  <c r="T91" i="4"/>
  <c r="N103" i="4"/>
  <c r="N101" i="4"/>
  <c r="T99" i="4"/>
  <c r="L98" i="4"/>
  <c r="P94" i="4"/>
  <c r="T103" i="4"/>
  <c r="Q102" i="4"/>
  <c r="J102" i="4"/>
  <c r="T101" i="4"/>
  <c r="Q100" i="4"/>
  <c r="J100" i="4"/>
  <c r="P96" i="4"/>
  <c r="P93" i="4"/>
  <c r="P92" i="4"/>
  <c r="P91" i="4"/>
  <c r="P90" i="4"/>
  <c r="Q103" i="4"/>
  <c r="Q101" i="4"/>
  <c r="X92" i="4"/>
  <c r="P103" i="4"/>
  <c r="M100" i="4"/>
  <c r="R102" i="4"/>
  <c r="R100" i="4"/>
  <c r="M99" i="4"/>
  <c r="U97" i="4"/>
  <c r="T92" i="4"/>
  <c r="U103" i="4"/>
  <c r="U101" i="4"/>
  <c r="L99" i="4"/>
  <c r="T97" i="4"/>
  <c r="L95" i="4"/>
  <c r="M103" i="4"/>
  <c r="V102" i="4"/>
  <c r="P102" i="4"/>
  <c r="M101" i="4"/>
  <c r="V100" i="4"/>
  <c r="P100" i="4"/>
  <c r="T95" i="4"/>
  <c r="L94" i="4"/>
  <c r="J103" i="4"/>
  <c r="P95" i="4"/>
  <c r="X90" i="4"/>
  <c r="P101" i="4"/>
  <c r="T96" i="4"/>
  <c r="T93" i="4"/>
  <c r="L102" i="4"/>
  <c r="L100" i="4"/>
  <c r="U98" i="4"/>
  <c r="M97" i="4"/>
  <c r="T90" i="4"/>
  <c r="X102" i="4"/>
  <c r="X100" i="4"/>
  <c r="T98" i="4"/>
  <c r="L97" i="4"/>
  <c r="R103" i="4"/>
  <c r="L103" i="4"/>
  <c r="Y101" i="4"/>
  <c r="R101" i="4"/>
  <c r="L101" i="4"/>
  <c r="Y99" i="4"/>
  <c r="Q99" i="4"/>
  <c r="Y98" i="4"/>
  <c r="Q98" i="4"/>
  <c r="Y97" i="4"/>
  <c r="Q97" i="4"/>
  <c r="X96" i="4"/>
  <c r="X94" i="4"/>
  <c r="L93" i="4"/>
  <c r="L92" i="4"/>
  <c r="L91" i="4"/>
  <c r="L90" i="4"/>
  <c r="Y96" i="4"/>
  <c r="U96" i="4"/>
  <c r="Q96" i="4"/>
  <c r="M96" i="4"/>
  <c r="Y95" i="4"/>
  <c r="U95" i="4"/>
  <c r="Q95" i="4"/>
  <c r="M95" i="4"/>
  <c r="Y94" i="4"/>
  <c r="U94" i="4"/>
  <c r="Q94" i="4"/>
  <c r="M94" i="4"/>
  <c r="Y93" i="4"/>
  <c r="U93" i="4"/>
  <c r="Q93" i="4"/>
  <c r="M93" i="4"/>
  <c r="Y92" i="4"/>
  <c r="U92" i="4"/>
  <c r="Q92" i="4"/>
  <c r="M92" i="4"/>
  <c r="Y91" i="4"/>
  <c r="U91" i="4"/>
  <c r="Q91" i="4"/>
  <c r="M91" i="4"/>
  <c r="Y90" i="4"/>
  <c r="U90" i="4"/>
  <c r="Q90" i="4"/>
  <c r="M90" i="4"/>
  <c r="S103" i="4"/>
  <c r="K103" i="4"/>
  <c r="S102" i="4"/>
  <c r="K102" i="4"/>
  <c r="S101" i="4"/>
  <c r="K101" i="4"/>
  <c r="O100" i="4"/>
  <c r="W99" i="4"/>
  <c r="K99" i="4"/>
  <c r="S98" i="4"/>
  <c r="K98" i="4"/>
  <c r="O97" i="4"/>
  <c r="S96" i="4"/>
  <c r="K96" i="4"/>
  <c r="S95" i="4"/>
  <c r="K95" i="4"/>
  <c r="S94" i="4"/>
  <c r="K94" i="4"/>
  <c r="S93" i="4"/>
  <c r="K93" i="4"/>
  <c r="S92" i="4"/>
  <c r="K92" i="4"/>
  <c r="O91" i="4"/>
  <c r="W90" i="4"/>
  <c r="K90" i="4"/>
  <c r="W103" i="4"/>
  <c r="O103" i="4"/>
  <c r="W102" i="4"/>
  <c r="O102" i="4"/>
  <c r="W101" i="4"/>
  <c r="O101" i="4"/>
  <c r="W100" i="4"/>
  <c r="S100" i="4"/>
  <c r="K100" i="4"/>
  <c r="S99" i="4"/>
  <c r="O99" i="4"/>
  <c r="W98" i="4"/>
  <c r="O98" i="4"/>
  <c r="W97" i="4"/>
  <c r="S97" i="4"/>
  <c r="K97" i="4"/>
  <c r="W96" i="4"/>
  <c r="O96" i="4"/>
  <c r="W95" i="4"/>
  <c r="O95" i="4"/>
  <c r="W94" i="4"/>
  <c r="O94" i="4"/>
  <c r="W93" i="4"/>
  <c r="O93" i="4"/>
  <c r="W92" i="4"/>
  <c r="O92" i="4"/>
  <c r="W91" i="4"/>
  <c r="S91" i="4"/>
  <c r="K91" i="4"/>
  <c r="S90" i="4"/>
  <c r="O90" i="4"/>
  <c r="V99" i="4"/>
  <c r="R99" i="4"/>
  <c r="N99" i="4"/>
  <c r="J99" i="4"/>
  <c r="V98" i="4"/>
  <c r="R98" i="4"/>
  <c r="N98" i="4"/>
  <c r="J98" i="4"/>
  <c r="V97" i="4"/>
  <c r="R97" i="4"/>
  <c r="N97" i="4"/>
  <c r="J97" i="4"/>
  <c r="V96" i="4"/>
  <c r="R96" i="4"/>
  <c r="N96" i="4"/>
  <c r="J96" i="4"/>
  <c r="V95" i="4"/>
  <c r="R95" i="4"/>
  <c r="N95" i="4"/>
  <c r="J95" i="4"/>
  <c r="V94" i="4"/>
  <c r="R94" i="4"/>
  <c r="N94" i="4"/>
  <c r="J94" i="4"/>
  <c r="V93" i="4"/>
  <c r="R93" i="4"/>
  <c r="N93" i="4"/>
  <c r="J93" i="4"/>
  <c r="V92" i="4"/>
  <c r="R92" i="4"/>
  <c r="N92" i="4"/>
  <c r="J92" i="4"/>
  <c r="V91" i="4"/>
  <c r="R91" i="4"/>
  <c r="N91" i="4"/>
  <c r="J91" i="4"/>
  <c r="V90" i="4"/>
  <c r="R90" i="4"/>
  <c r="N90" i="4"/>
  <c r="J90" i="4"/>
  <c r="I98" i="4"/>
  <c r="I101" i="4"/>
  <c r="I97" i="4"/>
  <c r="I93" i="4"/>
  <c r="I100" i="4"/>
  <c r="I96" i="4"/>
  <c r="I92" i="4"/>
  <c r="I102" i="4"/>
  <c r="I94" i="4"/>
  <c r="I103" i="4"/>
  <c r="I99" i="4"/>
  <c r="I95" i="4"/>
  <c r="I91" i="4"/>
  <c r="I90" i="4"/>
  <c r="Y85" i="4"/>
  <c r="Y83" i="4"/>
  <c r="Y81" i="4"/>
  <c r="Y79" i="4"/>
  <c r="T74" i="4"/>
  <c r="N87" i="4"/>
  <c r="X86" i="4"/>
  <c r="Q86" i="4"/>
  <c r="Y77" i="4"/>
  <c r="P77" i="4"/>
  <c r="Y75" i="4"/>
  <c r="P75" i="4"/>
  <c r="Q85" i="4"/>
  <c r="Q83" i="4"/>
  <c r="Q81" i="4"/>
  <c r="Q79" i="4"/>
  <c r="M77" i="4"/>
  <c r="V86" i="4"/>
  <c r="X75" i="4"/>
  <c r="R87" i="4"/>
  <c r="X85" i="4"/>
  <c r="P84" i="4"/>
  <c r="X82" i="4"/>
  <c r="P81" i="4"/>
  <c r="X79" i="4"/>
  <c r="U77" i="4"/>
  <c r="L75" i="4"/>
  <c r="Q87" i="4"/>
  <c r="M78" i="4"/>
  <c r="Y74" i="4"/>
  <c r="U85" i="4"/>
  <c r="M84" i="4"/>
  <c r="U81" i="4"/>
  <c r="U80" i="4"/>
  <c r="U79" i="4"/>
  <c r="U78" i="4"/>
  <c r="T77" i="4"/>
  <c r="M76" i="4"/>
  <c r="T75" i="4"/>
  <c r="M74" i="4"/>
  <c r="M87" i="4"/>
  <c r="Q84" i="4"/>
  <c r="Q82" i="4"/>
  <c r="Q80" i="4"/>
  <c r="Q78" i="4"/>
  <c r="T76" i="4"/>
  <c r="Y87" i="4"/>
  <c r="Q74" i="4"/>
  <c r="U86" i="4"/>
  <c r="P85" i="4"/>
  <c r="X83" i="4"/>
  <c r="P82" i="4"/>
  <c r="X80" i="4"/>
  <c r="P79" i="4"/>
  <c r="P78" i="4"/>
  <c r="L77" i="4"/>
  <c r="N86" i="4"/>
  <c r="P76" i="4"/>
  <c r="J87" i="4"/>
  <c r="M86" i="4"/>
  <c r="U84" i="4"/>
  <c r="U83" i="4"/>
  <c r="M83" i="4"/>
  <c r="U82" i="4"/>
  <c r="M82" i="4"/>
  <c r="M81" i="4"/>
  <c r="M80" i="4"/>
  <c r="M79" i="4"/>
  <c r="V87" i="4"/>
  <c r="P87" i="4"/>
  <c r="Y86" i="4"/>
  <c r="L78" i="4"/>
  <c r="Q77" i="4"/>
  <c r="X76" i="4"/>
  <c r="Q75" i="4"/>
  <c r="X74" i="4"/>
  <c r="T87" i="4"/>
  <c r="Y84" i="4"/>
  <c r="Y82" i="4"/>
  <c r="Y80" i="4"/>
  <c r="Y78" i="4"/>
  <c r="M75" i="4"/>
  <c r="P86" i="4"/>
  <c r="X77" i="4"/>
  <c r="Q76" i="4"/>
  <c r="L87" i="4"/>
  <c r="X84" i="4"/>
  <c r="P83" i="4"/>
  <c r="X81" i="4"/>
  <c r="P80" i="4"/>
  <c r="X78" i="4"/>
  <c r="U75" i="4"/>
  <c r="X87" i="4"/>
  <c r="Y76" i="4"/>
  <c r="P74" i="4"/>
  <c r="T86" i="4"/>
  <c r="M85" i="4"/>
  <c r="U87" i="4"/>
  <c r="R86" i="4"/>
  <c r="L86" i="4"/>
  <c r="T85" i="4"/>
  <c r="L85" i="4"/>
  <c r="T84" i="4"/>
  <c r="L84" i="4"/>
  <c r="T83" i="4"/>
  <c r="L83" i="4"/>
  <c r="T82" i="4"/>
  <c r="L82" i="4"/>
  <c r="T81" i="4"/>
  <c r="L81" i="4"/>
  <c r="T80" i="4"/>
  <c r="L80" i="4"/>
  <c r="T79" i="4"/>
  <c r="L79" i="4"/>
  <c r="T78" i="4"/>
  <c r="U76" i="4"/>
  <c r="L76" i="4"/>
  <c r="U74" i="4"/>
  <c r="L74" i="4"/>
  <c r="V85" i="4"/>
  <c r="N85" i="4"/>
  <c r="V84" i="4"/>
  <c r="N84" i="4"/>
  <c r="V83" i="4"/>
  <c r="N83" i="4"/>
  <c r="V82" i="4"/>
  <c r="N82" i="4"/>
  <c r="N81" i="4"/>
  <c r="R78" i="4"/>
  <c r="S87" i="4"/>
  <c r="K87" i="4"/>
  <c r="S86" i="4"/>
  <c r="W85" i="4"/>
  <c r="O85" i="4"/>
  <c r="W84" i="4"/>
  <c r="O84" i="4"/>
  <c r="W83" i="4"/>
  <c r="O83" i="4"/>
  <c r="W82" i="4"/>
  <c r="O82" i="4"/>
  <c r="W81" i="4"/>
  <c r="O81" i="4"/>
  <c r="W80" i="4"/>
  <c r="O80" i="4"/>
  <c r="W79" i="4"/>
  <c r="O79" i="4"/>
  <c r="S78" i="4"/>
  <c r="K78" i="4"/>
  <c r="S77" i="4"/>
  <c r="W76" i="4"/>
  <c r="K76" i="4"/>
  <c r="K75" i="4"/>
  <c r="K74" i="4"/>
  <c r="W87" i="4"/>
  <c r="O87" i="4"/>
  <c r="W86" i="4"/>
  <c r="O86" i="4"/>
  <c r="K86" i="4"/>
  <c r="S85" i="4"/>
  <c r="K85" i="4"/>
  <c r="S84" i="4"/>
  <c r="K84" i="4"/>
  <c r="S83" i="4"/>
  <c r="K83" i="4"/>
  <c r="S82" i="4"/>
  <c r="K82" i="4"/>
  <c r="S81" i="4"/>
  <c r="K81" i="4"/>
  <c r="S80" i="4"/>
  <c r="K80" i="4"/>
  <c r="S79" i="4"/>
  <c r="K79" i="4"/>
  <c r="W78" i="4"/>
  <c r="O78" i="4"/>
  <c r="W77" i="4"/>
  <c r="O77" i="4"/>
  <c r="K77" i="4"/>
  <c r="S76" i="4"/>
  <c r="O76" i="4"/>
  <c r="W75" i="4"/>
  <c r="S75" i="4"/>
  <c r="O75" i="4"/>
  <c r="W74" i="4"/>
  <c r="S74" i="4"/>
  <c r="O74" i="4"/>
  <c r="J86" i="4"/>
  <c r="R85" i="4"/>
  <c r="J85" i="4"/>
  <c r="R84" i="4"/>
  <c r="J84" i="4"/>
  <c r="R83" i="4"/>
  <c r="J83" i="4"/>
  <c r="R82" i="4"/>
  <c r="J82" i="4"/>
  <c r="V81" i="4"/>
  <c r="R81" i="4"/>
  <c r="J81" i="4"/>
  <c r="V80" i="4"/>
  <c r="R80" i="4"/>
  <c r="N80" i="4"/>
  <c r="J80" i="4"/>
  <c r="V79" i="4"/>
  <c r="R79" i="4"/>
  <c r="N79" i="4"/>
  <c r="J79" i="4"/>
  <c r="V78" i="4"/>
  <c r="N78" i="4"/>
  <c r="J78" i="4"/>
  <c r="V77" i="4"/>
  <c r="R77" i="4"/>
  <c r="N77" i="4"/>
  <c r="J77" i="4"/>
  <c r="V76" i="4"/>
  <c r="R76" i="4"/>
  <c r="N76" i="4"/>
  <c r="J76" i="4"/>
  <c r="V75" i="4"/>
  <c r="R75" i="4"/>
  <c r="N75" i="4"/>
  <c r="J75" i="4"/>
  <c r="V74" i="4"/>
  <c r="R74" i="4"/>
  <c r="N74" i="4"/>
  <c r="J74" i="4"/>
  <c r="I86" i="4"/>
  <c r="I82" i="4"/>
  <c r="I78" i="4"/>
  <c r="I81" i="4"/>
  <c r="I76" i="4"/>
  <c r="I85" i="4"/>
  <c r="I77" i="4"/>
  <c r="I84" i="4"/>
  <c r="I80" i="4"/>
  <c r="I87" i="4"/>
  <c r="I83" i="4"/>
  <c r="I79" i="4"/>
  <c r="I75" i="4"/>
  <c r="I58" i="4"/>
  <c r="I74" i="4"/>
  <c r="Y61" i="4"/>
  <c r="Y60" i="4"/>
  <c r="U62" i="4"/>
  <c r="Y67" i="4"/>
  <c r="Y63" i="4"/>
  <c r="Y58" i="4"/>
  <c r="M63" i="4"/>
  <c r="Q70" i="4"/>
  <c r="Q66" i="4"/>
  <c r="U60" i="4"/>
  <c r="U71" i="4"/>
  <c r="U63" i="4"/>
  <c r="Y68" i="4"/>
  <c r="Y66" i="4"/>
  <c r="Y64" i="4"/>
  <c r="Y62" i="4"/>
  <c r="Q60" i="4"/>
  <c r="Q59" i="4"/>
  <c r="Q58" i="4"/>
  <c r="U70" i="4"/>
  <c r="U66" i="4"/>
  <c r="Y69" i="4"/>
  <c r="Y59" i="4"/>
  <c r="M69" i="4"/>
  <c r="M65" i="4"/>
  <c r="Q68" i="4"/>
  <c r="Q64" i="4"/>
  <c r="U58" i="4"/>
  <c r="U67" i="4"/>
  <c r="Y70" i="4"/>
  <c r="M70" i="4"/>
  <c r="M68" i="4"/>
  <c r="M66" i="4"/>
  <c r="M64" i="4"/>
  <c r="M62" i="4"/>
  <c r="M61" i="4"/>
  <c r="U68" i="4"/>
  <c r="U64" i="4"/>
  <c r="Y71" i="4"/>
  <c r="Y65" i="4"/>
  <c r="M71" i="4"/>
  <c r="M67" i="4"/>
  <c r="U61" i="4"/>
  <c r="Q62" i="4"/>
  <c r="U59" i="4"/>
  <c r="U69" i="4"/>
  <c r="U65" i="4"/>
  <c r="Q61" i="4"/>
  <c r="Q71" i="4"/>
  <c r="Q69" i="4"/>
  <c r="Q67" i="4"/>
  <c r="Q65" i="4"/>
  <c r="Q63" i="4"/>
  <c r="M60" i="4"/>
  <c r="M59" i="4"/>
  <c r="M58" i="4"/>
  <c r="L71" i="4"/>
  <c r="L70" i="4"/>
  <c r="L69" i="4"/>
  <c r="P68" i="4"/>
  <c r="P67" i="4"/>
  <c r="T66" i="4"/>
  <c r="X65" i="4"/>
  <c r="L65" i="4"/>
  <c r="P64" i="4"/>
  <c r="L64" i="4"/>
  <c r="X63" i="4"/>
  <c r="L63" i="4"/>
  <c r="X62" i="4"/>
  <c r="T62" i="4"/>
  <c r="P62" i="4"/>
  <c r="L62" i="4"/>
  <c r="X61" i="4"/>
  <c r="T61" i="4"/>
  <c r="P61" i="4"/>
  <c r="L61" i="4"/>
  <c r="X60" i="4"/>
  <c r="T60" i="4"/>
  <c r="P60" i="4"/>
  <c r="L60" i="4"/>
  <c r="X59" i="4"/>
  <c r="T59" i="4"/>
  <c r="P59" i="4"/>
  <c r="L59" i="4"/>
  <c r="X58" i="4"/>
  <c r="T58" i="4"/>
  <c r="P58" i="4"/>
  <c r="L58" i="4"/>
  <c r="X71" i="4"/>
  <c r="X70" i="4"/>
  <c r="X69" i="4"/>
  <c r="X68" i="4"/>
  <c r="X67" i="4"/>
  <c r="L67" i="4"/>
  <c r="P66" i="4"/>
  <c r="T65" i="4"/>
  <c r="X64" i="4"/>
  <c r="T63" i="4"/>
  <c r="W71" i="4"/>
  <c r="O71" i="4"/>
  <c r="W70" i="4"/>
  <c r="O70" i="4"/>
  <c r="W69" i="4"/>
  <c r="O69" i="4"/>
  <c r="W68" i="4"/>
  <c r="O68" i="4"/>
  <c r="W67" i="4"/>
  <c r="O67" i="4"/>
  <c r="K67" i="4"/>
  <c r="S66" i="4"/>
  <c r="O66" i="4"/>
  <c r="K66" i="4"/>
  <c r="W65" i="4"/>
  <c r="S65" i="4"/>
  <c r="O65" i="4"/>
  <c r="K65" i="4"/>
  <c r="W64" i="4"/>
  <c r="S64" i="4"/>
  <c r="K64" i="4"/>
  <c r="W63" i="4"/>
  <c r="S63" i="4"/>
  <c r="O63" i="4"/>
  <c r="K63" i="4"/>
  <c r="W62" i="4"/>
  <c r="S62" i="4"/>
  <c r="O62" i="4"/>
  <c r="K62" i="4"/>
  <c r="W61" i="4"/>
  <c r="S61" i="4"/>
  <c r="O61" i="4"/>
  <c r="K61" i="4"/>
  <c r="W60" i="4"/>
  <c r="S60" i="4"/>
  <c r="O60" i="4"/>
  <c r="K60" i="4"/>
  <c r="W59" i="4"/>
  <c r="S59" i="4"/>
  <c r="O59" i="4"/>
  <c r="K59" i="4"/>
  <c r="W58" i="4"/>
  <c r="S58" i="4"/>
  <c r="O58" i="4"/>
  <c r="K58" i="4"/>
  <c r="T71" i="4"/>
  <c r="T70" i="4"/>
  <c r="T69" i="4"/>
  <c r="T68" i="4"/>
  <c r="T67" i="4"/>
  <c r="X66" i="4"/>
  <c r="L66" i="4"/>
  <c r="P65" i="4"/>
  <c r="T64" i="4"/>
  <c r="P63" i="4"/>
  <c r="S71" i="4"/>
  <c r="K71" i="4"/>
  <c r="S70" i="4"/>
  <c r="K70" i="4"/>
  <c r="S69" i="4"/>
  <c r="K69" i="4"/>
  <c r="S68" i="4"/>
  <c r="K68" i="4"/>
  <c r="S67" i="4"/>
  <c r="W66" i="4"/>
  <c r="O64" i="4"/>
  <c r="P71" i="4"/>
  <c r="P70" i="4"/>
  <c r="P69" i="4"/>
  <c r="L68" i="4"/>
  <c r="V71" i="4"/>
  <c r="R71" i="4"/>
  <c r="N71" i="4"/>
  <c r="J71" i="4"/>
  <c r="V70" i="4"/>
  <c r="R70" i="4"/>
  <c r="N70" i="4"/>
  <c r="J70" i="4"/>
  <c r="V69" i="4"/>
  <c r="R69" i="4"/>
  <c r="N69" i="4"/>
  <c r="J69" i="4"/>
  <c r="V68" i="4"/>
  <c r="R68" i="4"/>
  <c r="N68" i="4"/>
  <c r="J68" i="4"/>
  <c r="V67" i="4"/>
  <c r="R67" i="4"/>
  <c r="N67" i="4"/>
  <c r="J67" i="4"/>
  <c r="V66" i="4"/>
  <c r="R66" i="4"/>
  <c r="N66" i="4"/>
  <c r="J66" i="4"/>
  <c r="V65" i="4"/>
  <c r="R65" i="4"/>
  <c r="N65" i="4"/>
  <c r="J65" i="4"/>
  <c r="V64" i="4"/>
  <c r="R64" i="4"/>
  <c r="N64" i="4"/>
  <c r="J64" i="4"/>
  <c r="V63" i="4"/>
  <c r="R63" i="4"/>
  <c r="N63" i="4"/>
  <c r="J63" i="4"/>
  <c r="V62" i="4"/>
  <c r="R62" i="4"/>
  <c r="N62" i="4"/>
  <c r="J62" i="4"/>
  <c r="V61" i="4"/>
  <c r="R61" i="4"/>
  <c r="N61" i="4"/>
  <c r="J61" i="4"/>
  <c r="V60" i="4"/>
  <c r="R60" i="4"/>
  <c r="N60" i="4"/>
  <c r="J60" i="4"/>
  <c r="V59" i="4"/>
  <c r="R59" i="4"/>
  <c r="N59" i="4"/>
  <c r="J59" i="4"/>
  <c r="V58" i="4"/>
  <c r="R58" i="4"/>
  <c r="N58" i="4"/>
  <c r="J58" i="4"/>
  <c r="I66" i="4"/>
  <c r="I65" i="4"/>
  <c r="I68" i="4"/>
  <c r="I60" i="4"/>
  <c r="I62" i="4"/>
  <c r="I69" i="4"/>
  <c r="I61" i="4"/>
  <c r="I64" i="4"/>
  <c r="I70" i="4"/>
  <c r="I71" i="4"/>
  <c r="I67" i="4"/>
  <c r="I63" i="4"/>
  <c r="I59" i="4"/>
  <c r="AR50" i="4"/>
  <c r="AK49" i="4"/>
  <c r="AR44" i="4"/>
  <c r="AK41" i="4"/>
  <c r="AO50" i="4"/>
  <c r="AF48" i="4"/>
  <c r="AF44" i="4"/>
  <c r="AO38" i="4"/>
  <c r="AJ49" i="4"/>
  <c r="AN51" i="4"/>
  <c r="AG50" i="4"/>
  <c r="AN49" i="4"/>
  <c r="AG48" i="4"/>
  <c r="AN47" i="4"/>
  <c r="AG46" i="4"/>
  <c r="AN45" i="4"/>
  <c r="AG44" i="4"/>
  <c r="AN43" i="4"/>
  <c r="AG42" i="4"/>
  <c r="AN41" i="4"/>
  <c r="AS39" i="4"/>
  <c r="AS38" i="4"/>
  <c r="AK47" i="4"/>
  <c r="AR40" i="4"/>
  <c r="AF50" i="4"/>
  <c r="AO46" i="4"/>
  <c r="AO39" i="4"/>
  <c r="AS49" i="4"/>
  <c r="AS45" i="4"/>
  <c r="AJ43" i="4"/>
  <c r="AG51" i="4"/>
  <c r="AG47" i="4"/>
  <c r="AN44" i="4"/>
  <c r="AN42" i="4"/>
  <c r="AK39" i="4"/>
  <c r="AR51" i="4"/>
  <c r="AK50" i="4"/>
  <c r="AR49" i="4"/>
  <c r="AK48" i="4"/>
  <c r="AR47" i="4"/>
  <c r="AK46" i="4"/>
  <c r="AR45" i="4"/>
  <c r="AK44" i="4"/>
  <c r="AR43" i="4"/>
  <c r="AK42" i="4"/>
  <c r="AR41" i="4"/>
  <c r="AR48" i="4"/>
  <c r="AK45" i="4"/>
  <c r="AR42" i="4"/>
  <c r="AO48" i="4"/>
  <c r="AO44" i="4"/>
  <c r="AF42" i="4"/>
  <c r="AS51" i="4"/>
  <c r="AJ47" i="4"/>
  <c r="AS43" i="4"/>
  <c r="AJ41" i="4"/>
  <c r="AG49" i="4"/>
  <c r="AN46" i="4"/>
  <c r="AG43" i="4"/>
  <c r="AK40" i="4"/>
  <c r="AO51" i="4"/>
  <c r="AO49" i="4"/>
  <c r="AF47" i="4"/>
  <c r="AO45" i="4"/>
  <c r="AF45" i="4"/>
  <c r="AO43" i="4"/>
  <c r="AF43" i="4"/>
  <c r="AO41" i="4"/>
  <c r="AF41" i="4"/>
  <c r="AG40" i="4"/>
  <c r="AG39" i="4"/>
  <c r="AG38" i="4"/>
  <c r="AK51" i="4"/>
  <c r="AR46" i="4"/>
  <c r="AK43" i="4"/>
  <c r="AF46" i="4"/>
  <c r="AO42" i="4"/>
  <c r="AO40" i="4"/>
  <c r="AJ51" i="4"/>
  <c r="AS47" i="4"/>
  <c r="AJ45" i="4"/>
  <c r="AS41" i="4"/>
  <c r="AN50" i="4"/>
  <c r="AN48" i="4"/>
  <c r="AG45" i="4"/>
  <c r="AG41" i="4"/>
  <c r="AK38" i="4"/>
  <c r="AF51" i="4"/>
  <c r="AF49" i="4"/>
  <c r="AO47" i="4"/>
  <c r="AS50" i="4"/>
  <c r="AJ50" i="4"/>
  <c r="AS48" i="4"/>
  <c r="AJ48" i="4"/>
  <c r="AS46" i="4"/>
  <c r="AJ46" i="4"/>
  <c r="AS44" i="4"/>
  <c r="AJ44" i="4"/>
  <c r="AS42" i="4"/>
  <c r="AJ42" i="4"/>
  <c r="AS40" i="4"/>
  <c r="AR39" i="4"/>
  <c r="AR38" i="4"/>
  <c r="AP51" i="4"/>
  <c r="AH51" i="4"/>
  <c r="AP50" i="4"/>
  <c r="AH50" i="4"/>
  <c r="AP49" i="4"/>
  <c r="AH49" i="4"/>
  <c r="AP48" i="4"/>
  <c r="AH48" i="4"/>
  <c r="AL47" i="4"/>
  <c r="AD47" i="4"/>
  <c r="AL46" i="4"/>
  <c r="AD46" i="4"/>
  <c r="AP45" i="4"/>
  <c r="AH45" i="4"/>
  <c r="AP44" i="4"/>
  <c r="AD44" i="4"/>
  <c r="AH41" i="4"/>
  <c r="AJ40" i="4"/>
  <c r="AJ39" i="4"/>
  <c r="AJ38" i="4"/>
  <c r="AM51" i="4"/>
  <c r="AE51" i="4"/>
  <c r="AM50" i="4"/>
  <c r="AE50" i="4"/>
  <c r="AM49" i="4"/>
  <c r="AE49" i="4"/>
  <c r="AE48" i="4"/>
  <c r="AM47" i="4"/>
  <c r="AE47" i="4"/>
  <c r="AM46" i="4"/>
  <c r="AE46" i="4"/>
  <c r="AM45" i="4"/>
  <c r="AE45" i="4"/>
  <c r="AQ44" i="4"/>
  <c r="AM44" i="4"/>
  <c r="AE44" i="4"/>
  <c r="AQ43" i="4"/>
  <c r="AM43" i="4"/>
  <c r="AI43" i="4"/>
  <c r="AE43" i="4"/>
  <c r="AQ42" i="4"/>
  <c r="AM42" i="4"/>
  <c r="AI42" i="4"/>
  <c r="AE42" i="4"/>
  <c r="AM41" i="4"/>
  <c r="AI41" i="4"/>
  <c r="AE41" i="4"/>
  <c r="AQ40" i="4"/>
  <c r="AM40" i="4"/>
  <c r="AI40" i="4"/>
  <c r="AE40" i="4"/>
  <c r="AQ39" i="4"/>
  <c r="AM39" i="4"/>
  <c r="AI39" i="4"/>
  <c r="AE39" i="4"/>
  <c r="AQ38" i="4"/>
  <c r="AM38" i="4"/>
  <c r="AI38" i="4"/>
  <c r="AE38" i="4"/>
  <c r="AF40" i="4"/>
  <c r="AF39" i="4"/>
  <c r="AF38" i="4"/>
  <c r="AQ51" i="4"/>
  <c r="AI51" i="4"/>
  <c r="AQ50" i="4"/>
  <c r="AI50" i="4"/>
  <c r="AQ49" i="4"/>
  <c r="AI49" i="4"/>
  <c r="AQ48" i="4"/>
  <c r="AM48" i="4"/>
  <c r="AI48" i="4"/>
  <c r="AQ47" i="4"/>
  <c r="AI47" i="4"/>
  <c r="AQ46" i="4"/>
  <c r="AI46" i="4"/>
  <c r="AQ45" i="4"/>
  <c r="AI45" i="4"/>
  <c r="AI44" i="4"/>
  <c r="AQ41" i="4"/>
  <c r="AN40" i="4"/>
  <c r="AN39" i="4"/>
  <c r="AN38" i="4"/>
  <c r="AL51" i="4"/>
  <c r="AD51" i="4"/>
  <c r="AL50" i="4"/>
  <c r="AD50" i="4"/>
  <c r="AL49" i="4"/>
  <c r="AD49" i="4"/>
  <c r="AL48" i="4"/>
  <c r="AD48" i="4"/>
  <c r="AP47" i="4"/>
  <c r="AH47" i="4"/>
  <c r="AP46" i="4"/>
  <c r="AH46" i="4"/>
  <c r="AL45" i="4"/>
  <c r="AD45" i="4"/>
  <c r="AL44" i="4"/>
  <c r="AH44" i="4"/>
  <c r="AP43" i="4"/>
  <c r="AL43" i="4"/>
  <c r="AH43" i="4"/>
  <c r="AD43" i="4"/>
  <c r="AP42" i="4"/>
  <c r="AL42" i="4"/>
  <c r="AH42" i="4"/>
  <c r="AD42" i="4"/>
  <c r="AP41" i="4"/>
  <c r="AL41" i="4"/>
  <c r="AD41" i="4"/>
  <c r="AP40" i="4"/>
  <c r="AL40" i="4"/>
  <c r="AH40" i="4"/>
  <c r="AD40" i="4"/>
  <c r="AP39" i="4"/>
  <c r="AL39" i="4"/>
  <c r="AH39" i="4"/>
  <c r="AD39" i="4"/>
  <c r="AP38" i="4"/>
  <c r="AL38" i="4"/>
  <c r="AH38" i="4"/>
  <c r="AD38" i="4"/>
  <c r="AC46" i="4"/>
  <c r="AC45" i="4"/>
  <c r="AC40" i="4"/>
  <c r="AC50" i="4"/>
  <c r="AC42" i="4"/>
  <c r="AC49" i="4"/>
  <c r="AC41" i="4"/>
  <c r="AC48" i="4"/>
  <c r="AC44" i="4"/>
  <c r="AC51" i="4"/>
  <c r="AC47" i="4"/>
  <c r="AC43" i="4"/>
  <c r="AC39" i="4"/>
  <c r="AC38" i="4"/>
  <c r="AR35" i="4"/>
  <c r="AS35" i="4"/>
  <c r="AK35" i="4"/>
  <c r="AS34" i="4"/>
  <c r="AK34" i="4"/>
  <c r="AS33" i="4"/>
  <c r="AJ33" i="4"/>
  <c r="AO32" i="4"/>
  <c r="AK31" i="4"/>
  <c r="AK29" i="4"/>
  <c r="AK27" i="4"/>
  <c r="AK25" i="4"/>
  <c r="AK23" i="4"/>
  <c r="AO30" i="4"/>
  <c r="AR34" i="4"/>
  <c r="AN32" i="4"/>
  <c r="AS27" i="4"/>
  <c r="AS23" i="4"/>
  <c r="AO33" i="4"/>
  <c r="AG27" i="4"/>
  <c r="AO34" i="4"/>
  <c r="AK30" i="4"/>
  <c r="AK24" i="4"/>
  <c r="AS32" i="4"/>
  <c r="AO31" i="4"/>
  <c r="AO29" i="4"/>
  <c r="AO27" i="4"/>
  <c r="AO25" i="4"/>
  <c r="AO23" i="4"/>
  <c r="AO26" i="4"/>
  <c r="AO22" i="4"/>
  <c r="AJ34" i="4"/>
  <c r="AS31" i="4"/>
  <c r="AS25" i="4"/>
  <c r="AG31" i="4"/>
  <c r="AG25" i="4"/>
  <c r="AO35" i="4"/>
  <c r="AG34" i="4"/>
  <c r="AK28" i="4"/>
  <c r="AK26" i="4"/>
  <c r="AF35" i="4"/>
  <c r="AK33" i="4"/>
  <c r="AS28" i="4"/>
  <c r="AS26" i="4"/>
  <c r="AS24" i="4"/>
  <c r="AS22" i="4"/>
  <c r="AO28" i="4"/>
  <c r="AO24" i="4"/>
  <c r="AJ35" i="4"/>
  <c r="AG33" i="4"/>
  <c r="AS29" i="4"/>
  <c r="AG29" i="4"/>
  <c r="AG23" i="4"/>
  <c r="AG35" i="4"/>
  <c r="AK32" i="4"/>
  <c r="AK22" i="4"/>
  <c r="AN35" i="4"/>
  <c r="AN34" i="4"/>
  <c r="AF34" i="4"/>
  <c r="AS30" i="4"/>
  <c r="AG32" i="4"/>
  <c r="AG30" i="4"/>
  <c r="AG28" i="4"/>
  <c r="AG26" i="4"/>
  <c r="AG24" i="4"/>
  <c r="AG22" i="4"/>
  <c r="AN33" i="4"/>
  <c r="AR32" i="4"/>
  <c r="AR31" i="4"/>
  <c r="AF31" i="4"/>
  <c r="AJ30" i="4"/>
  <c r="AN29" i="4"/>
  <c r="AR28" i="4"/>
  <c r="AR27" i="4"/>
  <c r="AF27" i="4"/>
  <c r="AJ26" i="4"/>
  <c r="AN25" i="4"/>
  <c r="AR24" i="4"/>
  <c r="AF24" i="4"/>
  <c r="AF23" i="4"/>
  <c r="AR22" i="4"/>
  <c r="AF22" i="4"/>
  <c r="AR33" i="4"/>
  <c r="AF33" i="4"/>
  <c r="AF32" i="4"/>
  <c r="AJ31" i="4"/>
  <c r="AN30" i="4"/>
  <c r="AR29" i="4"/>
  <c r="AF29" i="4"/>
  <c r="AJ28" i="4"/>
  <c r="AN27" i="4"/>
  <c r="AR26" i="4"/>
  <c r="AR25" i="4"/>
  <c r="AF25" i="4"/>
  <c r="AJ24" i="4"/>
  <c r="AN23" i="4"/>
  <c r="AJ22" i="4"/>
  <c r="AI35" i="4"/>
  <c r="AQ34" i="4"/>
  <c r="AI34" i="4"/>
  <c r="AQ33" i="4"/>
  <c r="AI33" i="4"/>
  <c r="AQ32" i="4"/>
  <c r="AI32" i="4"/>
  <c r="AQ31" i="4"/>
  <c r="AI31" i="4"/>
  <c r="AQ30" i="4"/>
  <c r="AI30" i="4"/>
  <c r="AQ29" i="4"/>
  <c r="AI29" i="4"/>
  <c r="AQ28" i="4"/>
  <c r="AE28" i="4"/>
  <c r="AI27" i="4"/>
  <c r="AQ26" i="4"/>
  <c r="AI26" i="4"/>
  <c r="AQ25" i="4"/>
  <c r="AE25" i="4"/>
  <c r="AM24" i="4"/>
  <c r="AE24" i="4"/>
  <c r="AQ23" i="4"/>
  <c r="AI23" i="4"/>
  <c r="AE23" i="4"/>
  <c r="AQ22" i="4"/>
  <c r="AM22" i="4"/>
  <c r="AE22" i="4"/>
  <c r="AJ32" i="4"/>
  <c r="AN31" i="4"/>
  <c r="AR30" i="4"/>
  <c r="AF30" i="4"/>
  <c r="AJ29" i="4"/>
  <c r="AN28" i="4"/>
  <c r="AF28" i="4"/>
  <c r="AJ27" i="4"/>
  <c r="AN26" i="4"/>
  <c r="AF26" i="4"/>
  <c r="AJ25" i="4"/>
  <c r="AN24" i="4"/>
  <c r="AR23" i="4"/>
  <c r="AJ23" i="4"/>
  <c r="AN22" i="4"/>
  <c r="AQ35" i="4"/>
  <c r="AM35" i="4"/>
  <c r="AE35" i="4"/>
  <c r="AM34" i="4"/>
  <c r="AE34" i="4"/>
  <c r="AM33" i="4"/>
  <c r="AE33" i="4"/>
  <c r="AM32" i="4"/>
  <c r="AE32" i="4"/>
  <c r="AM31" i="4"/>
  <c r="AE31" i="4"/>
  <c r="AM30" i="4"/>
  <c r="AE30" i="4"/>
  <c r="AM29" i="4"/>
  <c r="AE29" i="4"/>
  <c r="AM28" i="4"/>
  <c r="AI28" i="4"/>
  <c r="AQ27" i="4"/>
  <c r="AM27" i="4"/>
  <c r="AE27" i="4"/>
  <c r="AM26" i="4"/>
  <c r="AE26" i="4"/>
  <c r="AM25" i="4"/>
  <c r="AI25" i="4"/>
  <c r="AQ24" i="4"/>
  <c r="AI24" i="4"/>
  <c r="AM23" i="4"/>
  <c r="AI22" i="4"/>
  <c r="AP35" i="4"/>
  <c r="AL35" i="4"/>
  <c r="AH35" i="4"/>
  <c r="AD35" i="4"/>
  <c r="AP34" i="4"/>
  <c r="AL34" i="4"/>
  <c r="AH34" i="4"/>
  <c r="AD34" i="4"/>
  <c r="AP33" i="4"/>
  <c r="AL33" i="4"/>
  <c r="AH33" i="4"/>
  <c r="AD33" i="4"/>
  <c r="AP32" i="4"/>
  <c r="AL32" i="4"/>
  <c r="AH32" i="4"/>
  <c r="AD32" i="4"/>
  <c r="AP31" i="4"/>
  <c r="AL31" i="4"/>
  <c r="AH31" i="4"/>
  <c r="AD31" i="4"/>
  <c r="AP30" i="4"/>
  <c r="AL30" i="4"/>
  <c r="AH30" i="4"/>
  <c r="AD30" i="4"/>
  <c r="AP29" i="4"/>
  <c r="AL29" i="4"/>
  <c r="AH29" i="4"/>
  <c r="AD29" i="4"/>
  <c r="AP28" i="4"/>
  <c r="AL28" i="4"/>
  <c r="AH28" i="4"/>
  <c r="AD28" i="4"/>
  <c r="AP27" i="4"/>
  <c r="AL27" i="4"/>
  <c r="AH27" i="4"/>
  <c r="AD27" i="4"/>
  <c r="AP26" i="4"/>
  <c r="AL26" i="4"/>
  <c r="AH26" i="4"/>
  <c r="AD26" i="4"/>
  <c r="AP25" i="4"/>
  <c r="AL25" i="4"/>
  <c r="AH25" i="4"/>
  <c r="AD25" i="4"/>
  <c r="AP24" i="4"/>
  <c r="AL24" i="4"/>
  <c r="AH24" i="4"/>
  <c r="AD24" i="4"/>
  <c r="AP23" i="4"/>
  <c r="AL23" i="4"/>
  <c r="AH23" i="4"/>
  <c r="AD23" i="4"/>
  <c r="AP22" i="4"/>
  <c r="AL22" i="4"/>
  <c r="AH22" i="4"/>
  <c r="AD22" i="4"/>
  <c r="AC34" i="4"/>
  <c r="AC30" i="4"/>
  <c r="AC33" i="4"/>
  <c r="AC29" i="4"/>
  <c r="AC25" i="4"/>
  <c r="AC32" i="4"/>
  <c r="AC28" i="4"/>
  <c r="AC24" i="4"/>
  <c r="AC26" i="4"/>
  <c r="AC35" i="4"/>
  <c r="AC31" i="4"/>
  <c r="AC27" i="4"/>
  <c r="AC23" i="4"/>
  <c r="AC22" i="4"/>
  <c r="AC10" i="4"/>
  <c r="AG17" i="4"/>
  <c r="AF18" i="4"/>
  <c r="AO17" i="4"/>
  <c r="AJ13" i="4"/>
  <c r="AJ11" i="4"/>
  <c r="AJ9" i="4"/>
  <c r="AJ7" i="4"/>
  <c r="AP19" i="4"/>
  <c r="AK19" i="4"/>
  <c r="AF19" i="4"/>
  <c r="AP18" i="4"/>
  <c r="AK18" i="4"/>
  <c r="AR16" i="4"/>
  <c r="AK16" i="4"/>
  <c r="AR13" i="4"/>
  <c r="AN12" i="4"/>
  <c r="AN10" i="4"/>
  <c r="AN8" i="4"/>
  <c r="AN6" i="4"/>
  <c r="AR9" i="4"/>
  <c r="AD19" i="4"/>
  <c r="AS17" i="4"/>
  <c r="AJ15" i="4"/>
  <c r="AF13" i="4"/>
  <c r="AF9" i="4"/>
  <c r="AF17" i="4"/>
  <c r="AJ12" i="4"/>
  <c r="AJ6" i="4"/>
  <c r="AN19" i="4"/>
  <c r="AS18" i="4"/>
  <c r="AN18" i="4"/>
  <c r="AR17" i="4"/>
  <c r="AK17" i="4"/>
  <c r="AN11" i="4"/>
  <c r="AN9" i="4"/>
  <c r="AN7" i="4"/>
  <c r="AR7" i="4"/>
  <c r="AO19" i="4"/>
  <c r="AO18" i="4"/>
  <c r="AR15" i="4"/>
  <c r="AJ14" i="4"/>
  <c r="AF11" i="4"/>
  <c r="AJ10" i="4"/>
  <c r="AJ8" i="4"/>
  <c r="AS19" i="4"/>
  <c r="AH19" i="4"/>
  <c r="AG18" i="4"/>
  <c r="AN16" i="4"/>
  <c r="AF14" i="4"/>
  <c r="AR12" i="4"/>
  <c r="AR10" i="4"/>
  <c r="AR8" i="4"/>
  <c r="AR6" i="4"/>
  <c r="AN17" i="4"/>
  <c r="AR11" i="4"/>
  <c r="AJ19" i="4"/>
  <c r="AJ18" i="4"/>
  <c r="AJ16" i="4"/>
  <c r="AR14" i="4"/>
  <c r="AF7" i="4"/>
  <c r="AO16" i="4"/>
  <c r="AN13" i="4"/>
  <c r="AR19" i="4"/>
  <c r="AL19" i="4"/>
  <c r="AG19" i="4"/>
  <c r="AR18" i="4"/>
  <c r="AL18" i="4"/>
  <c r="AJ17" i="4"/>
  <c r="AS16" i="4"/>
  <c r="AF16" i="4"/>
  <c r="AN15" i="4"/>
  <c r="AF15" i="4"/>
  <c r="AN14" i="4"/>
  <c r="AF12" i="4"/>
  <c r="AF10" i="4"/>
  <c r="AF8" i="4"/>
  <c r="AF6" i="4"/>
  <c r="AG16" i="4"/>
  <c r="AS15" i="4"/>
  <c r="AO15" i="4"/>
  <c r="AK15" i="4"/>
  <c r="AG15" i="4"/>
  <c r="AS14" i="4"/>
  <c r="AO14" i="4"/>
  <c r="AK14" i="4"/>
  <c r="AG14" i="4"/>
  <c r="AS13" i="4"/>
  <c r="AO13" i="4"/>
  <c r="AK13" i="4"/>
  <c r="AG13" i="4"/>
  <c r="AS12" i="4"/>
  <c r="AO12" i="4"/>
  <c r="AK12" i="4"/>
  <c r="AG12" i="4"/>
  <c r="AS11" i="4"/>
  <c r="AO11" i="4"/>
  <c r="AK11" i="4"/>
  <c r="AG11" i="4"/>
  <c r="AS10" i="4"/>
  <c r="AO10" i="4"/>
  <c r="AK10" i="4"/>
  <c r="AG10" i="4"/>
  <c r="AS9" i="4"/>
  <c r="AO9" i="4"/>
  <c r="AK9" i="4"/>
  <c r="AG9" i="4"/>
  <c r="AS8" i="4"/>
  <c r="AO8" i="4"/>
  <c r="AK8" i="4"/>
  <c r="AG8" i="4"/>
  <c r="AS7" i="4"/>
  <c r="AO7" i="4"/>
  <c r="AK7" i="4"/>
  <c r="AG7" i="4"/>
  <c r="AS6" i="4"/>
  <c r="AO6" i="4"/>
  <c r="AK6" i="4"/>
  <c r="AG6" i="4"/>
  <c r="AQ19" i="4"/>
  <c r="AI19" i="4"/>
  <c r="AQ18" i="4"/>
  <c r="AI18" i="4"/>
  <c r="AM17" i="4"/>
  <c r="AQ16" i="4"/>
  <c r="AI16" i="4"/>
  <c r="AM15" i="4"/>
  <c r="AE15" i="4"/>
  <c r="AI14" i="4"/>
  <c r="AQ13" i="4"/>
  <c r="AI13" i="4"/>
  <c r="AM12" i="4"/>
  <c r="AE12" i="4"/>
  <c r="AQ11" i="4"/>
  <c r="AE11" i="4"/>
  <c r="AM10" i="4"/>
  <c r="AI10" i="4"/>
  <c r="AQ9" i="4"/>
  <c r="AM9" i="4"/>
  <c r="AI9" i="4"/>
  <c r="AE9" i="4"/>
  <c r="AQ8" i="4"/>
  <c r="AM8" i="4"/>
  <c r="AI8" i="4"/>
  <c r="AQ7" i="4"/>
  <c r="AM7" i="4"/>
  <c r="AI7" i="4"/>
  <c r="AE7" i="4"/>
  <c r="AQ6" i="4"/>
  <c r="AM6" i="4"/>
  <c r="AI6" i="4"/>
  <c r="AE6" i="4"/>
  <c r="AM19" i="4"/>
  <c r="AE19" i="4"/>
  <c r="AM18" i="4"/>
  <c r="AE18" i="4"/>
  <c r="AQ17" i="4"/>
  <c r="AI17" i="4"/>
  <c r="AE17" i="4"/>
  <c r="AM16" i="4"/>
  <c r="AE16" i="4"/>
  <c r="AQ15" i="4"/>
  <c r="AI15" i="4"/>
  <c r="AQ14" i="4"/>
  <c r="AM14" i="4"/>
  <c r="AE14" i="4"/>
  <c r="AM13" i="4"/>
  <c r="AE13" i="4"/>
  <c r="AQ12" i="4"/>
  <c r="AI12" i="4"/>
  <c r="AM11" i="4"/>
  <c r="AI11" i="4"/>
  <c r="AQ10" i="4"/>
  <c r="AE10" i="4"/>
  <c r="AE8" i="4"/>
  <c r="AH18" i="4"/>
  <c r="AD18" i="4"/>
  <c r="AP17" i="4"/>
  <c r="AL17" i="4"/>
  <c r="AH17" i="4"/>
  <c r="AD17" i="4"/>
  <c r="AP16" i="4"/>
  <c r="AL16" i="4"/>
  <c r="AH16" i="4"/>
  <c r="AD16" i="4"/>
  <c r="AP15" i="4"/>
  <c r="AL15" i="4"/>
  <c r="AH15" i="4"/>
  <c r="AD15" i="4"/>
  <c r="AP14" i="4"/>
  <c r="AL14" i="4"/>
  <c r="AH14" i="4"/>
  <c r="AD14" i="4"/>
  <c r="AP13" i="4"/>
  <c r="AL13" i="4"/>
  <c r="AH13" i="4"/>
  <c r="AD13" i="4"/>
  <c r="AP12" i="4"/>
  <c r="AL12" i="4"/>
  <c r="AH12" i="4"/>
  <c r="AD12" i="4"/>
  <c r="AP11" i="4"/>
  <c r="AL11" i="4"/>
  <c r="AH11" i="4"/>
  <c r="AD11" i="4"/>
  <c r="AP10" i="4"/>
  <c r="AL10" i="4"/>
  <c r="AH10" i="4"/>
  <c r="AD10" i="4"/>
  <c r="AP9" i="4"/>
  <c r="AL9" i="4"/>
  <c r="AH9" i="4"/>
  <c r="AD9" i="4"/>
  <c r="AP8" i="4"/>
  <c r="AL8" i="4"/>
  <c r="AH8" i="4"/>
  <c r="AD8" i="4"/>
  <c r="AP7" i="4"/>
  <c r="AL7" i="4"/>
  <c r="AH7" i="4"/>
  <c r="AD7" i="4"/>
  <c r="AP6" i="4"/>
  <c r="AL6" i="4"/>
  <c r="AH6" i="4"/>
  <c r="AD6" i="4"/>
  <c r="AC14" i="4"/>
  <c r="AC13" i="4"/>
  <c r="AC8" i="4"/>
  <c r="AC17" i="4"/>
  <c r="AC9" i="4"/>
  <c r="AC16" i="4"/>
  <c r="AC12" i="4"/>
  <c r="AC18" i="4"/>
  <c r="AC19" i="4"/>
  <c r="AC15" i="4"/>
  <c r="AC11" i="4"/>
  <c r="AC7" i="4"/>
  <c r="AC6" i="4"/>
  <c r="P46" i="4"/>
  <c r="T51" i="4"/>
  <c r="P45" i="4"/>
  <c r="L50" i="4"/>
  <c r="L44" i="4"/>
  <c r="P44" i="4"/>
  <c r="X50" i="4"/>
  <c r="P47" i="4"/>
  <c r="P41" i="4"/>
  <c r="L48" i="4"/>
  <c r="L46" i="4"/>
  <c r="L42" i="4"/>
  <c r="X48" i="4"/>
  <c r="X45" i="4"/>
  <c r="X44" i="4"/>
  <c r="X42" i="4"/>
  <c r="X41" i="4"/>
  <c r="P48" i="4"/>
  <c r="P42" i="4"/>
  <c r="P51" i="4"/>
  <c r="L49" i="4"/>
  <c r="L45" i="4"/>
  <c r="L41" i="4"/>
  <c r="X51" i="4"/>
  <c r="X49" i="4"/>
  <c r="X46" i="4"/>
  <c r="X43" i="4"/>
  <c r="L51" i="4"/>
  <c r="P49" i="4"/>
  <c r="P43" i="4"/>
  <c r="L47" i="4"/>
  <c r="L43" i="4"/>
  <c r="T50" i="4"/>
  <c r="X47" i="4"/>
  <c r="P50" i="4"/>
  <c r="T49" i="4"/>
  <c r="T48" i="4"/>
  <c r="T47" i="4"/>
  <c r="T46" i="4"/>
  <c r="T45" i="4"/>
  <c r="T44" i="4"/>
  <c r="T43" i="4"/>
  <c r="T42" i="4"/>
  <c r="T41" i="4"/>
  <c r="W51" i="4"/>
  <c r="K51" i="4"/>
  <c r="O50" i="4"/>
  <c r="S49" i="4"/>
  <c r="W48" i="4"/>
  <c r="K48" i="4"/>
  <c r="O47" i="4"/>
  <c r="S46" i="4"/>
  <c r="W45" i="4"/>
  <c r="V51" i="4"/>
  <c r="N51" i="4"/>
  <c r="V50" i="4"/>
  <c r="N50" i="4"/>
  <c r="V49" i="4"/>
  <c r="N49" i="4"/>
  <c r="V48" i="4"/>
  <c r="J48" i="4"/>
  <c r="J46" i="4"/>
  <c r="Y51" i="4"/>
  <c r="U51" i="4"/>
  <c r="Q51" i="4"/>
  <c r="M51" i="4"/>
  <c r="Y50" i="4"/>
  <c r="U50" i="4"/>
  <c r="Q50" i="4"/>
  <c r="M50" i="4"/>
  <c r="Y49" i="4"/>
  <c r="U49" i="4"/>
  <c r="Q49" i="4"/>
  <c r="M49" i="4"/>
  <c r="Y48" i="4"/>
  <c r="U48" i="4"/>
  <c r="Q48" i="4"/>
  <c r="M48" i="4"/>
  <c r="Y47" i="4"/>
  <c r="U47" i="4"/>
  <c r="Q47" i="4"/>
  <c r="M47" i="4"/>
  <c r="Y46" i="4"/>
  <c r="U46" i="4"/>
  <c r="Q46" i="4"/>
  <c r="M46" i="4"/>
  <c r="Y45" i="4"/>
  <c r="U45" i="4"/>
  <c r="Q45" i="4"/>
  <c r="M45" i="4"/>
  <c r="Y44" i="4"/>
  <c r="U44" i="4"/>
  <c r="Q44" i="4"/>
  <c r="M44" i="4"/>
  <c r="Y43" i="4"/>
  <c r="U43" i="4"/>
  <c r="Q43" i="4"/>
  <c r="M43" i="4"/>
  <c r="Y42" i="4"/>
  <c r="U42" i="4"/>
  <c r="Q42" i="4"/>
  <c r="M42" i="4"/>
  <c r="Y41" i="4"/>
  <c r="U41" i="4"/>
  <c r="Q41" i="4"/>
  <c r="M41" i="4"/>
  <c r="Y40" i="4"/>
  <c r="U40" i="4"/>
  <c r="Q40" i="4"/>
  <c r="M40" i="4"/>
  <c r="Y39" i="4"/>
  <c r="U39" i="4"/>
  <c r="Q39" i="4"/>
  <c r="M39" i="4"/>
  <c r="Y38" i="4"/>
  <c r="U38" i="4"/>
  <c r="Q38" i="4"/>
  <c r="M38" i="4"/>
  <c r="X40" i="4"/>
  <c r="T40" i="4"/>
  <c r="P40" i="4"/>
  <c r="L40" i="4"/>
  <c r="X39" i="4"/>
  <c r="T39" i="4"/>
  <c r="P39" i="4"/>
  <c r="L39" i="4"/>
  <c r="X38" i="4"/>
  <c r="T38" i="4"/>
  <c r="P38" i="4"/>
  <c r="L38" i="4"/>
  <c r="K38" i="4"/>
  <c r="S51" i="4"/>
  <c r="W50" i="4"/>
  <c r="K50" i="4"/>
  <c r="O49" i="4"/>
  <c r="S48" i="4"/>
  <c r="W47" i="4"/>
  <c r="K47" i="4"/>
  <c r="O46" i="4"/>
  <c r="K46" i="4"/>
  <c r="O45" i="4"/>
  <c r="K45" i="4"/>
  <c r="W44" i="4"/>
  <c r="S44" i="4"/>
  <c r="O44" i="4"/>
  <c r="K44" i="4"/>
  <c r="W43" i="4"/>
  <c r="S43" i="4"/>
  <c r="O43" i="4"/>
  <c r="K43" i="4"/>
  <c r="W42" i="4"/>
  <c r="S42" i="4"/>
  <c r="O42" i="4"/>
  <c r="K42" i="4"/>
  <c r="W41" i="4"/>
  <c r="S41" i="4"/>
  <c r="O41" i="4"/>
  <c r="K41" i="4"/>
  <c r="W40" i="4"/>
  <c r="S40" i="4"/>
  <c r="O40" i="4"/>
  <c r="K40" i="4"/>
  <c r="W39" i="4"/>
  <c r="S39" i="4"/>
  <c r="O39" i="4"/>
  <c r="K39" i="4"/>
  <c r="W38" i="4"/>
  <c r="S38" i="4"/>
  <c r="O38" i="4"/>
  <c r="O51" i="4"/>
  <c r="S50" i="4"/>
  <c r="W49" i="4"/>
  <c r="K49" i="4"/>
  <c r="O48" i="4"/>
  <c r="S47" i="4"/>
  <c r="W46" i="4"/>
  <c r="S45" i="4"/>
  <c r="R51" i="4"/>
  <c r="J51" i="4"/>
  <c r="R50" i="4"/>
  <c r="J50" i="4"/>
  <c r="R49" i="4"/>
  <c r="J49" i="4"/>
  <c r="R48" i="4"/>
  <c r="N48" i="4"/>
  <c r="V47" i="4"/>
  <c r="R47" i="4"/>
  <c r="N47" i="4"/>
  <c r="J47" i="4"/>
  <c r="V46" i="4"/>
  <c r="R46" i="4"/>
  <c r="N46" i="4"/>
  <c r="V45" i="4"/>
  <c r="R45" i="4"/>
  <c r="N45" i="4"/>
  <c r="J45" i="4"/>
  <c r="V44" i="4"/>
  <c r="R44" i="4"/>
  <c r="N44" i="4"/>
  <c r="J44" i="4"/>
  <c r="V43" i="4"/>
  <c r="R43" i="4"/>
  <c r="N43" i="4"/>
  <c r="J43" i="4"/>
  <c r="V42" i="4"/>
  <c r="R42" i="4"/>
  <c r="N42" i="4"/>
  <c r="J42" i="4"/>
  <c r="V41" i="4"/>
  <c r="R41" i="4"/>
  <c r="N41" i="4"/>
  <c r="J41" i="4"/>
  <c r="V40" i="4"/>
  <c r="R40" i="4"/>
  <c r="N40" i="4"/>
  <c r="J40" i="4"/>
  <c r="V39" i="4"/>
  <c r="R39" i="4"/>
  <c r="N39" i="4"/>
  <c r="J39" i="4"/>
  <c r="V38" i="4"/>
  <c r="R38" i="4"/>
  <c r="N38" i="4"/>
  <c r="J38" i="4"/>
  <c r="I41" i="4"/>
  <c r="I46" i="4"/>
  <c r="I45" i="4"/>
  <c r="I40" i="4"/>
  <c r="I42" i="4"/>
  <c r="I49" i="4"/>
  <c r="I48" i="4"/>
  <c r="I44" i="4"/>
  <c r="I50" i="4"/>
  <c r="I51" i="4"/>
  <c r="I47" i="4"/>
  <c r="I43" i="4"/>
  <c r="I39" i="4"/>
  <c r="I38" i="4"/>
  <c r="Y35" i="4"/>
  <c r="R35" i="4"/>
  <c r="Y25" i="4"/>
  <c r="Y29" i="4"/>
  <c r="Y28" i="4"/>
  <c r="Y24" i="4"/>
  <c r="Y31" i="4"/>
  <c r="Y23" i="4"/>
  <c r="Y32" i="4"/>
  <c r="Y27" i="4"/>
  <c r="Y33" i="4"/>
  <c r="Y34" i="4"/>
  <c r="Y30" i="4"/>
  <c r="Y26" i="4"/>
  <c r="Y22" i="4"/>
  <c r="T22" i="4"/>
  <c r="Q35" i="4"/>
  <c r="X33" i="4"/>
  <c r="O32" i="4"/>
  <c r="U30" i="4"/>
  <c r="L29" i="4"/>
  <c r="P26" i="4"/>
  <c r="U22" i="4"/>
  <c r="U27" i="4"/>
  <c r="S25" i="4"/>
  <c r="P34" i="4"/>
  <c r="V32" i="4"/>
  <c r="M31" i="4"/>
  <c r="S29" i="4"/>
  <c r="X26" i="4"/>
  <c r="V24" i="4"/>
  <c r="U35" i="4"/>
  <c r="L26" i="4"/>
  <c r="Q22" i="4"/>
  <c r="M34" i="4"/>
  <c r="S32" i="4"/>
  <c r="J31" i="4"/>
  <c r="P29" i="4"/>
  <c r="Q27" i="4"/>
  <c r="O25" i="4"/>
  <c r="M35" i="4"/>
  <c r="V28" i="4"/>
  <c r="N27" i="4"/>
  <c r="T26" i="4"/>
  <c r="L25" i="4"/>
  <c r="R24" i="4"/>
  <c r="J23" i="4"/>
  <c r="P22" i="4"/>
  <c r="J35" i="4"/>
  <c r="P33" i="4"/>
  <c r="V31" i="4"/>
  <c r="M30" i="4"/>
  <c r="R28" i="4"/>
  <c r="N24" i="4"/>
  <c r="V35" i="4"/>
  <c r="M26" i="4"/>
  <c r="K24" i="4"/>
  <c r="O35" i="4"/>
  <c r="W33" i="4"/>
  <c r="N32" i="4"/>
  <c r="T30" i="4"/>
  <c r="K29" i="4"/>
  <c r="P25" i="4"/>
  <c r="N35" i="4"/>
  <c r="N28" i="4"/>
  <c r="S24" i="4"/>
  <c r="T33" i="4"/>
  <c r="K32" i="4"/>
  <c r="Q30" i="4"/>
  <c r="K28" i="4"/>
  <c r="X25" i="4"/>
  <c r="V23" i="4"/>
  <c r="T34" i="4"/>
  <c r="S33" i="4"/>
  <c r="R32" i="4"/>
  <c r="Q31" i="4"/>
  <c r="P30" i="4"/>
  <c r="W29" i="4"/>
  <c r="O29" i="4"/>
  <c r="S28" i="4"/>
  <c r="J28" i="4"/>
  <c r="Q26" i="4"/>
  <c r="W25" i="4"/>
  <c r="O24" i="4"/>
  <c r="U23" i="4"/>
  <c r="M22" i="4"/>
  <c r="W35" i="4"/>
  <c r="Q34" i="4"/>
  <c r="W32" i="4"/>
  <c r="N31" i="4"/>
  <c r="T29" i="4"/>
  <c r="J27" i="4"/>
  <c r="W24" i="4"/>
  <c r="O28" i="4"/>
  <c r="Q23" i="4"/>
  <c r="X34" i="4"/>
  <c r="O33" i="4"/>
  <c r="U31" i="4"/>
  <c r="L30" i="4"/>
  <c r="R27" i="4"/>
  <c r="N23" i="4"/>
  <c r="W28" i="4"/>
  <c r="U26" i="4"/>
  <c r="J24" i="4"/>
  <c r="U34" i="4"/>
  <c r="L33" i="4"/>
  <c r="R31" i="4"/>
  <c r="X29" i="4"/>
  <c r="M23" i="4"/>
  <c r="S35" i="4"/>
  <c r="L34" i="4"/>
  <c r="K33" i="4"/>
  <c r="J32" i="4"/>
  <c r="X30" i="4"/>
  <c r="K35" i="4"/>
  <c r="V27" i="4"/>
  <c r="M27" i="4"/>
  <c r="T25" i="4"/>
  <c r="K25" i="4"/>
  <c r="R23" i="4"/>
  <c r="X22" i="4"/>
  <c r="R34" i="4"/>
  <c r="J34" i="4"/>
  <c r="Q33" i="4"/>
  <c r="T32" i="4"/>
  <c r="J30" i="4"/>
  <c r="L22" i="4"/>
  <c r="X35" i="4"/>
  <c r="P35" i="4"/>
  <c r="W34" i="4"/>
  <c r="O34" i="4"/>
  <c r="V33" i="4"/>
  <c r="N33" i="4"/>
  <c r="U32" i="4"/>
  <c r="M32" i="4"/>
  <c r="T31" i="4"/>
  <c r="L31" i="4"/>
  <c r="S30" i="4"/>
  <c r="K30" i="4"/>
  <c r="R29" i="4"/>
  <c r="U28" i="4"/>
  <c r="X27" i="4"/>
  <c r="L27" i="4"/>
  <c r="O26" i="4"/>
  <c r="V25" i="4"/>
  <c r="N25" i="4"/>
  <c r="U24" i="4"/>
  <c r="M24" i="4"/>
  <c r="X23" i="4"/>
  <c r="T23" i="4"/>
  <c r="P23" i="4"/>
  <c r="L23" i="4"/>
  <c r="W22" i="4"/>
  <c r="O22" i="4"/>
  <c r="K22" i="4"/>
  <c r="T35" i="4"/>
  <c r="L35" i="4"/>
  <c r="S34" i="4"/>
  <c r="K34" i="4"/>
  <c r="R33" i="4"/>
  <c r="J33" i="4"/>
  <c r="Q32" i="4"/>
  <c r="X31" i="4"/>
  <c r="P31" i="4"/>
  <c r="W30" i="4"/>
  <c r="O30" i="4"/>
  <c r="V29" i="4"/>
  <c r="N29" i="4"/>
  <c r="J29" i="4"/>
  <c r="Q28" i="4"/>
  <c r="M28" i="4"/>
  <c r="T27" i="4"/>
  <c r="P27" i="4"/>
  <c r="W26" i="4"/>
  <c r="S26" i="4"/>
  <c r="K26" i="4"/>
  <c r="R25" i="4"/>
  <c r="J25" i="4"/>
  <c r="Q24" i="4"/>
  <c r="S22" i="4"/>
  <c r="V34" i="4"/>
  <c r="N34" i="4"/>
  <c r="U33" i="4"/>
  <c r="M33" i="4"/>
  <c r="X32" i="4"/>
  <c r="P32" i="4"/>
  <c r="L32" i="4"/>
  <c r="W31" i="4"/>
  <c r="S31" i="4"/>
  <c r="O31" i="4"/>
  <c r="K31" i="4"/>
  <c r="V30" i="4"/>
  <c r="R30" i="4"/>
  <c r="N30" i="4"/>
  <c r="U29" i="4"/>
  <c r="Q29" i="4"/>
  <c r="M29" i="4"/>
  <c r="X28" i="4"/>
  <c r="T28" i="4"/>
  <c r="P28" i="4"/>
  <c r="L28" i="4"/>
  <c r="W27" i="4"/>
  <c r="S27" i="4"/>
  <c r="O27" i="4"/>
  <c r="K27" i="4"/>
  <c r="V26" i="4"/>
  <c r="R26" i="4"/>
  <c r="N26" i="4"/>
  <c r="J26" i="4"/>
  <c r="U25" i="4"/>
  <c r="Q25" i="4"/>
  <c r="M25" i="4"/>
  <c r="X24" i="4"/>
  <c r="T24" i="4"/>
  <c r="P24" i="4"/>
  <c r="L24" i="4"/>
  <c r="W23" i="4"/>
  <c r="S23" i="4"/>
  <c r="O23" i="4"/>
  <c r="K23" i="4"/>
  <c r="V22" i="4"/>
  <c r="R22" i="4"/>
  <c r="N22" i="4"/>
  <c r="J22" i="4"/>
  <c r="I26" i="4"/>
  <c r="I29" i="4"/>
  <c r="I24" i="4"/>
  <c r="I30" i="4"/>
  <c r="I33" i="4"/>
  <c r="I25" i="4"/>
  <c r="I32" i="4"/>
  <c r="I28" i="4"/>
  <c r="I34" i="4"/>
  <c r="I35" i="4"/>
  <c r="I31" i="4"/>
  <c r="I27" i="4"/>
  <c r="I23" i="4"/>
  <c r="I22" i="4"/>
  <c r="M19" i="4"/>
  <c r="P7" i="4"/>
  <c r="P18" i="4"/>
  <c r="X16" i="4"/>
  <c r="P15" i="4"/>
  <c r="P13" i="4"/>
  <c r="U10" i="4"/>
  <c r="U8" i="4"/>
  <c r="V18" i="4"/>
  <c r="Y11" i="4"/>
  <c r="Y9" i="4"/>
  <c r="U18" i="4"/>
  <c r="M17" i="4"/>
  <c r="M16" i="4"/>
  <c r="U14" i="4"/>
  <c r="M11" i="4"/>
  <c r="T8" i="4"/>
  <c r="X19" i="4"/>
  <c r="Q12" i="4"/>
  <c r="X9" i="4"/>
  <c r="X7" i="4"/>
  <c r="J19" i="4"/>
  <c r="T17" i="4"/>
  <c r="L16" i="4"/>
  <c r="T14" i="4"/>
  <c r="Y12" i="4"/>
  <c r="U9" i="4"/>
  <c r="L9" i="4"/>
  <c r="V19" i="4"/>
  <c r="P19" i="4"/>
  <c r="Y18" i="4"/>
  <c r="P12" i="4"/>
  <c r="Y10" i="4"/>
  <c r="P10" i="4"/>
  <c r="Y8" i="4"/>
  <c r="P8" i="4"/>
  <c r="Y6" i="4"/>
  <c r="P6" i="4"/>
  <c r="T19" i="4"/>
  <c r="X17" i="4"/>
  <c r="P16" i="4"/>
  <c r="X14" i="4"/>
  <c r="X13" i="4"/>
  <c r="L10" i="4"/>
  <c r="U6" i="4"/>
  <c r="T12" i="4"/>
  <c r="P9" i="4"/>
  <c r="R19" i="4"/>
  <c r="M18" i="4"/>
  <c r="U16" i="4"/>
  <c r="M15" i="4"/>
  <c r="M14" i="4"/>
  <c r="T10" i="4"/>
  <c r="M7" i="4"/>
  <c r="Q19" i="4"/>
  <c r="L13" i="4"/>
  <c r="Q10" i="4"/>
  <c r="Q6" i="4"/>
  <c r="L18" i="4"/>
  <c r="T16" i="4"/>
  <c r="L15" i="4"/>
  <c r="T13" i="4"/>
  <c r="L11" i="4"/>
  <c r="U7" i="4"/>
  <c r="U19" i="4"/>
  <c r="Y17" i="4"/>
  <c r="Q16" i="4"/>
  <c r="Q15" i="4"/>
  <c r="Y14" i="4"/>
  <c r="Q14" i="4"/>
  <c r="Y13" i="4"/>
  <c r="Q13" i="4"/>
  <c r="X12" i="4"/>
  <c r="M12" i="4"/>
  <c r="T11" i="4"/>
  <c r="M10" i="4"/>
  <c r="T9" i="4"/>
  <c r="M8" i="4"/>
  <c r="T7" i="4"/>
  <c r="M6" i="4"/>
  <c r="P17" i="4"/>
  <c r="X15" i="4"/>
  <c r="P14" i="4"/>
  <c r="L12" i="4"/>
  <c r="L8" i="4"/>
  <c r="Y19" i="4"/>
  <c r="M13" i="4"/>
  <c r="P11" i="4"/>
  <c r="Y7" i="4"/>
  <c r="L19" i="4"/>
  <c r="U17" i="4"/>
  <c r="U15" i="4"/>
  <c r="U13" i="4"/>
  <c r="M9" i="4"/>
  <c r="T6" i="4"/>
  <c r="X11" i="4"/>
  <c r="Q8" i="4"/>
  <c r="T18" i="4"/>
  <c r="L17" i="4"/>
  <c r="T15" i="4"/>
  <c r="L14" i="4"/>
  <c r="U11" i="4"/>
  <c r="L7" i="4"/>
  <c r="Q18" i="4"/>
  <c r="Q17" i="4"/>
  <c r="Y16" i="4"/>
  <c r="Y15" i="4"/>
  <c r="N19" i="4"/>
  <c r="X18" i="4"/>
  <c r="U12" i="4"/>
  <c r="Q11" i="4"/>
  <c r="X10" i="4"/>
  <c r="Q9" i="4"/>
  <c r="X8" i="4"/>
  <c r="Q7" i="4"/>
  <c r="X6" i="4"/>
  <c r="V13" i="4"/>
  <c r="L6" i="4"/>
  <c r="S19" i="4"/>
  <c r="W18" i="4"/>
  <c r="O18" i="4"/>
  <c r="W17" i="4"/>
  <c r="O17" i="4"/>
  <c r="W16" i="4"/>
  <c r="K16" i="4"/>
  <c r="S15" i="4"/>
  <c r="K15" i="4"/>
  <c r="S14" i="4"/>
  <c r="K14" i="4"/>
  <c r="S13" i="4"/>
  <c r="K13" i="4"/>
  <c r="O12" i="4"/>
  <c r="S11" i="4"/>
  <c r="K11" i="4"/>
  <c r="S10" i="4"/>
  <c r="O10" i="4"/>
  <c r="K10" i="4"/>
  <c r="S9" i="4"/>
  <c r="O9" i="4"/>
  <c r="K9" i="4"/>
  <c r="W8" i="4"/>
  <c r="S8" i="4"/>
  <c r="O8" i="4"/>
  <c r="W7" i="4"/>
  <c r="S7" i="4"/>
  <c r="O7" i="4"/>
  <c r="K7" i="4"/>
  <c r="W6" i="4"/>
  <c r="S6" i="4"/>
  <c r="O6" i="4"/>
  <c r="K6" i="4"/>
  <c r="W19" i="4"/>
  <c r="O19" i="4"/>
  <c r="K19" i="4"/>
  <c r="S18" i="4"/>
  <c r="K18" i="4"/>
  <c r="S17" i="4"/>
  <c r="K17" i="4"/>
  <c r="S16" i="4"/>
  <c r="O16" i="4"/>
  <c r="W15" i="4"/>
  <c r="O15" i="4"/>
  <c r="W14" i="4"/>
  <c r="O14" i="4"/>
  <c r="W13" i="4"/>
  <c r="O13" i="4"/>
  <c r="W12" i="4"/>
  <c r="S12" i="4"/>
  <c r="K12" i="4"/>
  <c r="W11" i="4"/>
  <c r="O11" i="4"/>
  <c r="W10" i="4"/>
  <c r="W9" i="4"/>
  <c r="K8" i="4"/>
  <c r="R18" i="4"/>
  <c r="N18" i="4"/>
  <c r="J18" i="4"/>
  <c r="V17" i="4"/>
  <c r="R17" i="4"/>
  <c r="N17" i="4"/>
  <c r="J17" i="4"/>
  <c r="V16" i="4"/>
  <c r="R16" i="4"/>
  <c r="N16" i="4"/>
  <c r="J16" i="4"/>
  <c r="V15" i="4"/>
  <c r="R15" i="4"/>
  <c r="N15" i="4"/>
  <c r="J15" i="4"/>
  <c r="V14" i="4"/>
  <c r="R14" i="4"/>
  <c r="N14" i="4"/>
  <c r="J14" i="4"/>
  <c r="R13" i="4"/>
  <c r="N13" i="4"/>
  <c r="J13" i="4"/>
  <c r="V12" i="4"/>
  <c r="R12" i="4"/>
  <c r="N12" i="4"/>
  <c r="J12" i="4"/>
  <c r="V11" i="4"/>
  <c r="R11" i="4"/>
  <c r="N11" i="4"/>
  <c r="J11" i="4"/>
  <c r="V10" i="4"/>
  <c r="R10" i="4"/>
  <c r="N10" i="4"/>
  <c r="J10" i="4"/>
  <c r="V9" i="4"/>
  <c r="R9" i="4"/>
  <c r="N9" i="4"/>
  <c r="J9" i="4"/>
  <c r="V8" i="4"/>
  <c r="R8" i="4"/>
  <c r="N8" i="4"/>
  <c r="J8" i="4"/>
  <c r="V7" i="4"/>
  <c r="R7" i="4"/>
  <c r="N7" i="4"/>
  <c r="J7" i="4"/>
  <c r="V6" i="4"/>
  <c r="R6" i="4"/>
  <c r="N6" i="4"/>
  <c r="J6" i="4"/>
  <c r="I10" i="4"/>
  <c r="I8" i="4"/>
  <c r="I12" i="4"/>
  <c r="I18" i="4"/>
  <c r="I14" i="4"/>
  <c r="I17" i="4"/>
  <c r="I13" i="4"/>
  <c r="I9" i="4"/>
  <c r="I16" i="4"/>
  <c r="I19" i="4"/>
  <c r="I15" i="4"/>
  <c r="I11" i="4"/>
  <c r="I7" i="4"/>
  <c r="I6" i="4"/>
  <c r="S36" i="2"/>
  <c r="U34" i="2"/>
  <c r="W32" i="2"/>
  <c r="W28" i="2"/>
  <c r="R25" i="2"/>
  <c r="T36" i="2"/>
  <c r="L36" i="2"/>
  <c r="U35" i="2"/>
  <c r="M35" i="2"/>
  <c r="V34" i="2"/>
  <c r="N34" i="2"/>
  <c r="W33" i="2"/>
  <c r="O33" i="2"/>
  <c r="X32" i="2"/>
  <c r="P32" i="2"/>
  <c r="Y31" i="2"/>
  <c r="M30" i="2"/>
  <c r="O28" i="2"/>
  <c r="Q26" i="2"/>
  <c r="V25" i="2"/>
  <c r="W24" i="2"/>
  <c r="X23" i="2"/>
  <c r="R29" i="2"/>
  <c r="K36" i="2"/>
  <c r="M34" i="2"/>
  <c r="O32" i="2"/>
  <c r="Y26" i="2"/>
  <c r="M26" i="2"/>
  <c r="X36" i="2"/>
  <c r="Q35" i="2"/>
  <c r="J34" i="2"/>
  <c r="T32" i="2"/>
  <c r="L31" i="2"/>
  <c r="P27" i="2"/>
  <c r="N25" i="2"/>
  <c r="O24" i="2"/>
  <c r="P23" i="2"/>
  <c r="Q30" i="2"/>
  <c r="S28" i="2"/>
  <c r="U26" i="2"/>
  <c r="P31" i="2"/>
  <c r="T27" i="2"/>
  <c r="T35" i="2"/>
  <c r="V33" i="2"/>
  <c r="X31" i="2"/>
  <c r="S24" i="2"/>
  <c r="K28" i="2"/>
  <c r="P36" i="2"/>
  <c r="I35" i="2"/>
  <c r="S33" i="2"/>
  <c r="L32" i="2"/>
  <c r="N29" i="2"/>
  <c r="W36" i="2"/>
  <c r="X35" i="2"/>
  <c r="P35" i="2"/>
  <c r="Q34" i="2"/>
  <c r="R33" i="2"/>
  <c r="S32" i="2"/>
  <c r="T31" i="2"/>
  <c r="V29" i="2"/>
  <c r="X27" i="2"/>
  <c r="I26" i="2"/>
  <c r="J25" i="2"/>
  <c r="K24" i="2"/>
  <c r="L23" i="2"/>
  <c r="L35" i="2"/>
  <c r="N33" i="2"/>
  <c r="U30" i="2"/>
  <c r="T23" i="2"/>
  <c r="I30" i="2"/>
  <c r="Y35" i="2"/>
  <c r="R34" i="2"/>
  <c r="K33" i="2"/>
  <c r="U31" i="2"/>
  <c r="O36" i="2"/>
  <c r="Y34" i="2"/>
  <c r="I34" i="2"/>
  <c r="J33" i="2"/>
  <c r="K32" i="2"/>
  <c r="Y30" i="2"/>
  <c r="J29" i="2"/>
  <c r="L27" i="2"/>
  <c r="Q31" i="2"/>
  <c r="M31" i="2"/>
  <c r="I31" i="2"/>
  <c r="V30" i="2"/>
  <c r="R30" i="2"/>
  <c r="N30" i="2"/>
  <c r="J30" i="2"/>
  <c r="W29" i="2"/>
  <c r="S29" i="2"/>
  <c r="O29" i="2"/>
  <c r="K29" i="2"/>
  <c r="X28" i="2"/>
  <c r="T28" i="2"/>
  <c r="P28" i="2"/>
  <c r="L28" i="2"/>
  <c r="Y27" i="2"/>
  <c r="U27" i="2"/>
  <c r="Q27" i="2"/>
  <c r="M27" i="2"/>
  <c r="I27" i="2"/>
  <c r="V26" i="2"/>
  <c r="R26" i="2"/>
  <c r="N26" i="2"/>
  <c r="J26" i="2"/>
  <c r="W25" i="2"/>
  <c r="S25" i="2"/>
  <c r="O25" i="2"/>
  <c r="K25" i="2"/>
  <c r="X24" i="2"/>
  <c r="T24" i="2"/>
  <c r="P24" i="2"/>
  <c r="L24" i="2"/>
  <c r="Y23" i="2"/>
  <c r="U23" i="2"/>
  <c r="Q23" i="2"/>
  <c r="M23" i="2"/>
  <c r="R36" i="2"/>
  <c r="S35" i="2"/>
  <c r="X34" i="2"/>
  <c r="L34" i="2"/>
  <c r="Q33" i="2"/>
  <c r="V32" i="2"/>
  <c r="J32" i="2"/>
  <c r="O31" i="2"/>
  <c r="T30" i="2"/>
  <c r="Y29" i="2"/>
  <c r="M29" i="2"/>
  <c r="R28" i="2"/>
  <c r="W27" i="2"/>
  <c r="O27" i="2"/>
  <c r="X26" i="2"/>
  <c r="P26" i="2"/>
  <c r="L26" i="2"/>
  <c r="Y25" i="2"/>
  <c r="U25" i="2"/>
  <c r="Q25" i="2"/>
  <c r="M25" i="2"/>
  <c r="I25" i="2"/>
  <c r="V24" i="2"/>
  <c r="R24" i="2"/>
  <c r="N24" i="2"/>
  <c r="J24" i="2"/>
  <c r="W23" i="2"/>
  <c r="S23" i="2"/>
  <c r="O23" i="2"/>
  <c r="K23" i="2"/>
  <c r="N36" i="2"/>
  <c r="W35" i="2"/>
  <c r="K35" i="2"/>
  <c r="T34" i="2"/>
  <c r="Y33" i="2"/>
  <c r="M33" i="2"/>
  <c r="R32" i="2"/>
  <c r="W31" i="2"/>
  <c r="K31" i="2"/>
  <c r="P30" i="2"/>
  <c r="U29" i="2"/>
  <c r="I29" i="2"/>
  <c r="N28" i="2"/>
  <c r="S27" i="2"/>
  <c r="T26" i="2"/>
  <c r="U36" i="2"/>
  <c r="M36" i="2"/>
  <c r="V35" i="2"/>
  <c r="N35" i="2"/>
  <c r="W34" i="2"/>
  <c r="S34" i="2"/>
  <c r="K34" i="2"/>
  <c r="T33" i="2"/>
  <c r="L33" i="2"/>
  <c r="U32" i="2"/>
  <c r="M32" i="2"/>
  <c r="V31" i="2"/>
  <c r="N31" i="2"/>
  <c r="W30" i="2"/>
  <c r="O30" i="2"/>
  <c r="X29" i="2"/>
  <c r="P29" i="2"/>
  <c r="L29" i="2"/>
  <c r="U28" i="2"/>
  <c r="Q28" i="2"/>
  <c r="M28" i="2"/>
  <c r="I28" i="2"/>
  <c r="V27" i="2"/>
  <c r="R27" i="2"/>
  <c r="N27" i="2"/>
  <c r="J27" i="2"/>
  <c r="S26" i="2"/>
  <c r="O26" i="2"/>
  <c r="K26" i="2"/>
  <c r="X25" i="2"/>
  <c r="T25" i="2"/>
  <c r="P25" i="2"/>
  <c r="L25" i="2"/>
  <c r="Y24" i="2"/>
  <c r="U24" i="2"/>
  <c r="Q24" i="2"/>
  <c r="M24" i="2"/>
  <c r="I24" i="2"/>
  <c r="V23" i="2"/>
  <c r="R23" i="2"/>
  <c r="N23" i="2"/>
  <c r="J23" i="2"/>
  <c r="V36" i="2"/>
  <c r="J36" i="2"/>
  <c r="O35" i="2"/>
  <c r="P34" i="2"/>
  <c r="U33" i="2"/>
  <c r="I33" i="2"/>
  <c r="N32" i="2"/>
  <c r="S31" i="2"/>
  <c r="X30" i="2"/>
  <c r="L30" i="2"/>
  <c r="Q29" i="2"/>
  <c r="V28" i="2"/>
  <c r="J28" i="2"/>
  <c r="K27" i="2"/>
  <c r="Y36" i="2"/>
  <c r="Q36" i="2"/>
  <c r="I36" i="2"/>
  <c r="R35" i="2"/>
  <c r="J35" i="2"/>
  <c r="O34" i="2"/>
  <c r="X33" i="2"/>
  <c r="P33" i="2"/>
  <c r="Y32" i="2"/>
  <c r="Q32" i="2"/>
  <c r="I32" i="2"/>
  <c r="R31" i="2"/>
  <c r="J31" i="2"/>
  <c r="S30" i="2"/>
  <c r="K30" i="2"/>
  <c r="T29" i="2"/>
  <c r="Y28" i="2"/>
  <c r="W26" i="2"/>
  <c r="Y187" i="2"/>
  <c r="Y182" i="2"/>
  <c r="Y174" i="2"/>
  <c r="U174" i="2"/>
  <c r="Y178" i="2"/>
  <c r="Y185" i="2"/>
  <c r="Y181" i="2"/>
  <c r="Y177" i="2"/>
  <c r="U185" i="2"/>
  <c r="U182" i="2"/>
  <c r="U179" i="2"/>
  <c r="U176" i="2"/>
  <c r="Q186" i="2"/>
  <c r="Q185" i="2"/>
  <c r="Q184" i="2"/>
  <c r="Q183" i="2"/>
  <c r="Q181" i="2"/>
  <c r="Q180" i="2"/>
  <c r="Q179" i="2"/>
  <c r="Q178" i="2"/>
  <c r="Q177" i="2"/>
  <c r="Q176" i="2"/>
  <c r="Q175" i="2"/>
  <c r="Q174" i="2"/>
  <c r="Y184" i="2"/>
  <c r="Y180" i="2"/>
  <c r="Y176" i="2"/>
  <c r="U187" i="2"/>
  <c r="U184" i="2"/>
  <c r="U181" i="2"/>
  <c r="U178" i="2"/>
  <c r="U175" i="2"/>
  <c r="Q187" i="2"/>
  <c r="Q182" i="2"/>
  <c r="Y186" i="2"/>
  <c r="Y183" i="2"/>
  <c r="Y179" i="2"/>
  <c r="Y175" i="2"/>
  <c r="U186" i="2"/>
  <c r="U183" i="2"/>
  <c r="U180" i="2"/>
  <c r="U177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T187" i="2"/>
  <c r="T186" i="2"/>
  <c r="T185" i="2"/>
  <c r="T184" i="2"/>
  <c r="T183" i="2"/>
  <c r="P182" i="2"/>
  <c r="P181" i="2"/>
  <c r="P180" i="2"/>
  <c r="P179" i="2"/>
  <c r="T178" i="2"/>
  <c r="X177" i="2"/>
  <c r="P177" i="2"/>
  <c r="X176" i="2"/>
  <c r="T176" i="2"/>
  <c r="P176" i="2"/>
  <c r="X175" i="2"/>
  <c r="T175" i="2"/>
  <c r="P175" i="2"/>
  <c r="L175" i="2"/>
  <c r="T174" i="2"/>
  <c r="P174" i="2"/>
  <c r="L174" i="2"/>
  <c r="P187" i="2"/>
  <c r="P186" i="2"/>
  <c r="P185" i="2"/>
  <c r="P184" i="2"/>
  <c r="P183" i="2"/>
  <c r="T182" i="2"/>
  <c r="T181" i="2"/>
  <c r="X180" i="2"/>
  <c r="X179" i="2"/>
  <c r="L179" i="2"/>
  <c r="P178" i="2"/>
  <c r="L176" i="2"/>
  <c r="W187" i="2"/>
  <c r="O187" i="2"/>
  <c r="K187" i="2"/>
  <c r="S186" i="2"/>
  <c r="O186" i="2"/>
  <c r="K186" i="2"/>
  <c r="W185" i="2"/>
  <c r="S185" i="2"/>
  <c r="O185" i="2"/>
  <c r="K185" i="2"/>
  <c r="W184" i="2"/>
  <c r="S184" i="2"/>
  <c r="K184" i="2"/>
  <c r="W183" i="2"/>
  <c r="S183" i="2"/>
  <c r="O183" i="2"/>
  <c r="K183" i="2"/>
  <c r="W182" i="2"/>
  <c r="S182" i="2"/>
  <c r="O182" i="2"/>
  <c r="K182" i="2"/>
  <c r="W181" i="2"/>
  <c r="S181" i="2"/>
  <c r="O181" i="2"/>
  <c r="K181" i="2"/>
  <c r="W180" i="2"/>
  <c r="S180" i="2"/>
  <c r="O180" i="2"/>
  <c r="K180" i="2"/>
  <c r="W179" i="2"/>
  <c r="S179" i="2"/>
  <c r="O179" i="2"/>
  <c r="K179" i="2"/>
  <c r="W178" i="2"/>
  <c r="S178" i="2"/>
  <c r="O178" i="2"/>
  <c r="K178" i="2"/>
  <c r="W177" i="2"/>
  <c r="S177" i="2"/>
  <c r="O177" i="2"/>
  <c r="K177" i="2"/>
  <c r="W176" i="2"/>
  <c r="S176" i="2"/>
  <c r="O176" i="2"/>
  <c r="K176" i="2"/>
  <c r="W175" i="2"/>
  <c r="S175" i="2"/>
  <c r="O175" i="2"/>
  <c r="K175" i="2"/>
  <c r="W174" i="2"/>
  <c r="S174" i="2"/>
  <c r="O174" i="2"/>
  <c r="K174" i="2"/>
  <c r="X187" i="2"/>
  <c r="X186" i="2"/>
  <c r="X185" i="2"/>
  <c r="X184" i="2"/>
  <c r="X183" i="2"/>
  <c r="X182" i="2"/>
  <c r="X181" i="2"/>
  <c r="T180" i="2"/>
  <c r="T179" i="2"/>
  <c r="X178" i="2"/>
  <c r="L178" i="2"/>
  <c r="L177" i="2"/>
  <c r="X174" i="2"/>
  <c r="S187" i="2"/>
  <c r="W186" i="2"/>
  <c r="O184" i="2"/>
  <c r="L187" i="2"/>
  <c r="L186" i="2"/>
  <c r="L185" i="2"/>
  <c r="L184" i="2"/>
  <c r="L183" i="2"/>
  <c r="L182" i="2"/>
  <c r="L181" i="2"/>
  <c r="L180" i="2"/>
  <c r="T177" i="2"/>
  <c r="V187" i="2"/>
  <c r="R187" i="2"/>
  <c r="N187" i="2"/>
  <c r="J187" i="2"/>
  <c r="V186" i="2"/>
  <c r="R186" i="2"/>
  <c r="N186" i="2"/>
  <c r="J186" i="2"/>
  <c r="V185" i="2"/>
  <c r="R185" i="2"/>
  <c r="N185" i="2"/>
  <c r="J185" i="2"/>
  <c r="V184" i="2"/>
  <c r="R184" i="2"/>
  <c r="N184" i="2"/>
  <c r="J184" i="2"/>
  <c r="V183" i="2"/>
  <c r="R183" i="2"/>
  <c r="N183" i="2"/>
  <c r="J183" i="2"/>
  <c r="V182" i="2"/>
  <c r="R182" i="2"/>
  <c r="N182" i="2"/>
  <c r="J182" i="2"/>
  <c r="V181" i="2"/>
  <c r="R181" i="2"/>
  <c r="N181" i="2"/>
  <c r="J181" i="2"/>
  <c r="V180" i="2"/>
  <c r="R180" i="2"/>
  <c r="N180" i="2"/>
  <c r="J180" i="2"/>
  <c r="V179" i="2"/>
  <c r="R179" i="2"/>
  <c r="N179" i="2"/>
  <c r="J179" i="2"/>
  <c r="V178" i="2"/>
  <c r="R178" i="2"/>
  <c r="N178" i="2"/>
  <c r="J178" i="2"/>
  <c r="V177" i="2"/>
  <c r="R177" i="2"/>
  <c r="N177" i="2"/>
  <c r="J177" i="2"/>
  <c r="V176" i="2"/>
  <c r="R176" i="2"/>
  <c r="N176" i="2"/>
  <c r="J176" i="2"/>
  <c r="V175" i="2"/>
  <c r="R175" i="2"/>
  <c r="N175" i="2"/>
  <c r="J175" i="2"/>
  <c r="V174" i="2"/>
  <c r="R174" i="2"/>
  <c r="N174" i="2"/>
  <c r="J174" i="2"/>
  <c r="I181" i="2"/>
  <c r="I182" i="2"/>
  <c r="I185" i="2"/>
  <c r="I184" i="2"/>
  <c r="I180" i="2"/>
  <c r="I176" i="2"/>
  <c r="I186" i="2"/>
  <c r="I177" i="2"/>
  <c r="I178" i="2"/>
  <c r="I187" i="2"/>
  <c r="I183" i="2"/>
  <c r="I179" i="2"/>
  <c r="I175" i="2"/>
  <c r="I174" i="2"/>
  <c r="U171" i="2"/>
  <c r="Q171" i="2"/>
  <c r="Y171" i="2"/>
  <c r="Y170" i="2"/>
  <c r="U170" i="2"/>
  <c r="M171" i="2"/>
  <c r="Q170" i="2"/>
  <c r="M168" i="2"/>
  <c r="M166" i="2"/>
  <c r="M165" i="2"/>
  <c r="U163" i="2"/>
  <c r="Q162" i="2"/>
  <c r="U160" i="2"/>
  <c r="Q159" i="2"/>
  <c r="X170" i="2"/>
  <c r="T169" i="2"/>
  <c r="T168" i="2"/>
  <c r="T167" i="2"/>
  <c r="L166" i="2"/>
  <c r="P165" i="2"/>
  <c r="X163" i="2"/>
  <c r="P162" i="2"/>
  <c r="T161" i="2"/>
  <c r="T160" i="2"/>
  <c r="X159" i="2"/>
  <c r="T158" i="2"/>
  <c r="V171" i="2"/>
  <c r="N171" i="2"/>
  <c r="V170" i="2"/>
  <c r="N170" i="2"/>
  <c r="R169" i="2"/>
  <c r="R167" i="2"/>
  <c r="Y169" i="2"/>
  <c r="M167" i="2"/>
  <c r="Q164" i="2"/>
  <c r="Y161" i="2"/>
  <c r="M158" i="2"/>
  <c r="Q169" i="2"/>
  <c r="Y166" i="2"/>
  <c r="M161" i="2"/>
  <c r="M169" i="2"/>
  <c r="U166" i="2"/>
  <c r="M160" i="2"/>
  <c r="M170" i="2"/>
  <c r="Q168" i="2"/>
  <c r="Q167" i="2"/>
  <c r="Q165" i="2"/>
  <c r="Y163" i="2"/>
  <c r="U162" i="2"/>
  <c r="Y160" i="2"/>
  <c r="Y159" i="2"/>
  <c r="U159" i="2"/>
  <c r="Q158" i="2"/>
  <c r="T171" i="2"/>
  <c r="P170" i="2"/>
  <c r="L169" i="2"/>
  <c r="L167" i="2"/>
  <c r="X164" i="2"/>
  <c r="P163" i="2"/>
  <c r="L162" i="2"/>
  <c r="P160" i="2"/>
  <c r="P159" i="2"/>
  <c r="L158" i="2"/>
  <c r="U168" i="2"/>
  <c r="Q166" i="2"/>
  <c r="Y164" i="2"/>
  <c r="M163" i="2"/>
  <c r="Q161" i="2"/>
  <c r="Y158" i="2"/>
  <c r="P171" i="2"/>
  <c r="L170" i="2"/>
  <c r="X168" i="2"/>
  <c r="X167" i="2"/>
  <c r="P166" i="2"/>
  <c r="L165" i="2"/>
  <c r="L164" i="2"/>
  <c r="X162" i="2"/>
  <c r="L161" i="2"/>
  <c r="X158" i="2"/>
  <c r="S171" i="2"/>
  <c r="K171" i="2"/>
  <c r="S170" i="2"/>
  <c r="K170" i="2"/>
  <c r="W169" i="2"/>
  <c r="O169" i="2"/>
  <c r="K169" i="2"/>
  <c r="W168" i="2"/>
  <c r="S168" i="2"/>
  <c r="O168" i="2"/>
  <c r="K168" i="2"/>
  <c r="W167" i="2"/>
  <c r="O167" i="2"/>
  <c r="K167" i="2"/>
  <c r="W166" i="2"/>
  <c r="S166" i="2"/>
  <c r="O166" i="2"/>
  <c r="K166" i="2"/>
  <c r="W165" i="2"/>
  <c r="S165" i="2"/>
  <c r="O165" i="2"/>
  <c r="K165" i="2"/>
  <c r="W164" i="2"/>
  <c r="S164" i="2"/>
  <c r="O164" i="2"/>
  <c r="K164" i="2"/>
  <c r="W163" i="2"/>
  <c r="S163" i="2"/>
  <c r="O163" i="2"/>
  <c r="K163" i="2"/>
  <c r="W162" i="2"/>
  <c r="S162" i="2"/>
  <c r="O162" i="2"/>
  <c r="K162" i="2"/>
  <c r="W161" i="2"/>
  <c r="S161" i="2"/>
  <c r="O161" i="2"/>
  <c r="K161" i="2"/>
  <c r="W160" i="2"/>
  <c r="S160" i="2"/>
  <c r="O160" i="2"/>
  <c r="K160" i="2"/>
  <c r="W159" i="2"/>
  <c r="S159" i="2"/>
  <c r="O159" i="2"/>
  <c r="K159" i="2"/>
  <c r="W158" i="2"/>
  <c r="S158" i="2"/>
  <c r="O158" i="2"/>
  <c r="K158" i="2"/>
  <c r="Y168" i="2"/>
  <c r="U167" i="2"/>
  <c r="Y165" i="2"/>
  <c r="U164" i="2"/>
  <c r="Q163" i="2"/>
  <c r="M162" i="2"/>
  <c r="Q160" i="2"/>
  <c r="U158" i="2"/>
  <c r="X171" i="2"/>
  <c r="T170" i="2"/>
  <c r="P169" i="2"/>
  <c r="L168" i="2"/>
  <c r="X166" i="2"/>
  <c r="X165" i="2"/>
  <c r="T164" i="2"/>
  <c r="T163" i="2"/>
  <c r="T162" i="2"/>
  <c r="X161" i="2"/>
  <c r="X160" i="2"/>
  <c r="L160" i="2"/>
  <c r="T159" i="2"/>
  <c r="P158" i="2"/>
  <c r="W171" i="2"/>
  <c r="O171" i="2"/>
  <c r="W170" i="2"/>
  <c r="O170" i="2"/>
  <c r="S169" i="2"/>
  <c r="S167" i="2"/>
  <c r="U169" i="2"/>
  <c r="Y167" i="2"/>
  <c r="U165" i="2"/>
  <c r="M164" i="2"/>
  <c r="Y162" i="2"/>
  <c r="U161" i="2"/>
  <c r="M159" i="2"/>
  <c r="L171" i="2"/>
  <c r="X169" i="2"/>
  <c r="P168" i="2"/>
  <c r="P167" i="2"/>
  <c r="T166" i="2"/>
  <c r="T165" i="2"/>
  <c r="P164" i="2"/>
  <c r="L163" i="2"/>
  <c r="P161" i="2"/>
  <c r="L159" i="2"/>
  <c r="R171" i="2"/>
  <c r="J171" i="2"/>
  <c r="R170" i="2"/>
  <c r="J170" i="2"/>
  <c r="V169" i="2"/>
  <c r="N169" i="2"/>
  <c r="J169" i="2"/>
  <c r="V168" i="2"/>
  <c r="R168" i="2"/>
  <c r="N168" i="2"/>
  <c r="J168" i="2"/>
  <c r="V167" i="2"/>
  <c r="N167" i="2"/>
  <c r="J167" i="2"/>
  <c r="V166" i="2"/>
  <c r="R166" i="2"/>
  <c r="N166" i="2"/>
  <c r="J166" i="2"/>
  <c r="V165" i="2"/>
  <c r="R165" i="2"/>
  <c r="N165" i="2"/>
  <c r="J165" i="2"/>
  <c r="V164" i="2"/>
  <c r="R164" i="2"/>
  <c r="N164" i="2"/>
  <c r="J164" i="2"/>
  <c r="V163" i="2"/>
  <c r="R163" i="2"/>
  <c r="N163" i="2"/>
  <c r="J163" i="2"/>
  <c r="V162" i="2"/>
  <c r="R162" i="2"/>
  <c r="N162" i="2"/>
  <c r="J162" i="2"/>
  <c r="V161" i="2"/>
  <c r="R161" i="2"/>
  <c r="N161" i="2"/>
  <c r="J161" i="2"/>
  <c r="V160" i="2"/>
  <c r="R160" i="2"/>
  <c r="N160" i="2"/>
  <c r="J160" i="2"/>
  <c r="V159" i="2"/>
  <c r="R159" i="2"/>
  <c r="N159" i="2"/>
  <c r="J159" i="2"/>
  <c r="V158" i="2"/>
  <c r="R158" i="2"/>
  <c r="N158" i="2"/>
  <c r="J158" i="2"/>
  <c r="I162" i="2"/>
  <c r="I161" i="2"/>
  <c r="I166" i="2"/>
  <c r="I169" i="2"/>
  <c r="I168" i="2"/>
  <c r="I164" i="2"/>
  <c r="I160" i="2"/>
  <c r="I170" i="2"/>
  <c r="I165" i="2"/>
  <c r="I171" i="2"/>
  <c r="I167" i="2"/>
  <c r="I163" i="2"/>
  <c r="I159" i="2"/>
  <c r="I158" i="2"/>
  <c r="Y155" i="2"/>
  <c r="Y154" i="2"/>
  <c r="M155" i="2"/>
  <c r="U155" i="2"/>
  <c r="U146" i="2"/>
  <c r="Q155" i="2"/>
  <c r="Y153" i="2"/>
  <c r="M154" i="2"/>
  <c r="Y152" i="2"/>
  <c r="Y151" i="2"/>
  <c r="Y150" i="2"/>
  <c r="Y149" i="2"/>
  <c r="Y148" i="2"/>
  <c r="M148" i="2"/>
  <c r="Q147" i="2"/>
  <c r="M146" i="2"/>
  <c r="U145" i="2"/>
  <c r="U144" i="2"/>
  <c r="U143" i="2"/>
  <c r="Q142" i="2"/>
  <c r="X154" i="2"/>
  <c r="X153" i="2"/>
  <c r="X152" i="2"/>
  <c r="X151" i="2"/>
  <c r="X150" i="2"/>
  <c r="T149" i="2"/>
  <c r="P148" i="2"/>
  <c r="X146" i="2"/>
  <c r="L142" i="2"/>
  <c r="Q154" i="2"/>
  <c r="M153" i="2"/>
  <c r="M152" i="2"/>
  <c r="M151" i="2"/>
  <c r="M150" i="2"/>
  <c r="M149" i="2"/>
  <c r="Q148" i="2"/>
  <c r="U147" i="2"/>
  <c r="Q146" i="2"/>
  <c r="M145" i="2"/>
  <c r="M144" i="2"/>
  <c r="M143" i="2"/>
  <c r="U142" i="2"/>
  <c r="P155" i="2"/>
  <c r="P154" i="2"/>
  <c r="P153" i="2"/>
  <c r="P152" i="2"/>
  <c r="T151" i="2"/>
  <c r="T150" i="2"/>
  <c r="X149" i="2"/>
  <c r="X148" i="2"/>
  <c r="L148" i="2"/>
  <c r="P147" i="2"/>
  <c r="T146" i="2"/>
  <c r="X145" i="2"/>
  <c r="P145" i="2"/>
  <c r="X144" i="2"/>
  <c r="P144" i="2"/>
  <c r="T143" i="2"/>
  <c r="L143" i="2"/>
  <c r="P142" i="2"/>
  <c r="W155" i="2"/>
  <c r="S155" i="2"/>
  <c r="O155" i="2"/>
  <c r="K155" i="2"/>
  <c r="W154" i="2"/>
  <c r="S154" i="2"/>
  <c r="O154" i="2"/>
  <c r="K154" i="2"/>
  <c r="W153" i="2"/>
  <c r="S153" i="2"/>
  <c r="O153" i="2"/>
  <c r="K153" i="2"/>
  <c r="W152" i="2"/>
  <c r="S152" i="2"/>
  <c r="O152" i="2"/>
  <c r="K152" i="2"/>
  <c r="W151" i="2"/>
  <c r="S151" i="2"/>
  <c r="O151" i="2"/>
  <c r="K151" i="2"/>
  <c r="W150" i="2"/>
  <c r="S150" i="2"/>
  <c r="O150" i="2"/>
  <c r="K150" i="2"/>
  <c r="W149" i="2"/>
  <c r="S149" i="2"/>
  <c r="O149" i="2"/>
  <c r="K149" i="2"/>
  <c r="W148" i="2"/>
  <c r="S148" i="2"/>
  <c r="O148" i="2"/>
  <c r="K148" i="2"/>
  <c r="W147" i="2"/>
  <c r="S147" i="2"/>
  <c r="O147" i="2"/>
  <c r="K147" i="2"/>
  <c r="W146" i="2"/>
  <c r="S146" i="2"/>
  <c r="O146" i="2"/>
  <c r="K146" i="2"/>
  <c r="W145" i="2"/>
  <c r="S145" i="2"/>
  <c r="O145" i="2"/>
  <c r="K145" i="2"/>
  <c r="W144" i="2"/>
  <c r="S144" i="2"/>
  <c r="O144" i="2"/>
  <c r="K144" i="2"/>
  <c r="W143" i="2"/>
  <c r="S143" i="2"/>
  <c r="O143" i="2"/>
  <c r="K143" i="2"/>
  <c r="W142" i="2"/>
  <c r="S142" i="2"/>
  <c r="O142" i="2"/>
  <c r="K142" i="2"/>
  <c r="Q153" i="2"/>
  <c r="Q152" i="2"/>
  <c r="U151" i="2"/>
  <c r="U150" i="2"/>
  <c r="U149" i="2"/>
  <c r="U148" i="2"/>
  <c r="Y146" i="2"/>
  <c r="Q145" i="2"/>
  <c r="Q144" i="2"/>
  <c r="Q143" i="2"/>
  <c r="M142" i="2"/>
  <c r="X155" i="2"/>
  <c r="L155" i="2"/>
  <c r="L154" i="2"/>
  <c r="L153" i="2"/>
  <c r="L152" i="2"/>
  <c r="L151" i="2"/>
  <c r="L150" i="2"/>
  <c r="L149" i="2"/>
  <c r="X147" i="2"/>
  <c r="P146" i="2"/>
  <c r="T142" i="2"/>
  <c r="U154" i="2"/>
  <c r="U153" i="2"/>
  <c r="U152" i="2"/>
  <c r="Q151" i="2"/>
  <c r="Q150" i="2"/>
  <c r="Q149" i="2"/>
  <c r="Y147" i="2"/>
  <c r="M147" i="2"/>
  <c r="Y145" i="2"/>
  <c r="Y144" i="2"/>
  <c r="Y143" i="2"/>
  <c r="Y142" i="2"/>
  <c r="T155" i="2"/>
  <c r="T154" i="2"/>
  <c r="T153" i="2"/>
  <c r="T152" i="2"/>
  <c r="P151" i="2"/>
  <c r="P150" i="2"/>
  <c r="P149" i="2"/>
  <c r="T148" i="2"/>
  <c r="T147" i="2"/>
  <c r="L147" i="2"/>
  <c r="L146" i="2"/>
  <c r="T145" i="2"/>
  <c r="L145" i="2"/>
  <c r="T144" i="2"/>
  <c r="L144" i="2"/>
  <c r="X143" i="2"/>
  <c r="P143" i="2"/>
  <c r="X142" i="2"/>
  <c r="V155" i="2"/>
  <c r="R155" i="2"/>
  <c r="N155" i="2"/>
  <c r="J155" i="2"/>
  <c r="V154" i="2"/>
  <c r="R154" i="2"/>
  <c r="N154" i="2"/>
  <c r="J154" i="2"/>
  <c r="V153" i="2"/>
  <c r="R153" i="2"/>
  <c r="N153" i="2"/>
  <c r="J153" i="2"/>
  <c r="V152" i="2"/>
  <c r="R152" i="2"/>
  <c r="N152" i="2"/>
  <c r="J152" i="2"/>
  <c r="V151" i="2"/>
  <c r="R151" i="2"/>
  <c r="N151" i="2"/>
  <c r="J151" i="2"/>
  <c r="V150" i="2"/>
  <c r="R150" i="2"/>
  <c r="N150" i="2"/>
  <c r="J150" i="2"/>
  <c r="V149" i="2"/>
  <c r="R149" i="2"/>
  <c r="N149" i="2"/>
  <c r="J149" i="2"/>
  <c r="V148" i="2"/>
  <c r="R148" i="2"/>
  <c r="N148" i="2"/>
  <c r="J148" i="2"/>
  <c r="V147" i="2"/>
  <c r="R147" i="2"/>
  <c r="N147" i="2"/>
  <c r="J147" i="2"/>
  <c r="V146" i="2"/>
  <c r="R146" i="2"/>
  <c r="N146" i="2"/>
  <c r="J146" i="2"/>
  <c r="V145" i="2"/>
  <c r="R145" i="2"/>
  <c r="N145" i="2"/>
  <c r="J145" i="2"/>
  <c r="V144" i="2"/>
  <c r="R144" i="2"/>
  <c r="N144" i="2"/>
  <c r="J144" i="2"/>
  <c r="V143" i="2"/>
  <c r="R143" i="2"/>
  <c r="N143" i="2"/>
  <c r="J143" i="2"/>
  <c r="V142" i="2"/>
  <c r="R142" i="2"/>
  <c r="N142" i="2"/>
  <c r="J142" i="2"/>
  <c r="I150" i="2"/>
  <c r="I145" i="2"/>
  <c r="I146" i="2"/>
  <c r="I149" i="2"/>
  <c r="I152" i="2"/>
  <c r="I148" i="2"/>
  <c r="I144" i="2"/>
  <c r="I154" i="2"/>
  <c r="I153" i="2"/>
  <c r="I155" i="2"/>
  <c r="I151" i="2"/>
  <c r="I147" i="2"/>
  <c r="I143" i="2"/>
  <c r="I142" i="2"/>
  <c r="Y139" i="2"/>
  <c r="U139" i="2"/>
  <c r="Q139" i="2"/>
  <c r="M139" i="2"/>
  <c r="Y138" i="2"/>
  <c r="U138" i="2"/>
  <c r="Q138" i="2"/>
  <c r="M138" i="2"/>
  <c r="Y137" i="2"/>
  <c r="U137" i="2"/>
  <c r="Q137" i="2"/>
  <c r="M137" i="2"/>
  <c r="Y136" i="2"/>
  <c r="U136" i="2"/>
  <c r="Q136" i="2"/>
  <c r="M136" i="2"/>
  <c r="Y135" i="2"/>
  <c r="U135" i="2"/>
  <c r="Q135" i="2"/>
  <c r="M135" i="2"/>
  <c r="Y134" i="2"/>
  <c r="U134" i="2"/>
  <c r="Q134" i="2"/>
  <c r="M134" i="2"/>
  <c r="Y133" i="2"/>
  <c r="U133" i="2"/>
  <c r="Q133" i="2"/>
  <c r="M133" i="2"/>
  <c r="Y132" i="2"/>
  <c r="U132" i="2"/>
  <c r="Q132" i="2"/>
  <c r="M132" i="2"/>
  <c r="Y131" i="2"/>
  <c r="U131" i="2"/>
  <c r="Q131" i="2"/>
  <c r="M131" i="2"/>
  <c r="Y130" i="2"/>
  <c r="U130" i="2"/>
  <c r="Q130" i="2"/>
  <c r="M130" i="2"/>
  <c r="Y129" i="2"/>
  <c r="U129" i="2"/>
  <c r="Q129" i="2"/>
  <c r="M129" i="2"/>
  <c r="Y128" i="2"/>
  <c r="U128" i="2"/>
  <c r="Q128" i="2"/>
  <c r="M128" i="2"/>
  <c r="Y127" i="2"/>
  <c r="U127" i="2"/>
  <c r="Q127" i="2"/>
  <c r="M127" i="2"/>
  <c r="Y126" i="2"/>
  <c r="U126" i="2"/>
  <c r="Q126" i="2"/>
  <c r="M126" i="2"/>
  <c r="T139" i="2"/>
  <c r="X138" i="2"/>
  <c r="L138" i="2"/>
  <c r="P137" i="2"/>
  <c r="T136" i="2"/>
  <c r="T135" i="2"/>
  <c r="X134" i="2"/>
  <c r="L134" i="2"/>
  <c r="P133" i="2"/>
  <c r="T132" i="2"/>
  <c r="X131" i="2"/>
  <c r="L131" i="2"/>
  <c r="P130" i="2"/>
  <c r="T129" i="2"/>
  <c r="X128" i="2"/>
  <c r="X127" i="2"/>
  <c r="P126" i="2"/>
  <c r="W139" i="2"/>
  <c r="O139" i="2"/>
  <c r="W138" i="2"/>
  <c r="S138" i="2"/>
  <c r="K138" i="2"/>
  <c r="W137" i="2"/>
  <c r="S137" i="2"/>
  <c r="O137" i="2"/>
  <c r="K137" i="2"/>
  <c r="W136" i="2"/>
  <c r="O136" i="2"/>
  <c r="K136" i="2"/>
  <c r="W135" i="2"/>
  <c r="S135" i="2"/>
  <c r="O135" i="2"/>
  <c r="K135" i="2"/>
  <c r="W134" i="2"/>
  <c r="S134" i="2"/>
  <c r="O134" i="2"/>
  <c r="K134" i="2"/>
  <c r="W133" i="2"/>
  <c r="S133" i="2"/>
  <c r="O133" i="2"/>
  <c r="K133" i="2"/>
  <c r="W132" i="2"/>
  <c r="S132" i="2"/>
  <c r="O132" i="2"/>
  <c r="K132" i="2"/>
  <c r="W131" i="2"/>
  <c r="S131" i="2"/>
  <c r="O131" i="2"/>
  <c r="K131" i="2"/>
  <c r="W130" i="2"/>
  <c r="S130" i="2"/>
  <c r="O130" i="2"/>
  <c r="K130" i="2"/>
  <c r="W129" i="2"/>
  <c r="S129" i="2"/>
  <c r="O129" i="2"/>
  <c r="K129" i="2"/>
  <c r="W128" i="2"/>
  <c r="S128" i="2"/>
  <c r="O128" i="2"/>
  <c r="K128" i="2"/>
  <c r="W127" i="2"/>
  <c r="S127" i="2"/>
  <c r="O127" i="2"/>
  <c r="K127" i="2"/>
  <c r="W126" i="2"/>
  <c r="S126" i="2"/>
  <c r="O126" i="2"/>
  <c r="K126" i="2"/>
  <c r="X139" i="2"/>
  <c r="L139" i="2"/>
  <c r="P138" i="2"/>
  <c r="T137" i="2"/>
  <c r="X136" i="2"/>
  <c r="L136" i="2"/>
  <c r="P135" i="2"/>
  <c r="T134" i="2"/>
  <c r="X133" i="2"/>
  <c r="L133" i="2"/>
  <c r="P132" i="2"/>
  <c r="T131" i="2"/>
  <c r="X130" i="2"/>
  <c r="L130" i="2"/>
  <c r="P129" i="2"/>
  <c r="T128" i="2"/>
  <c r="L128" i="2"/>
  <c r="P127" i="2"/>
  <c r="L127" i="2"/>
  <c r="X126" i="2"/>
  <c r="L126" i="2"/>
  <c r="S139" i="2"/>
  <c r="K139" i="2"/>
  <c r="O138" i="2"/>
  <c r="S136" i="2"/>
  <c r="P139" i="2"/>
  <c r="T138" i="2"/>
  <c r="X137" i="2"/>
  <c r="L137" i="2"/>
  <c r="P136" i="2"/>
  <c r="X135" i="2"/>
  <c r="L135" i="2"/>
  <c r="P134" i="2"/>
  <c r="T133" i="2"/>
  <c r="X132" i="2"/>
  <c r="L132" i="2"/>
  <c r="P131" i="2"/>
  <c r="T130" i="2"/>
  <c r="X129" i="2"/>
  <c r="L129" i="2"/>
  <c r="P128" i="2"/>
  <c r="T127" i="2"/>
  <c r="T126" i="2"/>
  <c r="V139" i="2"/>
  <c r="R139" i="2"/>
  <c r="N139" i="2"/>
  <c r="J139" i="2"/>
  <c r="V138" i="2"/>
  <c r="R138" i="2"/>
  <c r="N138" i="2"/>
  <c r="J138" i="2"/>
  <c r="V137" i="2"/>
  <c r="R137" i="2"/>
  <c r="N137" i="2"/>
  <c r="J137" i="2"/>
  <c r="V136" i="2"/>
  <c r="R136" i="2"/>
  <c r="N136" i="2"/>
  <c r="J136" i="2"/>
  <c r="V135" i="2"/>
  <c r="R135" i="2"/>
  <c r="N135" i="2"/>
  <c r="J135" i="2"/>
  <c r="V134" i="2"/>
  <c r="R134" i="2"/>
  <c r="N134" i="2"/>
  <c r="J134" i="2"/>
  <c r="V133" i="2"/>
  <c r="R133" i="2"/>
  <c r="N133" i="2"/>
  <c r="J133" i="2"/>
  <c r="V132" i="2"/>
  <c r="R132" i="2"/>
  <c r="N132" i="2"/>
  <c r="J132" i="2"/>
  <c r="V131" i="2"/>
  <c r="R131" i="2"/>
  <c r="N131" i="2"/>
  <c r="J131" i="2"/>
  <c r="V130" i="2"/>
  <c r="R130" i="2"/>
  <c r="N130" i="2"/>
  <c r="J130" i="2"/>
  <c r="V129" i="2"/>
  <c r="R129" i="2"/>
  <c r="N129" i="2"/>
  <c r="J129" i="2"/>
  <c r="V128" i="2"/>
  <c r="R128" i="2"/>
  <c r="N128" i="2"/>
  <c r="J128" i="2"/>
  <c r="V127" i="2"/>
  <c r="R127" i="2"/>
  <c r="N127" i="2"/>
  <c r="J127" i="2"/>
  <c r="V126" i="2"/>
  <c r="R126" i="2"/>
  <c r="N126" i="2"/>
  <c r="J126" i="2"/>
  <c r="I138" i="2"/>
  <c r="I133" i="2"/>
  <c r="I134" i="2"/>
  <c r="I129" i="2"/>
  <c r="I136" i="2"/>
  <c r="I132" i="2"/>
  <c r="I128" i="2"/>
  <c r="I137" i="2"/>
  <c r="I130" i="2"/>
  <c r="I139" i="2"/>
  <c r="I135" i="2"/>
  <c r="I131" i="2"/>
  <c r="I127" i="2"/>
  <c r="I126" i="2"/>
  <c r="X123" i="2"/>
  <c r="M122" i="2"/>
  <c r="N121" i="2"/>
  <c r="O120" i="2"/>
  <c r="P119" i="2"/>
  <c r="Q118" i="2"/>
  <c r="R117" i="2"/>
  <c r="S116" i="2"/>
  <c r="T115" i="2"/>
  <c r="U114" i="2"/>
  <c r="V113" i="2"/>
  <c r="W112" i="2"/>
  <c r="X111" i="2"/>
  <c r="K123" i="2"/>
  <c r="J121" i="2"/>
  <c r="L119" i="2"/>
  <c r="N117" i="2"/>
  <c r="Q114" i="2"/>
  <c r="R113" i="2"/>
  <c r="S112" i="2"/>
  <c r="T111" i="2"/>
  <c r="T123" i="2"/>
  <c r="U122" i="2"/>
  <c r="Y118" i="2"/>
  <c r="J117" i="2"/>
  <c r="L115" i="2"/>
  <c r="M114" i="2"/>
  <c r="O112" i="2"/>
  <c r="P111" i="2"/>
  <c r="Y122" i="2"/>
  <c r="M118" i="2"/>
  <c r="W120" i="2"/>
  <c r="P123" i="2"/>
  <c r="I122" i="2"/>
  <c r="P115" i="2"/>
  <c r="X119" i="2"/>
  <c r="Q122" i="2"/>
  <c r="R121" i="2"/>
  <c r="T119" i="2"/>
  <c r="U118" i="2"/>
  <c r="V117" i="2"/>
  <c r="W116" i="2"/>
  <c r="X115" i="2"/>
  <c r="Y114" i="2"/>
  <c r="I114" i="2"/>
  <c r="J113" i="2"/>
  <c r="K112" i="2"/>
  <c r="L111" i="2"/>
  <c r="W123" i="2"/>
  <c r="K120" i="2"/>
  <c r="O116" i="2"/>
  <c r="V121" i="2"/>
  <c r="I118" i="2"/>
  <c r="K116" i="2"/>
  <c r="N113" i="2"/>
  <c r="S120" i="2"/>
  <c r="L123" i="2"/>
  <c r="S123" i="2"/>
  <c r="T122" i="2"/>
  <c r="U121" i="2"/>
  <c r="R120" i="2"/>
  <c r="S119" i="2"/>
  <c r="T118" i="2"/>
  <c r="Q117" i="2"/>
  <c r="R116" i="2"/>
  <c r="S115" i="2"/>
  <c r="T114" i="2"/>
  <c r="U113" i="2"/>
  <c r="V112" i="2"/>
  <c r="O111" i="2"/>
  <c r="N122" i="2"/>
  <c r="K111" i="2"/>
  <c r="X122" i="2"/>
  <c r="Y121" i="2"/>
  <c r="I121" i="2"/>
  <c r="J120" i="2"/>
  <c r="X118" i="2"/>
  <c r="Y117" i="2"/>
  <c r="M117" i="2"/>
  <c r="N116" i="2"/>
  <c r="O115" i="2"/>
  <c r="P114" i="2"/>
  <c r="Q113" i="2"/>
  <c r="R112" i="2"/>
  <c r="J112" i="2"/>
  <c r="V123" i="2"/>
  <c r="R123" i="2"/>
  <c r="N123" i="2"/>
  <c r="J123" i="2"/>
  <c r="W122" i="2"/>
  <c r="S122" i="2"/>
  <c r="K122" i="2"/>
  <c r="X121" i="2"/>
  <c r="T121" i="2"/>
  <c r="P121" i="2"/>
  <c r="L121" i="2"/>
  <c r="Y120" i="2"/>
  <c r="U120" i="2"/>
  <c r="Q120" i="2"/>
  <c r="M120" i="2"/>
  <c r="I120" i="2"/>
  <c r="V119" i="2"/>
  <c r="R119" i="2"/>
  <c r="N119" i="2"/>
  <c r="J119" i="2"/>
  <c r="W118" i="2"/>
  <c r="S118" i="2"/>
  <c r="O118" i="2"/>
  <c r="K118" i="2"/>
  <c r="X117" i="2"/>
  <c r="T117" i="2"/>
  <c r="P117" i="2"/>
  <c r="L117" i="2"/>
  <c r="Y116" i="2"/>
  <c r="U116" i="2"/>
  <c r="Q116" i="2"/>
  <c r="M116" i="2"/>
  <c r="I116" i="2"/>
  <c r="V115" i="2"/>
  <c r="R115" i="2"/>
  <c r="N115" i="2"/>
  <c r="J115" i="2"/>
  <c r="W114" i="2"/>
  <c r="S114" i="2"/>
  <c r="O114" i="2"/>
  <c r="K114" i="2"/>
  <c r="X113" i="2"/>
  <c r="T113" i="2"/>
  <c r="P113" i="2"/>
  <c r="L113" i="2"/>
  <c r="Y112" i="2"/>
  <c r="U112" i="2"/>
  <c r="Q112" i="2"/>
  <c r="M112" i="2"/>
  <c r="I112" i="2"/>
  <c r="V111" i="2"/>
  <c r="R111" i="2"/>
  <c r="N111" i="2"/>
  <c r="J111" i="2"/>
  <c r="L122" i="2"/>
  <c r="M121" i="2"/>
  <c r="N120" i="2"/>
  <c r="O119" i="2"/>
  <c r="P118" i="2"/>
  <c r="U117" i="2"/>
  <c r="V116" i="2"/>
  <c r="W115" i="2"/>
  <c r="X114" i="2"/>
  <c r="Y113" i="2"/>
  <c r="I113" i="2"/>
  <c r="W111" i="2"/>
  <c r="O122" i="2"/>
  <c r="O123" i="2"/>
  <c r="P122" i="2"/>
  <c r="Q121" i="2"/>
  <c r="V120" i="2"/>
  <c r="W119" i="2"/>
  <c r="K119" i="2"/>
  <c r="L118" i="2"/>
  <c r="I117" i="2"/>
  <c r="J116" i="2"/>
  <c r="K115" i="2"/>
  <c r="L114" i="2"/>
  <c r="M113" i="2"/>
  <c r="N112" i="2"/>
  <c r="S111" i="2"/>
  <c r="Y123" i="2"/>
  <c r="U123" i="2"/>
  <c r="Q123" i="2"/>
  <c r="M123" i="2"/>
  <c r="I123" i="2"/>
  <c r="V122" i="2"/>
  <c r="R122" i="2"/>
  <c r="J122" i="2"/>
  <c r="W121" i="2"/>
  <c r="S121" i="2"/>
  <c r="O121" i="2"/>
  <c r="K121" i="2"/>
  <c r="X120" i="2"/>
  <c r="T120" i="2"/>
  <c r="P120" i="2"/>
  <c r="L120" i="2"/>
  <c r="Y119" i="2"/>
  <c r="U119" i="2"/>
  <c r="Q119" i="2"/>
  <c r="M119" i="2"/>
  <c r="I119" i="2"/>
  <c r="V118" i="2"/>
  <c r="R118" i="2"/>
  <c r="N118" i="2"/>
  <c r="J118" i="2"/>
  <c r="W117" i="2"/>
  <c r="S117" i="2"/>
  <c r="O117" i="2"/>
  <c r="K117" i="2"/>
  <c r="X116" i="2"/>
  <c r="T116" i="2"/>
  <c r="P116" i="2"/>
  <c r="L116" i="2"/>
  <c r="Y115" i="2"/>
  <c r="U115" i="2"/>
  <c r="Q115" i="2"/>
  <c r="M115" i="2"/>
  <c r="I115" i="2"/>
  <c r="V114" i="2"/>
  <c r="R114" i="2"/>
  <c r="N114" i="2"/>
  <c r="J114" i="2"/>
  <c r="W113" i="2"/>
  <c r="S113" i="2"/>
  <c r="O113" i="2"/>
  <c r="K113" i="2"/>
  <c r="X112" i="2"/>
  <c r="T112" i="2"/>
  <c r="P112" i="2"/>
  <c r="L112" i="2"/>
  <c r="Y111" i="2"/>
  <c r="U111" i="2"/>
  <c r="Q111" i="2"/>
  <c r="M111" i="2"/>
  <c r="I111" i="2"/>
  <c r="Q110" i="2"/>
  <c r="X110" i="2"/>
  <c r="L110" i="2"/>
  <c r="W110" i="2"/>
  <c r="S110" i="2"/>
  <c r="O110" i="2"/>
  <c r="K110" i="2"/>
  <c r="U110" i="2"/>
  <c r="P110" i="2"/>
  <c r="Y110" i="2"/>
  <c r="M110" i="2"/>
  <c r="T110" i="2"/>
  <c r="V110" i="2"/>
  <c r="R110" i="2"/>
  <c r="N110" i="2"/>
  <c r="J110" i="2"/>
  <c r="I110" i="2"/>
  <c r="AO97" i="2"/>
  <c r="AL100" i="2"/>
  <c r="AG99" i="2"/>
  <c r="AL98" i="2"/>
  <c r="AG97" i="2"/>
  <c r="AL96" i="2"/>
  <c r="AG95" i="2"/>
  <c r="AL94" i="2"/>
  <c r="AG93" i="2"/>
  <c r="AL92" i="2"/>
  <c r="AG91" i="2"/>
  <c r="AL90" i="2"/>
  <c r="AG89" i="2"/>
  <c r="AL88" i="2"/>
  <c r="AK100" i="2"/>
  <c r="AP99" i="2"/>
  <c r="AK98" i="2"/>
  <c r="AP97" i="2"/>
  <c r="AK96" i="2"/>
  <c r="AP95" i="2"/>
  <c r="AK94" i="2"/>
  <c r="AP93" i="2"/>
  <c r="AK92" i="2"/>
  <c r="AP91" i="2"/>
  <c r="AK90" i="2"/>
  <c r="AP89" i="2"/>
  <c r="AK88" i="2"/>
  <c r="AP87" i="2"/>
  <c r="AT98" i="2"/>
  <c r="AO95" i="2"/>
  <c r="AT92" i="2"/>
  <c r="AT88" i="2"/>
  <c r="AH100" i="2"/>
  <c r="AH98" i="2"/>
  <c r="AH96" i="2"/>
  <c r="AS92" i="2"/>
  <c r="AH88" i="2"/>
  <c r="AG98" i="2"/>
  <c r="AG92" i="2"/>
  <c r="AP100" i="2"/>
  <c r="AK99" i="2"/>
  <c r="AP98" i="2"/>
  <c r="AK97" i="2"/>
  <c r="AP96" i="2"/>
  <c r="AK95" i="2"/>
  <c r="AP94" i="2"/>
  <c r="AK93" i="2"/>
  <c r="AP92" i="2"/>
  <c r="AK91" i="2"/>
  <c r="AP90" i="2"/>
  <c r="AK89" i="2"/>
  <c r="AP88" i="2"/>
  <c r="AK87" i="2"/>
  <c r="AO99" i="2"/>
  <c r="AT94" i="2"/>
  <c r="AT90" i="2"/>
  <c r="AO87" i="2"/>
  <c r="AS100" i="2"/>
  <c r="AS96" i="2"/>
  <c r="AH94" i="2"/>
  <c r="AH92" i="2"/>
  <c r="AH90" i="2"/>
  <c r="AG100" i="2"/>
  <c r="AL97" i="2"/>
  <c r="AL95" i="2"/>
  <c r="AO100" i="2"/>
  <c r="AT99" i="2"/>
  <c r="AT97" i="2"/>
  <c r="AO96" i="2"/>
  <c r="AT95" i="2"/>
  <c r="AO94" i="2"/>
  <c r="AT93" i="2"/>
  <c r="AO92" i="2"/>
  <c r="AT91" i="2"/>
  <c r="AO90" i="2"/>
  <c r="AT89" i="2"/>
  <c r="AO88" i="2"/>
  <c r="AT87" i="2"/>
  <c r="AT100" i="2"/>
  <c r="AT96" i="2"/>
  <c r="AO93" i="2"/>
  <c r="AO91" i="2"/>
  <c r="AO89" i="2"/>
  <c r="AS98" i="2"/>
  <c r="AS94" i="2"/>
  <c r="AS90" i="2"/>
  <c r="AS88" i="2"/>
  <c r="AL99" i="2"/>
  <c r="AG96" i="2"/>
  <c r="AG94" i="2"/>
  <c r="AL93" i="2"/>
  <c r="AL91" i="2"/>
  <c r="AG90" i="2"/>
  <c r="AL89" i="2"/>
  <c r="AG88" i="2"/>
  <c r="AL87" i="2"/>
  <c r="AO98" i="2"/>
  <c r="AS99" i="2"/>
  <c r="AH99" i="2"/>
  <c r="AS97" i="2"/>
  <c r="AH97" i="2"/>
  <c r="AS95" i="2"/>
  <c r="AH95" i="2"/>
  <c r="AS93" i="2"/>
  <c r="AH93" i="2"/>
  <c r="AS91" i="2"/>
  <c r="AH91" i="2"/>
  <c r="AS89" i="2"/>
  <c r="AH89" i="2"/>
  <c r="AS87" i="2"/>
  <c r="AG87" i="2"/>
  <c r="AH87" i="2"/>
  <c r="AR100" i="2"/>
  <c r="AN100" i="2"/>
  <c r="AJ100" i="2"/>
  <c r="AF100" i="2"/>
  <c r="AR99" i="2"/>
  <c r="AN99" i="2"/>
  <c r="AJ99" i="2"/>
  <c r="AF99" i="2"/>
  <c r="AR98" i="2"/>
  <c r="AN98" i="2"/>
  <c r="AJ98" i="2"/>
  <c r="AF98" i="2"/>
  <c r="AR97" i="2"/>
  <c r="AN97" i="2"/>
  <c r="AJ97" i="2"/>
  <c r="AF97" i="2"/>
  <c r="AR96" i="2"/>
  <c r="AN96" i="2"/>
  <c r="AJ96" i="2"/>
  <c r="AF96" i="2"/>
  <c r="AR95" i="2"/>
  <c r="AN95" i="2"/>
  <c r="AJ95" i="2"/>
  <c r="AF95" i="2"/>
  <c r="AR94" i="2"/>
  <c r="AN94" i="2"/>
  <c r="AJ94" i="2"/>
  <c r="AF94" i="2"/>
  <c r="AR93" i="2"/>
  <c r="AN93" i="2"/>
  <c r="AJ93" i="2"/>
  <c r="AF93" i="2"/>
  <c r="AR92" i="2"/>
  <c r="AN92" i="2"/>
  <c r="AJ92" i="2"/>
  <c r="AF92" i="2"/>
  <c r="AR91" i="2"/>
  <c r="AN91" i="2"/>
  <c r="AJ91" i="2"/>
  <c r="AF91" i="2"/>
  <c r="AR90" i="2"/>
  <c r="AN90" i="2"/>
  <c r="AJ90" i="2"/>
  <c r="AF90" i="2"/>
  <c r="AR89" i="2"/>
  <c r="AN89" i="2"/>
  <c r="AJ89" i="2"/>
  <c r="AF89" i="2"/>
  <c r="AR88" i="2"/>
  <c r="AN88" i="2"/>
  <c r="AJ88" i="2"/>
  <c r="AF88" i="2"/>
  <c r="AR87" i="2"/>
  <c r="AN87" i="2"/>
  <c r="AJ87" i="2"/>
  <c r="AF87" i="2"/>
  <c r="AQ100" i="2"/>
  <c r="AM100" i="2"/>
  <c r="AI100" i="2"/>
  <c r="AE100" i="2"/>
  <c r="AQ99" i="2"/>
  <c r="AM99" i="2"/>
  <c r="AI99" i="2"/>
  <c r="AE99" i="2"/>
  <c r="AQ98" i="2"/>
  <c r="AM98" i="2"/>
  <c r="AI98" i="2"/>
  <c r="AE98" i="2"/>
  <c r="AQ97" i="2"/>
  <c r="AM97" i="2"/>
  <c r="AI97" i="2"/>
  <c r="AE97" i="2"/>
  <c r="AQ96" i="2"/>
  <c r="AM96" i="2"/>
  <c r="AI96" i="2"/>
  <c r="AE96" i="2"/>
  <c r="AQ95" i="2"/>
  <c r="AM95" i="2"/>
  <c r="AI95" i="2"/>
  <c r="AE95" i="2"/>
  <c r="AQ94" i="2"/>
  <c r="AM94" i="2"/>
  <c r="AI94" i="2"/>
  <c r="AE94" i="2"/>
  <c r="AQ93" i="2"/>
  <c r="AM93" i="2"/>
  <c r="AI93" i="2"/>
  <c r="AE93" i="2"/>
  <c r="AQ92" i="2"/>
  <c r="AM92" i="2"/>
  <c r="AI92" i="2"/>
  <c r="AE92" i="2"/>
  <c r="AQ91" i="2"/>
  <c r="AM91" i="2"/>
  <c r="AI91" i="2"/>
  <c r="AE91" i="2"/>
  <c r="AQ90" i="2"/>
  <c r="AM90" i="2"/>
  <c r="AI90" i="2"/>
  <c r="AE90" i="2"/>
  <c r="AQ89" i="2"/>
  <c r="AM89" i="2"/>
  <c r="AI89" i="2"/>
  <c r="AE89" i="2"/>
  <c r="AQ88" i="2"/>
  <c r="AM88" i="2"/>
  <c r="AI88" i="2"/>
  <c r="AE88" i="2"/>
  <c r="AQ87" i="2"/>
  <c r="AM87" i="2"/>
  <c r="AI87" i="2"/>
  <c r="AE87" i="2"/>
  <c r="AD98" i="2"/>
  <c r="AD95" i="2"/>
  <c r="AD91" i="2"/>
  <c r="AD90" i="2"/>
  <c r="AD99" i="2"/>
  <c r="AD94" i="2"/>
  <c r="AD97" i="2"/>
  <c r="AD93" i="2"/>
  <c r="AD89" i="2"/>
  <c r="AD100" i="2"/>
  <c r="AD96" i="2"/>
  <c r="AD92" i="2"/>
  <c r="AD88" i="2"/>
  <c r="AD87" i="2"/>
  <c r="AL84" i="2"/>
  <c r="AT84" i="2"/>
  <c r="AP84" i="2"/>
  <c r="AH71" i="2"/>
  <c r="AL83" i="2"/>
  <c r="AL82" i="2"/>
  <c r="AH82" i="2"/>
  <c r="AT81" i="2"/>
  <c r="AT80" i="2"/>
  <c r="AP80" i="2"/>
  <c r="AL80" i="2"/>
  <c r="AH80" i="2"/>
  <c r="AT79" i="2"/>
  <c r="AP79" i="2"/>
  <c r="AL79" i="2"/>
  <c r="AH79" i="2"/>
  <c r="AT78" i="2"/>
  <c r="AP78" i="2"/>
  <c r="AL78" i="2"/>
  <c r="AH78" i="2"/>
  <c r="AT77" i="2"/>
  <c r="AP77" i="2"/>
  <c r="AL77" i="2"/>
  <c r="AH77" i="2"/>
  <c r="AT76" i="2"/>
  <c r="AP76" i="2"/>
  <c r="AL76" i="2"/>
  <c r="AH76" i="2"/>
  <c r="AT75" i="2"/>
  <c r="AP75" i="2"/>
  <c r="AL75" i="2"/>
  <c r="AH75" i="2"/>
  <c r="AT74" i="2"/>
  <c r="AP74" i="2"/>
  <c r="AL74" i="2"/>
  <c r="AH74" i="2"/>
  <c r="AT73" i="2"/>
  <c r="AP73" i="2"/>
  <c r="AL73" i="2"/>
  <c r="AH73" i="2"/>
  <c r="AT72" i="2"/>
  <c r="AP72" i="2"/>
  <c r="AL72" i="2"/>
  <c r="AH72" i="2"/>
  <c r="AT71" i="2"/>
  <c r="AP71" i="2"/>
  <c r="AL71" i="2"/>
  <c r="AH84" i="2"/>
  <c r="AH83" i="2"/>
  <c r="AH81" i="2"/>
  <c r="AS84" i="2"/>
  <c r="AG84" i="2"/>
  <c r="AK83" i="2"/>
  <c r="AK82" i="2"/>
  <c r="AO81" i="2"/>
  <c r="AS80" i="2"/>
  <c r="AG80" i="2"/>
  <c r="AK79" i="2"/>
  <c r="AO78" i="2"/>
  <c r="AS77" i="2"/>
  <c r="AG77" i="2"/>
  <c r="AK76" i="2"/>
  <c r="AO75" i="2"/>
  <c r="AS74" i="2"/>
  <c r="AK74" i="2"/>
  <c r="AO73" i="2"/>
  <c r="AS72" i="2"/>
  <c r="AG72" i="2"/>
  <c r="AG71" i="2"/>
  <c r="AN84" i="2"/>
  <c r="AJ84" i="2"/>
  <c r="AF84" i="2"/>
  <c r="AR83" i="2"/>
  <c r="AN83" i="2"/>
  <c r="AJ83" i="2"/>
  <c r="AF83" i="2"/>
  <c r="AR82" i="2"/>
  <c r="AN82" i="2"/>
  <c r="AJ82" i="2"/>
  <c r="AF82" i="2"/>
  <c r="AR81" i="2"/>
  <c r="AN81" i="2"/>
  <c r="AJ81" i="2"/>
  <c r="AF81" i="2"/>
  <c r="AR80" i="2"/>
  <c r="AN80" i="2"/>
  <c r="AJ80" i="2"/>
  <c r="AF80" i="2"/>
  <c r="AR79" i="2"/>
  <c r="AN79" i="2"/>
  <c r="AJ79" i="2"/>
  <c r="AF79" i="2"/>
  <c r="AR78" i="2"/>
  <c r="AN78" i="2"/>
  <c r="AJ78" i="2"/>
  <c r="AF78" i="2"/>
  <c r="AR77" i="2"/>
  <c r="AN77" i="2"/>
  <c r="AJ77" i="2"/>
  <c r="AF77" i="2"/>
  <c r="AR76" i="2"/>
  <c r="AN76" i="2"/>
  <c r="AJ76" i="2"/>
  <c r="AF76" i="2"/>
  <c r="AR75" i="2"/>
  <c r="AN75" i="2"/>
  <c r="AJ75" i="2"/>
  <c r="AF75" i="2"/>
  <c r="AR74" i="2"/>
  <c r="AN74" i="2"/>
  <c r="AJ74" i="2"/>
  <c r="AF74" i="2"/>
  <c r="AR73" i="2"/>
  <c r="AN73" i="2"/>
  <c r="AJ73" i="2"/>
  <c r="AF73" i="2"/>
  <c r="AR72" i="2"/>
  <c r="AN72" i="2"/>
  <c r="AJ72" i="2"/>
  <c r="AF72" i="2"/>
  <c r="AR71" i="2"/>
  <c r="AN71" i="2"/>
  <c r="AJ71" i="2"/>
  <c r="AF71" i="2"/>
  <c r="AT83" i="2"/>
  <c r="AT82" i="2"/>
  <c r="AL81" i="2"/>
  <c r="AO84" i="2"/>
  <c r="AS83" i="2"/>
  <c r="AG83" i="2"/>
  <c r="AO82" i="2"/>
  <c r="AS81" i="2"/>
  <c r="AG81" i="2"/>
  <c r="AK80" i="2"/>
  <c r="AO79" i="2"/>
  <c r="AS78" i="2"/>
  <c r="AG78" i="2"/>
  <c r="AK77" i="2"/>
  <c r="AO76" i="2"/>
  <c r="AS75" i="2"/>
  <c r="AG75" i="2"/>
  <c r="AG74" i="2"/>
  <c r="AG73" i="2"/>
  <c r="AK72" i="2"/>
  <c r="AK71" i="2"/>
  <c r="AR84" i="2"/>
  <c r="AP83" i="2"/>
  <c r="AP82" i="2"/>
  <c r="AP81" i="2"/>
  <c r="AK84" i="2"/>
  <c r="AO83" i="2"/>
  <c r="AS82" i="2"/>
  <c r="AG82" i="2"/>
  <c r="AK81" i="2"/>
  <c r="AO80" i="2"/>
  <c r="AS79" i="2"/>
  <c r="AG79" i="2"/>
  <c r="AK78" i="2"/>
  <c r="AO77" i="2"/>
  <c r="AS76" i="2"/>
  <c r="AG76" i="2"/>
  <c r="AK75" i="2"/>
  <c r="AO74" i="2"/>
  <c r="AS73" i="2"/>
  <c r="AK73" i="2"/>
  <c r="AO72" i="2"/>
  <c r="AS71" i="2"/>
  <c r="AO71" i="2"/>
  <c r="AQ84" i="2"/>
  <c r="AM84" i="2"/>
  <c r="AI84" i="2"/>
  <c r="AE84" i="2"/>
  <c r="AQ83" i="2"/>
  <c r="AM83" i="2"/>
  <c r="AI83" i="2"/>
  <c r="AE83" i="2"/>
  <c r="AQ82" i="2"/>
  <c r="AM82" i="2"/>
  <c r="AI82" i="2"/>
  <c r="AE82" i="2"/>
  <c r="AQ81" i="2"/>
  <c r="AM81" i="2"/>
  <c r="AI81" i="2"/>
  <c r="AE81" i="2"/>
  <c r="AQ80" i="2"/>
  <c r="AM80" i="2"/>
  <c r="AI80" i="2"/>
  <c r="AE80" i="2"/>
  <c r="AQ79" i="2"/>
  <c r="AM79" i="2"/>
  <c r="AI79" i="2"/>
  <c r="AE79" i="2"/>
  <c r="AQ78" i="2"/>
  <c r="AM78" i="2"/>
  <c r="AI78" i="2"/>
  <c r="AE78" i="2"/>
  <c r="AQ77" i="2"/>
  <c r="AM77" i="2"/>
  <c r="AI77" i="2"/>
  <c r="AE77" i="2"/>
  <c r="AQ76" i="2"/>
  <c r="AM76" i="2"/>
  <c r="AI76" i="2"/>
  <c r="AE76" i="2"/>
  <c r="AQ75" i="2"/>
  <c r="AM75" i="2"/>
  <c r="AI75" i="2"/>
  <c r="AE75" i="2"/>
  <c r="AQ74" i="2"/>
  <c r="AM74" i="2"/>
  <c r="AI74" i="2"/>
  <c r="AE74" i="2"/>
  <c r="AQ73" i="2"/>
  <c r="AM73" i="2"/>
  <c r="AI73" i="2"/>
  <c r="AE73" i="2"/>
  <c r="AQ72" i="2"/>
  <c r="AM72" i="2"/>
  <c r="AI72" i="2"/>
  <c r="AE72" i="2"/>
  <c r="AQ71" i="2"/>
  <c r="AM71" i="2"/>
  <c r="AI71" i="2"/>
  <c r="AE71" i="2"/>
  <c r="AD83" i="2"/>
  <c r="AD79" i="2"/>
  <c r="AD74" i="2"/>
  <c r="AD81" i="2"/>
  <c r="AD77" i="2"/>
  <c r="AD73" i="2"/>
  <c r="AD82" i="2"/>
  <c r="AD75" i="2"/>
  <c r="AD78" i="2"/>
  <c r="AD84" i="2"/>
  <c r="AD80" i="2"/>
  <c r="AD76" i="2"/>
  <c r="AD72" i="2"/>
  <c r="AD71" i="2"/>
  <c r="AT58" i="2"/>
  <c r="AH66" i="2"/>
  <c r="AP62" i="2"/>
  <c r="AL62" i="2"/>
  <c r="AT65" i="2"/>
  <c r="AT64" i="2"/>
  <c r="AT63" i="2"/>
  <c r="AH62" i="2"/>
  <c r="AH60" i="2"/>
  <c r="AH58" i="2"/>
  <c r="AH56" i="2"/>
  <c r="AT55" i="2"/>
  <c r="AT62" i="2"/>
  <c r="AH68" i="2"/>
  <c r="AH64" i="2"/>
  <c r="AP56" i="2"/>
  <c r="AL56" i="2"/>
  <c r="AT68" i="2"/>
  <c r="AP68" i="2"/>
  <c r="AP67" i="2"/>
  <c r="AP66" i="2"/>
  <c r="AP65" i="2"/>
  <c r="AP64" i="2"/>
  <c r="AP63" i="2"/>
  <c r="AP61" i="2"/>
  <c r="AP59" i="2"/>
  <c r="AP57" i="2"/>
  <c r="AP55" i="2"/>
  <c r="AT56" i="2"/>
  <c r="AH65" i="2"/>
  <c r="AP58" i="2"/>
  <c r="AL58" i="2"/>
  <c r="AT67" i="2"/>
  <c r="AT61" i="2"/>
  <c r="AT59" i="2"/>
  <c r="AT57" i="2"/>
  <c r="AL63" i="2"/>
  <c r="AL61" i="2"/>
  <c r="AL59" i="2"/>
  <c r="AL57" i="2"/>
  <c r="AL55" i="2"/>
  <c r="AT60" i="2"/>
  <c r="AH67" i="2"/>
  <c r="AP60" i="2"/>
  <c r="AL60" i="2"/>
  <c r="AT66" i="2"/>
  <c r="AL68" i="2"/>
  <c r="AL67" i="2"/>
  <c r="AL66" i="2"/>
  <c r="AL65" i="2"/>
  <c r="AL64" i="2"/>
  <c r="AH63" i="2"/>
  <c r="AH61" i="2"/>
  <c r="AH59" i="2"/>
  <c r="AH57" i="2"/>
  <c r="AH55" i="2"/>
  <c r="AG68" i="2"/>
  <c r="AS66" i="2"/>
  <c r="AS65" i="2"/>
  <c r="AS64" i="2"/>
  <c r="AS63" i="2"/>
  <c r="AO62" i="2"/>
  <c r="AO61" i="2"/>
  <c r="AO60" i="2"/>
  <c r="AS58" i="2"/>
  <c r="AK55" i="2"/>
  <c r="AG55" i="2"/>
  <c r="AK68" i="2"/>
  <c r="AK67" i="2"/>
  <c r="AK66" i="2"/>
  <c r="AK65" i="2"/>
  <c r="AK64" i="2"/>
  <c r="AK63" i="2"/>
  <c r="AK62" i="2"/>
  <c r="AK61" i="2"/>
  <c r="AK60" i="2"/>
  <c r="AO59" i="2"/>
  <c r="AG59" i="2"/>
  <c r="AG58" i="2"/>
  <c r="AO57" i="2"/>
  <c r="AG57" i="2"/>
  <c r="AO56" i="2"/>
  <c r="AS55" i="2"/>
  <c r="AR68" i="2"/>
  <c r="AN68" i="2"/>
  <c r="AJ68" i="2"/>
  <c r="AF68" i="2"/>
  <c r="AR67" i="2"/>
  <c r="AN67" i="2"/>
  <c r="AJ67" i="2"/>
  <c r="AF67" i="2"/>
  <c r="AR66" i="2"/>
  <c r="AN66" i="2"/>
  <c r="AJ66" i="2"/>
  <c r="AF66" i="2"/>
  <c r="AR65" i="2"/>
  <c r="AN65" i="2"/>
  <c r="AJ65" i="2"/>
  <c r="AF65" i="2"/>
  <c r="AR64" i="2"/>
  <c r="AN64" i="2"/>
  <c r="AJ64" i="2"/>
  <c r="AF64" i="2"/>
  <c r="AR63" i="2"/>
  <c r="AN63" i="2"/>
  <c r="AJ63" i="2"/>
  <c r="AF63" i="2"/>
  <c r="AR62" i="2"/>
  <c r="AN62" i="2"/>
  <c r="AJ62" i="2"/>
  <c r="AF62" i="2"/>
  <c r="AR61" i="2"/>
  <c r="AN61" i="2"/>
  <c r="AJ61" i="2"/>
  <c r="AF61" i="2"/>
  <c r="AR60" i="2"/>
  <c r="AN60" i="2"/>
  <c r="AJ60" i="2"/>
  <c r="AF60" i="2"/>
  <c r="AR59" i="2"/>
  <c r="AN59" i="2"/>
  <c r="AJ59" i="2"/>
  <c r="AF59" i="2"/>
  <c r="AR58" i="2"/>
  <c r="AN58" i="2"/>
  <c r="AJ58" i="2"/>
  <c r="AF58" i="2"/>
  <c r="AR57" i="2"/>
  <c r="AN57" i="2"/>
  <c r="AJ57" i="2"/>
  <c r="AF57" i="2"/>
  <c r="AR56" i="2"/>
  <c r="AN56" i="2"/>
  <c r="AJ56" i="2"/>
  <c r="AF56" i="2"/>
  <c r="AR55" i="2"/>
  <c r="AN55" i="2"/>
  <c r="AJ55" i="2"/>
  <c r="AF55" i="2"/>
  <c r="AS68" i="2"/>
  <c r="AS67" i="2"/>
  <c r="AG67" i="2"/>
  <c r="AG66" i="2"/>
  <c r="AG65" i="2"/>
  <c r="AG64" i="2"/>
  <c r="AG63" i="2"/>
  <c r="AG62" i="2"/>
  <c r="AG61" i="2"/>
  <c r="AS59" i="2"/>
  <c r="AK58" i="2"/>
  <c r="AO55" i="2"/>
  <c r="AO68" i="2"/>
  <c r="AO67" i="2"/>
  <c r="AO66" i="2"/>
  <c r="AO65" i="2"/>
  <c r="AO64" i="2"/>
  <c r="AO63" i="2"/>
  <c r="AS62" i="2"/>
  <c r="AS61" i="2"/>
  <c r="AS60" i="2"/>
  <c r="AG60" i="2"/>
  <c r="AK59" i="2"/>
  <c r="AO58" i="2"/>
  <c r="AS57" i="2"/>
  <c r="AK57" i="2"/>
  <c r="AS56" i="2"/>
  <c r="AK56" i="2"/>
  <c r="AG56" i="2"/>
  <c r="AQ68" i="2"/>
  <c r="AM68" i="2"/>
  <c r="AI68" i="2"/>
  <c r="AE68" i="2"/>
  <c r="AQ67" i="2"/>
  <c r="AM67" i="2"/>
  <c r="AI67" i="2"/>
  <c r="AE67" i="2"/>
  <c r="AQ66" i="2"/>
  <c r="AM66" i="2"/>
  <c r="AI66" i="2"/>
  <c r="AE66" i="2"/>
  <c r="AQ65" i="2"/>
  <c r="AM65" i="2"/>
  <c r="AI65" i="2"/>
  <c r="AE65" i="2"/>
  <c r="AQ64" i="2"/>
  <c r="AM64" i="2"/>
  <c r="AI64" i="2"/>
  <c r="AE64" i="2"/>
  <c r="AQ63" i="2"/>
  <c r="AM63" i="2"/>
  <c r="AI63" i="2"/>
  <c r="AE63" i="2"/>
  <c r="AQ62" i="2"/>
  <c r="AM62" i="2"/>
  <c r="AI62" i="2"/>
  <c r="AE62" i="2"/>
  <c r="AQ61" i="2"/>
  <c r="AM61" i="2"/>
  <c r="AI61" i="2"/>
  <c r="AE61" i="2"/>
  <c r="AQ60" i="2"/>
  <c r="AM60" i="2"/>
  <c r="AI60" i="2"/>
  <c r="AE60" i="2"/>
  <c r="AQ59" i="2"/>
  <c r="AM59" i="2"/>
  <c r="AI59" i="2"/>
  <c r="AE59" i="2"/>
  <c r="AQ58" i="2"/>
  <c r="AM58" i="2"/>
  <c r="AI58" i="2"/>
  <c r="AE58" i="2"/>
  <c r="AQ57" i="2"/>
  <c r="AM57" i="2"/>
  <c r="AI57" i="2"/>
  <c r="AE57" i="2"/>
  <c r="AQ56" i="2"/>
  <c r="AM56" i="2"/>
  <c r="AI56" i="2"/>
  <c r="AE56" i="2"/>
  <c r="AQ55" i="2"/>
  <c r="AM55" i="2"/>
  <c r="AI55" i="2"/>
  <c r="AE55" i="2"/>
  <c r="AD58" i="2"/>
  <c r="AD59" i="2"/>
  <c r="AD67" i="2"/>
  <c r="AD66" i="2"/>
  <c r="AD65" i="2"/>
  <c r="AD61" i="2"/>
  <c r="AD57" i="2"/>
  <c r="AD62" i="2"/>
  <c r="AD63" i="2"/>
  <c r="AD68" i="2"/>
  <c r="AD64" i="2"/>
  <c r="AD60" i="2"/>
  <c r="AD56" i="2"/>
  <c r="AD55" i="2"/>
  <c r="AT52" i="2"/>
  <c r="AP51" i="2"/>
  <c r="AH50" i="2"/>
  <c r="AH49" i="2"/>
  <c r="AL47" i="2"/>
  <c r="AL45" i="2"/>
  <c r="AH44" i="2"/>
  <c r="AT42" i="2"/>
  <c r="AP41" i="2"/>
  <c r="AT39" i="2"/>
  <c r="AO52" i="2"/>
  <c r="AO51" i="2"/>
  <c r="AK50" i="2"/>
  <c r="AS49" i="2"/>
  <c r="AO48" i="2"/>
  <c r="AO47" i="2"/>
  <c r="AS46" i="2"/>
  <c r="AO45" i="2"/>
  <c r="AO44" i="2"/>
  <c r="AO43" i="2"/>
  <c r="AK42" i="2"/>
  <c r="AG41" i="2"/>
  <c r="AE51" i="2"/>
  <c r="AL52" i="2"/>
  <c r="AT47" i="2"/>
  <c r="AT43" i="2"/>
  <c r="AH41" i="2"/>
  <c r="AH39" i="2"/>
  <c r="AL51" i="2"/>
  <c r="AP46" i="2"/>
  <c r="AL40" i="2"/>
  <c r="AL50" i="2"/>
  <c r="AH48" i="2"/>
  <c r="AH45" i="2"/>
  <c r="AP42" i="2"/>
  <c r="AL41" i="2"/>
  <c r="AP40" i="2"/>
  <c r="AK51" i="2"/>
  <c r="AG49" i="2"/>
  <c r="AK46" i="2"/>
  <c r="AK43" i="2"/>
  <c r="AO41" i="2"/>
  <c r="AK41" i="2"/>
  <c r="AG40" i="2"/>
  <c r="AS39" i="2"/>
  <c r="AO39" i="2"/>
  <c r="AK39" i="2"/>
  <c r="AG39" i="2"/>
  <c r="AH51" i="2"/>
  <c r="AL46" i="2"/>
  <c r="AT40" i="2"/>
  <c r="AH52" i="2"/>
  <c r="AP50" i="2"/>
  <c r="AP49" i="2"/>
  <c r="AP48" i="2"/>
  <c r="AH47" i="2"/>
  <c r="AT45" i="2"/>
  <c r="AP44" i="2"/>
  <c r="AL43" i="2"/>
  <c r="AH42" i="2"/>
  <c r="AH40" i="2"/>
  <c r="AG52" i="2"/>
  <c r="AO50" i="2"/>
  <c r="AK49" i="2"/>
  <c r="AG48" i="2"/>
  <c r="AK47" i="2"/>
  <c r="AG46" i="2"/>
  <c r="AG45" i="2"/>
  <c r="AK44" i="2"/>
  <c r="AG43" i="2"/>
  <c r="AG42" i="2"/>
  <c r="AK40" i="2"/>
  <c r="AR52" i="2"/>
  <c r="AN52" i="2"/>
  <c r="AJ52" i="2"/>
  <c r="AF52" i="2"/>
  <c r="AR51" i="2"/>
  <c r="AN51" i="2"/>
  <c r="AJ51" i="2"/>
  <c r="AR50" i="2"/>
  <c r="AN50" i="2"/>
  <c r="AJ50" i="2"/>
  <c r="AF50" i="2"/>
  <c r="AR49" i="2"/>
  <c r="AN49" i="2"/>
  <c r="AJ49" i="2"/>
  <c r="AF49" i="2"/>
  <c r="AR48" i="2"/>
  <c r="AN48" i="2"/>
  <c r="AJ48" i="2"/>
  <c r="AF48" i="2"/>
  <c r="AR47" i="2"/>
  <c r="AN47" i="2"/>
  <c r="AJ47" i="2"/>
  <c r="AF47" i="2"/>
  <c r="AR46" i="2"/>
  <c r="AN46" i="2"/>
  <c r="AJ46" i="2"/>
  <c r="AF46" i="2"/>
  <c r="AR45" i="2"/>
  <c r="AN45" i="2"/>
  <c r="AJ45" i="2"/>
  <c r="AF45" i="2"/>
  <c r="AR44" i="2"/>
  <c r="AN44" i="2"/>
  <c r="AJ44" i="2"/>
  <c r="AF44" i="2"/>
  <c r="AR43" i="2"/>
  <c r="AN43" i="2"/>
  <c r="AJ43" i="2"/>
  <c r="AF43" i="2"/>
  <c r="AR42" i="2"/>
  <c r="AN42" i="2"/>
  <c r="AJ42" i="2"/>
  <c r="AF42" i="2"/>
  <c r="AR41" i="2"/>
  <c r="AN41" i="2"/>
  <c r="AJ41" i="2"/>
  <c r="AF41" i="2"/>
  <c r="AR40" i="2"/>
  <c r="AN40" i="2"/>
  <c r="AJ40" i="2"/>
  <c r="AF40" i="2"/>
  <c r="AR39" i="2"/>
  <c r="AN39" i="2"/>
  <c r="AJ39" i="2"/>
  <c r="AF39" i="2"/>
  <c r="AT51" i="2"/>
  <c r="AT49" i="2"/>
  <c r="AT48" i="2"/>
  <c r="AP47" i="2"/>
  <c r="AH46" i="2"/>
  <c r="AT44" i="2"/>
  <c r="AP43" i="2"/>
  <c r="AL42" i="2"/>
  <c r="AL39" i="2"/>
  <c r="AK52" i="2"/>
  <c r="AG51" i="2"/>
  <c r="AO49" i="2"/>
  <c r="AK48" i="2"/>
  <c r="AG47" i="2"/>
  <c r="AS45" i="2"/>
  <c r="AS44" i="2"/>
  <c r="AS43" i="2"/>
  <c r="AO42" i="2"/>
  <c r="AO40" i="2"/>
  <c r="AF51" i="2"/>
  <c r="AP52" i="2"/>
  <c r="AT50" i="2"/>
  <c r="AL49" i="2"/>
  <c r="AL48" i="2"/>
  <c r="AT46" i="2"/>
  <c r="AP45" i="2"/>
  <c r="AL44" i="2"/>
  <c r="AH43" i="2"/>
  <c r="AT41" i="2"/>
  <c r="AP39" i="2"/>
  <c r="AS52" i="2"/>
  <c r="AS51" i="2"/>
  <c r="AS50" i="2"/>
  <c r="AG50" i="2"/>
  <c r="AS48" i="2"/>
  <c r="AS47" i="2"/>
  <c r="AO46" i="2"/>
  <c r="AK45" i="2"/>
  <c r="AG44" i="2"/>
  <c r="AS42" i="2"/>
  <c r="AS41" i="2"/>
  <c r="AS40" i="2"/>
  <c r="AQ52" i="2"/>
  <c r="AM52" i="2"/>
  <c r="AI52" i="2"/>
  <c r="AE52" i="2"/>
  <c r="AQ51" i="2"/>
  <c r="AM51" i="2"/>
  <c r="AI51" i="2"/>
  <c r="AQ50" i="2"/>
  <c r="AM50" i="2"/>
  <c r="AI50" i="2"/>
  <c r="AE50" i="2"/>
  <c r="AQ49" i="2"/>
  <c r="AM49" i="2"/>
  <c r="AI49" i="2"/>
  <c r="AE49" i="2"/>
  <c r="AQ48" i="2"/>
  <c r="AM48" i="2"/>
  <c r="AI48" i="2"/>
  <c r="AE48" i="2"/>
  <c r="AQ47" i="2"/>
  <c r="AM47" i="2"/>
  <c r="AI47" i="2"/>
  <c r="AE47" i="2"/>
  <c r="AQ46" i="2"/>
  <c r="AM46" i="2"/>
  <c r="AI46" i="2"/>
  <c r="AE46" i="2"/>
  <c r="AQ45" i="2"/>
  <c r="AM45" i="2"/>
  <c r="AI45" i="2"/>
  <c r="AE45" i="2"/>
  <c r="AQ44" i="2"/>
  <c r="AM44" i="2"/>
  <c r="AI44" i="2"/>
  <c r="AE44" i="2"/>
  <c r="AQ43" i="2"/>
  <c r="AM43" i="2"/>
  <c r="AI43" i="2"/>
  <c r="AE43" i="2"/>
  <c r="AQ42" i="2"/>
  <c r="AM42" i="2"/>
  <c r="AI42" i="2"/>
  <c r="AE42" i="2"/>
  <c r="AQ41" i="2"/>
  <c r="AM41" i="2"/>
  <c r="AI41" i="2"/>
  <c r="AE41" i="2"/>
  <c r="AQ40" i="2"/>
  <c r="AM40" i="2"/>
  <c r="AI40" i="2"/>
  <c r="AE40" i="2"/>
  <c r="AQ39" i="2"/>
  <c r="AM39" i="2"/>
  <c r="AI39" i="2"/>
  <c r="AE39" i="2"/>
  <c r="AD43" i="2"/>
  <c r="AD42" i="2"/>
  <c r="AD49" i="2"/>
  <c r="AD45" i="2"/>
  <c r="AD41" i="2"/>
  <c r="AD47" i="2"/>
  <c r="AD46" i="2"/>
  <c r="AD51" i="2"/>
  <c r="AD50" i="2"/>
  <c r="AD52" i="2"/>
  <c r="AD48" i="2"/>
  <c r="AD44" i="2"/>
  <c r="AD40" i="2"/>
  <c r="AD39" i="2"/>
  <c r="AQ23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P35" i="2"/>
  <c r="AP33" i="2"/>
  <c r="AP30" i="2"/>
  <c r="AP29" i="2"/>
  <c r="AP28" i="2"/>
  <c r="AP27" i="2"/>
  <c r="AP26" i="2"/>
  <c r="AP25" i="2"/>
  <c r="AP24" i="2"/>
  <c r="AP23" i="2"/>
  <c r="AL23" i="2"/>
  <c r="AP36" i="2"/>
  <c r="AP31" i="2"/>
  <c r="AL34" i="2"/>
  <c r="AL27" i="2"/>
  <c r="AP32" i="2"/>
  <c r="AL36" i="2"/>
  <c r="AL33" i="2"/>
  <c r="AL29" i="2"/>
  <c r="AH35" i="2"/>
  <c r="AH33" i="2"/>
  <c r="AH32" i="2"/>
  <c r="AH31" i="2"/>
  <c r="AH30" i="2"/>
  <c r="AH28" i="2"/>
  <c r="AH27" i="2"/>
  <c r="AH26" i="2"/>
  <c r="AH25" i="2"/>
  <c r="AH24" i="2"/>
  <c r="AH23" i="2"/>
  <c r="AP34" i="2"/>
  <c r="AL35" i="2"/>
  <c r="AL32" i="2"/>
  <c r="AL31" i="2"/>
  <c r="AL30" i="2"/>
  <c r="AL28" i="2"/>
  <c r="AL26" i="2"/>
  <c r="AL25" i="2"/>
  <c r="AL24" i="2"/>
  <c r="AH36" i="2"/>
  <c r="AH34" i="2"/>
  <c r="AH29" i="2"/>
  <c r="AO36" i="2"/>
  <c r="AO35" i="2"/>
  <c r="AO34" i="2"/>
  <c r="AS33" i="2"/>
  <c r="AS32" i="2"/>
  <c r="AS31" i="2"/>
  <c r="AS30" i="2"/>
  <c r="AS29" i="2"/>
  <c r="AS28" i="2"/>
  <c r="AO27" i="2"/>
  <c r="AO26" i="2"/>
  <c r="AO25" i="2"/>
  <c r="AS24" i="2"/>
  <c r="AK23" i="2"/>
  <c r="AE36" i="2"/>
  <c r="AE34" i="2"/>
  <c r="AS36" i="2"/>
  <c r="AS35" i="2"/>
  <c r="AS34" i="2"/>
  <c r="AO33" i="2"/>
  <c r="AO32" i="2"/>
  <c r="AO31" i="2"/>
  <c r="AO30" i="2"/>
  <c r="AO29" i="2"/>
  <c r="AO28" i="2"/>
  <c r="AS27" i="2"/>
  <c r="AS26" i="2"/>
  <c r="AS25" i="2"/>
  <c r="AO24" i="2"/>
  <c r="AO23" i="2"/>
  <c r="AR36" i="2"/>
  <c r="AJ36" i="2"/>
  <c r="AF36" i="2"/>
  <c r="AR35" i="2"/>
  <c r="AN35" i="2"/>
  <c r="AJ35" i="2"/>
  <c r="AF35" i="2"/>
  <c r="AR34" i="2"/>
  <c r="AJ34" i="2"/>
  <c r="AF34" i="2"/>
  <c r="AR33" i="2"/>
  <c r="AN33" i="2"/>
  <c r="AJ33" i="2"/>
  <c r="AF33" i="2"/>
  <c r="AR32" i="2"/>
  <c r="AN32" i="2"/>
  <c r="AJ32" i="2"/>
  <c r="AF32" i="2"/>
  <c r="AR31" i="2"/>
  <c r="AN31" i="2"/>
  <c r="AJ31" i="2"/>
  <c r="AF31" i="2"/>
  <c r="AR30" i="2"/>
  <c r="AN30" i="2"/>
  <c r="AJ30" i="2"/>
  <c r="AF30" i="2"/>
  <c r="AR29" i="2"/>
  <c r="AN29" i="2"/>
  <c r="AJ29" i="2"/>
  <c r="AF29" i="2"/>
  <c r="AR28" i="2"/>
  <c r="AN28" i="2"/>
  <c r="AJ28" i="2"/>
  <c r="AF28" i="2"/>
  <c r="AR27" i="2"/>
  <c r="AN27" i="2"/>
  <c r="AJ27" i="2"/>
  <c r="AF27" i="2"/>
  <c r="AR26" i="2"/>
  <c r="AN26" i="2"/>
  <c r="AJ26" i="2"/>
  <c r="AF26" i="2"/>
  <c r="AR25" i="2"/>
  <c r="AN25" i="2"/>
  <c r="AJ25" i="2"/>
  <c r="AF25" i="2"/>
  <c r="AR24" i="2"/>
  <c r="AN24" i="2"/>
  <c r="AJ24" i="2"/>
  <c r="AF24" i="2"/>
  <c r="AR23" i="2"/>
  <c r="AN23" i="2"/>
  <c r="AJ23" i="2"/>
  <c r="AF23" i="2"/>
  <c r="AK36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S23" i="2"/>
  <c r="AN36" i="2"/>
  <c r="AN34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Q36" i="2"/>
  <c r="AM36" i="2"/>
  <c r="AI36" i="2"/>
  <c r="AQ35" i="2"/>
  <c r="AM35" i="2"/>
  <c r="AI35" i="2"/>
  <c r="AE35" i="2"/>
  <c r="AQ34" i="2"/>
  <c r="AM34" i="2"/>
  <c r="AI34" i="2"/>
  <c r="AQ33" i="2"/>
  <c r="AM33" i="2"/>
  <c r="AI33" i="2"/>
  <c r="AE33" i="2"/>
  <c r="AQ32" i="2"/>
  <c r="AM32" i="2"/>
  <c r="AI32" i="2"/>
  <c r="AE32" i="2"/>
  <c r="AQ31" i="2"/>
  <c r="AM31" i="2"/>
  <c r="AI31" i="2"/>
  <c r="AE31" i="2"/>
  <c r="AQ30" i="2"/>
  <c r="AM30" i="2"/>
  <c r="AI30" i="2"/>
  <c r="AE30" i="2"/>
  <c r="AQ29" i="2"/>
  <c r="AM29" i="2"/>
  <c r="AI29" i="2"/>
  <c r="AE29" i="2"/>
  <c r="AQ28" i="2"/>
  <c r="AM28" i="2"/>
  <c r="AI28" i="2"/>
  <c r="AE28" i="2"/>
  <c r="AQ27" i="2"/>
  <c r="AM27" i="2"/>
  <c r="AI27" i="2"/>
  <c r="AE27" i="2"/>
  <c r="AQ26" i="2"/>
  <c r="AM26" i="2"/>
  <c r="AI26" i="2"/>
  <c r="AE26" i="2"/>
  <c r="AQ25" i="2"/>
  <c r="AM25" i="2"/>
  <c r="AI25" i="2"/>
  <c r="AE25" i="2"/>
  <c r="AQ24" i="2"/>
  <c r="AM24" i="2"/>
  <c r="AI24" i="2"/>
  <c r="AE24" i="2"/>
  <c r="AM23" i="2"/>
  <c r="AI23" i="2"/>
  <c r="AE23" i="2"/>
  <c r="AD26" i="2"/>
  <c r="AD35" i="2"/>
  <c r="AD30" i="2"/>
  <c r="AD33" i="2"/>
  <c r="AD29" i="2"/>
  <c r="AD25" i="2"/>
  <c r="AD27" i="2"/>
  <c r="AD34" i="2"/>
  <c r="AD31" i="2"/>
  <c r="AD36" i="2"/>
  <c r="AD32" i="2"/>
  <c r="AD28" i="2"/>
  <c r="AD24" i="2"/>
  <c r="AD23" i="2"/>
  <c r="Y90" i="2"/>
  <c r="Y89" i="2"/>
  <c r="Y93" i="2"/>
  <c r="Y100" i="2"/>
  <c r="Y96" i="2"/>
  <c r="Y92" i="2"/>
  <c r="Y88" i="2"/>
  <c r="Y94" i="2"/>
  <c r="Y97" i="2"/>
  <c r="Y98" i="2"/>
  <c r="Y99" i="2"/>
  <c r="Y95" i="2"/>
  <c r="Y91" i="2"/>
  <c r="Y87" i="2"/>
  <c r="R100" i="2"/>
  <c r="M99" i="2"/>
  <c r="L98" i="2"/>
  <c r="K97" i="2"/>
  <c r="X94" i="2"/>
  <c r="U100" i="2"/>
  <c r="T99" i="2"/>
  <c r="S98" i="2"/>
  <c r="N97" i="2"/>
  <c r="M96" i="2"/>
  <c r="L95" i="2"/>
  <c r="K94" i="2"/>
  <c r="Q92" i="2"/>
  <c r="P91" i="2"/>
  <c r="K90" i="2"/>
  <c r="J89" i="2"/>
  <c r="P87" i="2"/>
  <c r="J99" i="2"/>
  <c r="Q99" i="2"/>
  <c r="Q95" i="2"/>
  <c r="L94" i="2"/>
  <c r="W93" i="2"/>
  <c r="S93" i="2"/>
  <c r="O93" i="2"/>
  <c r="K93" i="2"/>
  <c r="V92" i="2"/>
  <c r="R92" i="2"/>
  <c r="N92" i="2"/>
  <c r="J92" i="2"/>
  <c r="U91" i="2"/>
  <c r="Q91" i="2"/>
  <c r="M91" i="2"/>
  <c r="X90" i="2"/>
  <c r="T90" i="2"/>
  <c r="P90" i="2"/>
  <c r="L90" i="2"/>
  <c r="W89" i="2"/>
  <c r="S89" i="2"/>
  <c r="O89" i="2"/>
  <c r="K89" i="2"/>
  <c r="V88" i="2"/>
  <c r="R88" i="2"/>
  <c r="N88" i="2"/>
  <c r="J88" i="2"/>
  <c r="U87" i="2"/>
  <c r="Q87" i="2"/>
  <c r="M87" i="2"/>
  <c r="U95" i="2"/>
  <c r="L87" i="2"/>
  <c r="J96" i="2"/>
  <c r="N100" i="2"/>
  <c r="X98" i="2"/>
  <c r="W97" i="2"/>
  <c r="V96" i="2"/>
  <c r="M95" i="2"/>
  <c r="X99" i="2"/>
  <c r="W98" i="2"/>
  <c r="V97" i="2"/>
  <c r="U96" i="2"/>
  <c r="T95" i="2"/>
  <c r="S94" i="2"/>
  <c r="R93" i="2"/>
  <c r="U92" i="2"/>
  <c r="T91" i="2"/>
  <c r="S90" i="2"/>
  <c r="R89" i="2"/>
  <c r="Q88" i="2"/>
  <c r="X87" i="2"/>
  <c r="X100" i="2"/>
  <c r="T100" i="2"/>
  <c r="P100" i="2"/>
  <c r="L100" i="2"/>
  <c r="W99" i="2"/>
  <c r="S99" i="2"/>
  <c r="O99" i="2"/>
  <c r="V98" i="2"/>
  <c r="R98" i="2"/>
  <c r="N98" i="2"/>
  <c r="J98" i="2"/>
  <c r="U97" i="2"/>
  <c r="Q97" i="2"/>
  <c r="M97" i="2"/>
  <c r="X96" i="2"/>
  <c r="T96" i="2"/>
  <c r="P96" i="2"/>
  <c r="L96" i="2"/>
  <c r="W95" i="2"/>
  <c r="S95" i="2"/>
  <c r="O95" i="2"/>
  <c r="K95" i="2"/>
  <c r="V94" i="2"/>
  <c r="R94" i="2"/>
  <c r="N94" i="2"/>
  <c r="J94" i="2"/>
  <c r="U93" i="2"/>
  <c r="Q93" i="2"/>
  <c r="M93" i="2"/>
  <c r="X92" i="2"/>
  <c r="T92" i="2"/>
  <c r="P92" i="2"/>
  <c r="L92" i="2"/>
  <c r="W91" i="2"/>
  <c r="S91" i="2"/>
  <c r="O91" i="2"/>
  <c r="K91" i="2"/>
  <c r="V90" i="2"/>
  <c r="R90" i="2"/>
  <c r="N90" i="2"/>
  <c r="J90" i="2"/>
  <c r="U89" i="2"/>
  <c r="Q89" i="2"/>
  <c r="M89" i="2"/>
  <c r="X88" i="2"/>
  <c r="T88" i="2"/>
  <c r="P88" i="2"/>
  <c r="L88" i="2"/>
  <c r="W87" i="2"/>
  <c r="S87" i="2"/>
  <c r="O87" i="2"/>
  <c r="K87" i="2"/>
  <c r="J100" i="2"/>
  <c r="T98" i="2"/>
  <c r="S97" i="2"/>
  <c r="R96" i="2"/>
  <c r="T94" i="2"/>
  <c r="Q100" i="2"/>
  <c r="P99" i="2"/>
  <c r="O98" i="2"/>
  <c r="R97" i="2"/>
  <c r="Q96" i="2"/>
  <c r="P95" i="2"/>
  <c r="O94" i="2"/>
  <c r="N93" i="2"/>
  <c r="M92" i="2"/>
  <c r="L91" i="2"/>
  <c r="O90" i="2"/>
  <c r="N89" i="2"/>
  <c r="T87" i="2"/>
  <c r="K99" i="2"/>
  <c r="V100" i="2"/>
  <c r="U99" i="2"/>
  <c r="P98" i="2"/>
  <c r="O97" i="2"/>
  <c r="N96" i="2"/>
  <c r="P94" i="2"/>
  <c r="M100" i="2"/>
  <c r="L99" i="2"/>
  <c r="K98" i="2"/>
  <c r="J97" i="2"/>
  <c r="X95" i="2"/>
  <c r="W94" i="2"/>
  <c r="V93" i="2"/>
  <c r="J93" i="2"/>
  <c r="X91" i="2"/>
  <c r="W90" i="2"/>
  <c r="V89" i="2"/>
  <c r="U88" i="2"/>
  <c r="M88" i="2"/>
  <c r="W100" i="2"/>
  <c r="S100" i="2"/>
  <c r="O100" i="2"/>
  <c r="K100" i="2"/>
  <c r="V99" i="2"/>
  <c r="R99" i="2"/>
  <c r="N99" i="2"/>
  <c r="U98" i="2"/>
  <c r="Q98" i="2"/>
  <c r="M98" i="2"/>
  <c r="X97" i="2"/>
  <c r="T97" i="2"/>
  <c r="P97" i="2"/>
  <c r="L97" i="2"/>
  <c r="W96" i="2"/>
  <c r="S96" i="2"/>
  <c r="O96" i="2"/>
  <c r="K96" i="2"/>
  <c r="V95" i="2"/>
  <c r="R95" i="2"/>
  <c r="N95" i="2"/>
  <c r="J95" i="2"/>
  <c r="U94" i="2"/>
  <c r="Q94" i="2"/>
  <c r="M94" i="2"/>
  <c r="X93" i="2"/>
  <c r="T93" i="2"/>
  <c r="P93" i="2"/>
  <c r="L93" i="2"/>
  <c r="W92" i="2"/>
  <c r="S92" i="2"/>
  <c r="O92" i="2"/>
  <c r="K92" i="2"/>
  <c r="V91" i="2"/>
  <c r="R91" i="2"/>
  <c r="N91" i="2"/>
  <c r="J91" i="2"/>
  <c r="U90" i="2"/>
  <c r="Q90" i="2"/>
  <c r="M90" i="2"/>
  <c r="X89" i="2"/>
  <c r="T89" i="2"/>
  <c r="P89" i="2"/>
  <c r="L89" i="2"/>
  <c r="W88" i="2"/>
  <c r="S88" i="2"/>
  <c r="O88" i="2"/>
  <c r="K88" i="2"/>
  <c r="V87" i="2"/>
  <c r="R87" i="2"/>
  <c r="N87" i="2"/>
  <c r="J87" i="2"/>
  <c r="I100" i="2"/>
  <c r="I90" i="2"/>
  <c r="I99" i="2"/>
  <c r="I94" i="2"/>
  <c r="I97" i="2"/>
  <c r="I93" i="2"/>
  <c r="I89" i="2"/>
  <c r="I95" i="2"/>
  <c r="I91" i="2"/>
  <c r="I98" i="2"/>
  <c r="I96" i="2"/>
  <c r="I92" i="2"/>
  <c r="I88" i="2"/>
  <c r="I87" i="2"/>
  <c r="X82" i="2"/>
  <c r="T79" i="2"/>
  <c r="M76" i="2"/>
  <c r="X80" i="2"/>
  <c r="Q77" i="2"/>
  <c r="Q73" i="2"/>
  <c r="L82" i="2"/>
  <c r="L78" i="2"/>
  <c r="U74" i="2"/>
  <c r="X84" i="2"/>
  <c r="T83" i="2"/>
  <c r="P82" i="2"/>
  <c r="Y80" i="2"/>
  <c r="P80" i="2"/>
  <c r="Y78" i="2"/>
  <c r="P78" i="2"/>
  <c r="Y76" i="2"/>
  <c r="P76" i="2"/>
  <c r="Y74" i="2"/>
  <c r="P74" i="2"/>
  <c r="Y72" i="2"/>
  <c r="P72" i="2"/>
  <c r="T71" i="2"/>
  <c r="Q71" i="2"/>
  <c r="U84" i="2"/>
  <c r="M82" i="2"/>
  <c r="T77" i="2"/>
  <c r="M74" i="2"/>
  <c r="Y83" i="2"/>
  <c r="Q81" i="2"/>
  <c r="X78" i="2"/>
  <c r="X72" i="2"/>
  <c r="P83" i="2"/>
  <c r="U78" i="2"/>
  <c r="L72" i="2"/>
  <c r="M83" i="2"/>
  <c r="P81" i="2"/>
  <c r="P79" i="2"/>
  <c r="Y77" i="2"/>
  <c r="P77" i="2"/>
  <c r="P75" i="2"/>
  <c r="Y73" i="2"/>
  <c r="P73" i="2"/>
  <c r="Y71" i="2"/>
  <c r="P71" i="2"/>
  <c r="M81" i="2"/>
  <c r="T80" i="2"/>
  <c r="M79" i="2"/>
  <c r="T78" i="2"/>
  <c r="M77" i="2"/>
  <c r="T76" i="2"/>
  <c r="M75" i="2"/>
  <c r="T74" i="2"/>
  <c r="M73" i="2"/>
  <c r="T72" i="2"/>
  <c r="M71" i="2"/>
  <c r="L84" i="2"/>
  <c r="T81" i="2"/>
  <c r="M78" i="2"/>
  <c r="T73" i="2"/>
  <c r="Q79" i="2"/>
  <c r="Q75" i="2"/>
  <c r="U80" i="2"/>
  <c r="L76" i="2"/>
  <c r="U72" i="2"/>
  <c r="Q84" i="2"/>
  <c r="T82" i="2"/>
  <c r="Y79" i="2"/>
  <c r="Y75" i="2"/>
  <c r="Y84" i="2"/>
  <c r="P84" i="2"/>
  <c r="U83" i="2"/>
  <c r="L83" i="2"/>
  <c r="Q82" i="2"/>
  <c r="X81" i="2"/>
  <c r="Q80" i="2"/>
  <c r="X79" i="2"/>
  <c r="Q78" i="2"/>
  <c r="X77" i="2"/>
  <c r="Q76" i="2"/>
  <c r="X75" i="2"/>
  <c r="Q74" i="2"/>
  <c r="X73" i="2"/>
  <c r="Q72" i="2"/>
  <c r="X71" i="2"/>
  <c r="Q83" i="2"/>
  <c r="M80" i="2"/>
  <c r="T75" i="2"/>
  <c r="M72" i="2"/>
  <c r="U82" i="2"/>
  <c r="X76" i="2"/>
  <c r="X74" i="2"/>
  <c r="T84" i="2"/>
  <c r="L80" i="2"/>
  <c r="U76" i="2"/>
  <c r="L74" i="2"/>
  <c r="X83" i="2"/>
  <c r="Y81" i="2"/>
  <c r="M84" i="2"/>
  <c r="Y82" i="2"/>
  <c r="U81" i="2"/>
  <c r="L81" i="2"/>
  <c r="U79" i="2"/>
  <c r="L79" i="2"/>
  <c r="U77" i="2"/>
  <c r="L77" i="2"/>
  <c r="U75" i="2"/>
  <c r="L75" i="2"/>
  <c r="U73" i="2"/>
  <c r="L73" i="2"/>
  <c r="U71" i="2"/>
  <c r="L71" i="2"/>
  <c r="V84" i="2"/>
  <c r="W84" i="2"/>
  <c r="O84" i="2"/>
  <c r="W83" i="2"/>
  <c r="S83" i="2"/>
  <c r="K83" i="2"/>
  <c r="W82" i="2"/>
  <c r="S82" i="2"/>
  <c r="O82" i="2"/>
  <c r="K82" i="2"/>
  <c r="W81" i="2"/>
  <c r="S81" i="2"/>
  <c r="O81" i="2"/>
  <c r="W80" i="2"/>
  <c r="S80" i="2"/>
  <c r="O80" i="2"/>
  <c r="K80" i="2"/>
  <c r="W79" i="2"/>
  <c r="S79" i="2"/>
  <c r="O79" i="2"/>
  <c r="K79" i="2"/>
  <c r="W78" i="2"/>
  <c r="S78" i="2"/>
  <c r="O78" i="2"/>
  <c r="K78" i="2"/>
  <c r="W77" i="2"/>
  <c r="S77" i="2"/>
  <c r="O77" i="2"/>
  <c r="K77" i="2"/>
  <c r="W76" i="2"/>
  <c r="S76" i="2"/>
  <c r="O76" i="2"/>
  <c r="K76" i="2"/>
  <c r="W75" i="2"/>
  <c r="S75" i="2"/>
  <c r="O75" i="2"/>
  <c r="K75" i="2"/>
  <c r="W74" i="2"/>
  <c r="S74" i="2"/>
  <c r="O74" i="2"/>
  <c r="K74" i="2"/>
  <c r="W73" i="2"/>
  <c r="S73" i="2"/>
  <c r="O73" i="2"/>
  <c r="K73" i="2"/>
  <c r="W72" i="2"/>
  <c r="S72" i="2"/>
  <c r="O72" i="2"/>
  <c r="K72" i="2"/>
  <c r="W71" i="2"/>
  <c r="S71" i="2"/>
  <c r="O71" i="2"/>
  <c r="K71" i="2"/>
  <c r="S84" i="2"/>
  <c r="K84" i="2"/>
  <c r="O83" i="2"/>
  <c r="K81" i="2"/>
  <c r="R84" i="2"/>
  <c r="N84" i="2"/>
  <c r="J84" i="2"/>
  <c r="V83" i="2"/>
  <c r="R83" i="2"/>
  <c r="N83" i="2"/>
  <c r="J83" i="2"/>
  <c r="V82" i="2"/>
  <c r="R82" i="2"/>
  <c r="N82" i="2"/>
  <c r="J82" i="2"/>
  <c r="V81" i="2"/>
  <c r="R81" i="2"/>
  <c r="N81" i="2"/>
  <c r="J81" i="2"/>
  <c r="V80" i="2"/>
  <c r="R80" i="2"/>
  <c r="N80" i="2"/>
  <c r="J80" i="2"/>
  <c r="V79" i="2"/>
  <c r="R79" i="2"/>
  <c r="N79" i="2"/>
  <c r="J79" i="2"/>
  <c r="V78" i="2"/>
  <c r="R78" i="2"/>
  <c r="N78" i="2"/>
  <c r="J78" i="2"/>
  <c r="V77" i="2"/>
  <c r="R77" i="2"/>
  <c r="N77" i="2"/>
  <c r="J77" i="2"/>
  <c r="V76" i="2"/>
  <c r="R76" i="2"/>
  <c r="N76" i="2"/>
  <c r="J76" i="2"/>
  <c r="V75" i="2"/>
  <c r="R75" i="2"/>
  <c r="N75" i="2"/>
  <c r="J75" i="2"/>
  <c r="V74" i="2"/>
  <c r="R74" i="2"/>
  <c r="N74" i="2"/>
  <c r="J74" i="2"/>
  <c r="V73" i="2"/>
  <c r="R73" i="2"/>
  <c r="N73" i="2"/>
  <c r="J73" i="2"/>
  <c r="V72" i="2"/>
  <c r="R72" i="2"/>
  <c r="N72" i="2"/>
  <c r="J72" i="2"/>
  <c r="V71" i="2"/>
  <c r="R71" i="2"/>
  <c r="N71" i="2"/>
  <c r="J71" i="2"/>
  <c r="I79" i="2"/>
  <c r="I75" i="2"/>
  <c r="I83" i="2"/>
  <c r="I74" i="2"/>
  <c r="I81" i="2"/>
  <c r="I77" i="2"/>
  <c r="I73" i="2"/>
  <c r="I82" i="2"/>
  <c r="I78" i="2"/>
  <c r="I84" i="2"/>
  <c r="I80" i="2"/>
  <c r="I76" i="2"/>
  <c r="I72" i="2"/>
  <c r="I71" i="2"/>
  <c r="I56" i="2"/>
  <c r="I55" i="2"/>
  <c r="L64" i="2"/>
  <c r="T61" i="2"/>
  <c r="L59" i="2"/>
  <c r="T55" i="2"/>
  <c r="Y67" i="2"/>
  <c r="T64" i="2"/>
  <c r="T62" i="2"/>
  <c r="T60" i="2"/>
  <c r="T58" i="2"/>
  <c r="L57" i="2"/>
  <c r="U68" i="2"/>
  <c r="Y65" i="2"/>
  <c r="Q64" i="2"/>
  <c r="Y62" i="2"/>
  <c r="Q61" i="2"/>
  <c r="Y59" i="2"/>
  <c r="Q58" i="2"/>
  <c r="Y56" i="2"/>
  <c r="Y55" i="2"/>
  <c r="P67" i="2"/>
  <c r="P65" i="2"/>
  <c r="X63" i="2"/>
  <c r="P62" i="2"/>
  <c r="X60" i="2"/>
  <c r="X59" i="2"/>
  <c r="X58" i="2"/>
  <c r="X57" i="2"/>
  <c r="P57" i="2"/>
  <c r="X56" i="2"/>
  <c r="P56" i="2"/>
  <c r="X55" i="2"/>
  <c r="P55" i="2"/>
  <c r="L68" i="2"/>
  <c r="U67" i="2"/>
  <c r="M67" i="2"/>
  <c r="U66" i="2"/>
  <c r="T65" i="2"/>
  <c r="T63" i="2"/>
  <c r="L62" i="2"/>
  <c r="T59" i="2"/>
  <c r="T57" i="2"/>
  <c r="L56" i="2"/>
  <c r="Y66" i="2"/>
  <c r="X67" i="2"/>
  <c r="Y64" i="2"/>
  <c r="Q63" i="2"/>
  <c r="Y61" i="2"/>
  <c r="Q60" i="2"/>
  <c r="Y58" i="2"/>
  <c r="Y57" i="2"/>
  <c r="Q56" i="2"/>
  <c r="T68" i="2"/>
  <c r="X66" i="2"/>
  <c r="X65" i="2"/>
  <c r="P64" i="2"/>
  <c r="X62" i="2"/>
  <c r="P61" i="2"/>
  <c r="P59" i="2"/>
  <c r="Q68" i="2"/>
  <c r="U65" i="2"/>
  <c r="U64" i="2"/>
  <c r="M63" i="2"/>
  <c r="M62" i="2"/>
  <c r="M61" i="2"/>
  <c r="U60" i="2"/>
  <c r="M60" i="2"/>
  <c r="M59" i="2"/>
  <c r="U58" i="2"/>
  <c r="M58" i="2"/>
  <c r="U57" i="2"/>
  <c r="M57" i="2"/>
  <c r="U56" i="2"/>
  <c r="M56" i="2"/>
  <c r="U55" i="2"/>
  <c r="P68" i="2"/>
  <c r="L66" i="2"/>
  <c r="L65" i="2"/>
  <c r="L63" i="2"/>
  <c r="L61" i="2"/>
  <c r="L60" i="2"/>
  <c r="L58" i="2"/>
  <c r="T56" i="2"/>
  <c r="Q67" i="2"/>
  <c r="Q66" i="2"/>
  <c r="Q65" i="2"/>
  <c r="Y63" i="2"/>
  <c r="Q62" i="2"/>
  <c r="Y60" i="2"/>
  <c r="Q59" i="2"/>
  <c r="Q57" i="2"/>
  <c r="Q55" i="2"/>
  <c r="M68" i="2"/>
  <c r="Y68" i="2"/>
  <c r="P66" i="2"/>
  <c r="X64" i="2"/>
  <c r="P63" i="2"/>
  <c r="X61" i="2"/>
  <c r="P60" i="2"/>
  <c r="P58" i="2"/>
  <c r="X68" i="2"/>
  <c r="M66" i="2"/>
  <c r="M65" i="2"/>
  <c r="M64" i="2"/>
  <c r="U63" i="2"/>
  <c r="U62" i="2"/>
  <c r="U61" i="2"/>
  <c r="U59" i="2"/>
  <c r="T67" i="2"/>
  <c r="L67" i="2"/>
  <c r="T66" i="2"/>
  <c r="L55" i="2"/>
  <c r="M55" i="2"/>
  <c r="W68" i="2"/>
  <c r="K68" i="2"/>
  <c r="S67" i="2"/>
  <c r="W66" i="2"/>
  <c r="K66" i="2"/>
  <c r="S65" i="2"/>
  <c r="K65" i="2"/>
  <c r="S64" i="2"/>
  <c r="K64" i="2"/>
  <c r="W63" i="2"/>
  <c r="S63" i="2"/>
  <c r="O63" i="2"/>
  <c r="K63" i="2"/>
  <c r="W62" i="2"/>
  <c r="O62" i="2"/>
  <c r="K62" i="2"/>
  <c r="W61" i="2"/>
  <c r="S61" i="2"/>
  <c r="O61" i="2"/>
  <c r="K61" i="2"/>
  <c r="W60" i="2"/>
  <c r="S60" i="2"/>
  <c r="O60" i="2"/>
  <c r="K60" i="2"/>
  <c r="W59" i="2"/>
  <c r="S59" i="2"/>
  <c r="O59" i="2"/>
  <c r="K59" i="2"/>
  <c r="W58" i="2"/>
  <c r="S58" i="2"/>
  <c r="O58" i="2"/>
  <c r="K58" i="2"/>
  <c r="W57" i="2"/>
  <c r="S57" i="2"/>
  <c r="O57" i="2"/>
  <c r="K57" i="2"/>
  <c r="W56" i="2"/>
  <c r="S56" i="2"/>
  <c r="O56" i="2"/>
  <c r="K56" i="2"/>
  <c r="W55" i="2"/>
  <c r="S55" i="2"/>
  <c r="O55" i="2"/>
  <c r="K55" i="2"/>
  <c r="S68" i="2"/>
  <c r="O68" i="2"/>
  <c r="W67" i="2"/>
  <c r="O67" i="2"/>
  <c r="K67" i="2"/>
  <c r="S66" i="2"/>
  <c r="O66" i="2"/>
  <c r="W65" i="2"/>
  <c r="O65" i="2"/>
  <c r="W64" i="2"/>
  <c r="O64" i="2"/>
  <c r="S62" i="2"/>
  <c r="V68" i="2"/>
  <c r="R68" i="2"/>
  <c r="N68" i="2"/>
  <c r="J68" i="2"/>
  <c r="V67" i="2"/>
  <c r="R67" i="2"/>
  <c r="N67" i="2"/>
  <c r="J67" i="2"/>
  <c r="V66" i="2"/>
  <c r="R66" i="2"/>
  <c r="N66" i="2"/>
  <c r="J66" i="2"/>
  <c r="V65" i="2"/>
  <c r="R65" i="2"/>
  <c r="N65" i="2"/>
  <c r="J65" i="2"/>
  <c r="V64" i="2"/>
  <c r="R64" i="2"/>
  <c r="N64" i="2"/>
  <c r="J64" i="2"/>
  <c r="V63" i="2"/>
  <c r="R63" i="2"/>
  <c r="N63" i="2"/>
  <c r="J63" i="2"/>
  <c r="V62" i="2"/>
  <c r="R62" i="2"/>
  <c r="N62" i="2"/>
  <c r="J62" i="2"/>
  <c r="V61" i="2"/>
  <c r="R61" i="2"/>
  <c r="N61" i="2"/>
  <c r="J61" i="2"/>
  <c r="V60" i="2"/>
  <c r="R60" i="2"/>
  <c r="N60" i="2"/>
  <c r="J60" i="2"/>
  <c r="V59" i="2"/>
  <c r="R59" i="2"/>
  <c r="N59" i="2"/>
  <c r="J59" i="2"/>
  <c r="V58" i="2"/>
  <c r="R58" i="2"/>
  <c r="N58" i="2"/>
  <c r="J58" i="2"/>
  <c r="V57" i="2"/>
  <c r="R57" i="2"/>
  <c r="N57" i="2"/>
  <c r="J57" i="2"/>
  <c r="V56" i="2"/>
  <c r="R56" i="2"/>
  <c r="N56" i="2"/>
  <c r="J56" i="2"/>
  <c r="V55" i="2"/>
  <c r="R55" i="2"/>
  <c r="N55" i="2"/>
  <c r="J55" i="2"/>
  <c r="I67" i="2"/>
  <c r="I62" i="2"/>
  <c r="I57" i="2"/>
  <c r="I63" i="2"/>
  <c r="I66" i="2"/>
  <c r="I58" i="2"/>
  <c r="I65" i="2"/>
  <c r="I61" i="2"/>
  <c r="I59" i="2"/>
  <c r="I68" i="2"/>
  <c r="I64" i="2"/>
  <c r="I60" i="2"/>
  <c r="Y52" i="2"/>
  <c r="X45" i="2" a="1"/>
  <c r="Y43" i="2" a="1"/>
  <c r="Y50" i="2" a="1"/>
  <c r="J39" i="2" a="1"/>
  <c r="N41" i="2" a="1"/>
  <c r="R43" i="2" a="1"/>
  <c r="V45" i="2" a="1"/>
  <c r="L48" i="2" a="1"/>
  <c r="P50" i="2" a="1"/>
  <c r="T52" i="2" a="1"/>
  <c r="M48" i="2" a="1"/>
  <c r="W51" i="2" a="1"/>
  <c r="U40" i="2" a="1"/>
  <c r="O43" i="2" a="1"/>
  <c r="U46" i="2" a="1"/>
  <c r="M52" i="2" a="1"/>
  <c r="R44" i="2" a="1"/>
  <c r="Q39" i="2" a="1"/>
  <c r="P47" i="2" a="1"/>
  <c r="L43" i="2" a="1"/>
  <c r="N52" i="2" a="1"/>
  <c r="R46" i="2" a="1"/>
  <c r="P39" i="2" a="1"/>
  <c r="R48" i="2" a="1"/>
  <c r="Q49" i="2" a="1"/>
  <c r="S40" i="2" a="1"/>
  <c r="T45" i="2" a="1"/>
  <c r="T49" i="2" a="1"/>
  <c r="I49" i="2" a="1"/>
  <c r="I41" i="2" a="1"/>
  <c r="R39" i="2" a="1"/>
  <c r="T48" i="2" a="1"/>
  <c r="K39" i="2" a="1"/>
  <c r="L39" i="2" a="1"/>
  <c r="P45" i="2" a="1"/>
  <c r="V50" i="2" a="1"/>
  <c r="J46" i="2" a="1"/>
  <c r="J42" i="2" a="1"/>
  <c r="W41" i="2" a="1"/>
  <c r="X50" i="2" a="1"/>
  <c r="R49" i="2" a="1"/>
  <c r="Q42" i="2" a="1"/>
  <c r="N44" i="2" a="1"/>
  <c r="P41" i="2" a="1"/>
  <c r="S42" i="2" a="1"/>
  <c r="X47" i="2" a="1"/>
  <c r="Y45" i="2" a="1"/>
  <c r="Y39" i="2" a="1"/>
  <c r="N39" i="2" a="1"/>
  <c r="R41" i="2" a="1"/>
  <c r="V43" i="2" a="1"/>
  <c r="L46" i="2" a="1"/>
  <c r="P48" i="2" a="1"/>
  <c r="T50" i="2" a="1"/>
  <c r="M42" i="2" a="1"/>
  <c r="U48" i="2" a="1"/>
  <c r="Q52" i="2" a="1"/>
  <c r="K41" i="2" a="1"/>
  <c r="S43" i="2" a="1"/>
  <c r="O47" i="2" a="1"/>
  <c r="U52" i="2" a="1"/>
  <c r="K46" i="2" a="1"/>
  <c r="K44" i="2" a="1"/>
  <c r="M51" i="2" a="1"/>
  <c r="S44" i="2" a="1"/>
  <c r="N40" i="2" a="1"/>
  <c r="L51" i="2" a="1"/>
  <c r="W40" i="2" a="1"/>
  <c r="K50" i="2" a="1"/>
  <c r="T39" i="2" a="1"/>
  <c r="N48" i="2" a="1"/>
  <c r="M47" i="2" a="1"/>
  <c r="W42" i="2" a="1"/>
  <c r="I42" i="2" a="1"/>
  <c r="X49" i="2" a="1"/>
  <c r="V41" i="2" a="1"/>
  <c r="J51" i="2" a="1"/>
  <c r="O41" i="2" a="1"/>
  <c r="V46" i="2" a="1"/>
  <c r="R42" i="2" a="1"/>
  <c r="Q43" i="2" a="1"/>
  <c r="I46" i="2" a="1"/>
  <c r="J40" i="2" a="1"/>
  <c r="X44" i="2" a="1"/>
  <c r="N47" i="2" a="1"/>
  <c r="W39" i="2" a="1"/>
  <c r="Q41" i="2" a="1"/>
  <c r="K40" i="2" a="1"/>
  <c r="Q45" i="2" a="1"/>
  <c r="O50" i="2" a="1"/>
  <c r="X41" i="2" a="1"/>
  <c r="Y48" i="2" a="1"/>
  <c r="X48" i="2" a="1"/>
  <c r="Y40" i="2" a="1"/>
  <c r="T40" i="2" a="1"/>
  <c r="J43" i="2" a="1"/>
  <c r="N45" i="2" a="1"/>
  <c r="R47" i="2" a="1"/>
  <c r="V49" i="2" a="1"/>
  <c r="L52" i="2" a="1"/>
  <c r="K47" i="2" a="1"/>
  <c r="K51" i="2" a="1"/>
  <c r="M40" i="2" a="1"/>
  <c r="U42" i="2" a="1"/>
  <c r="S45" i="2" a="1"/>
  <c r="U50" i="2" a="1"/>
  <c r="N42" i="2" a="1"/>
  <c r="P51" i="2" a="1"/>
  <c r="K48" i="2" a="1"/>
  <c r="V40" i="2" a="1"/>
  <c r="J50" i="2" a="1"/>
  <c r="U51" i="2" a="1"/>
  <c r="M45" i="2" a="1"/>
  <c r="N46" i="2" a="1"/>
  <c r="S48" i="2" a="1"/>
  <c r="L45" i="2" a="1"/>
  <c r="P43" i="2" a="1"/>
  <c r="V42" i="2" a="1"/>
  <c r="I48" i="2" a="1"/>
  <c r="I51" i="2" a="1"/>
  <c r="Y49" i="2" a="1"/>
  <c r="L44" i="2" a="1"/>
  <c r="K49" i="2" a="1"/>
  <c r="W47" i="2" a="1"/>
  <c r="T43" i="2" a="1"/>
  <c r="T41" i="2" a="1"/>
  <c r="K52" i="2" a="1"/>
  <c r="X51" i="2" a="1"/>
  <c r="Y51" i="2" a="1"/>
  <c r="X42" i="2" a="1"/>
  <c r="V39" i="2" a="1"/>
  <c r="L42" i="2" a="1"/>
  <c r="P44" i="2" a="1"/>
  <c r="T46" i="2" a="1"/>
  <c r="J49" i="2" a="1"/>
  <c r="N51" i="2" a="1"/>
  <c r="O45" i="2" a="1"/>
  <c r="S49" i="2" a="1"/>
  <c r="O39" i="2" a="1"/>
  <c r="S41" i="2" a="1"/>
  <c r="M44" i="2" a="1"/>
  <c r="Q48" i="2" a="1"/>
  <c r="M39" i="2" a="1"/>
  <c r="O48" i="2" a="1"/>
  <c r="T51" i="2" a="1"/>
  <c r="Q47" i="2" a="1"/>
  <c r="W46" i="2" a="1"/>
  <c r="O46" i="2" a="1"/>
  <c r="O44" i="2" a="1"/>
  <c r="M43" i="2" a="1"/>
  <c r="O52" i="2" a="1"/>
  <c r="V48" i="2" a="1"/>
  <c r="O40" i="2" a="1"/>
  <c r="U49" i="2" a="1"/>
  <c r="X52" i="2" a="1"/>
  <c r="X40" i="2" a="1"/>
  <c r="X46" i="2" a="1"/>
  <c r="L40" i="2" a="1"/>
  <c r="P42" i="2" a="1"/>
  <c r="T44" i="2" a="1"/>
  <c r="J47" i="2" a="1"/>
  <c r="N49" i="2" a="1"/>
  <c r="R51" i="2" a="1"/>
  <c r="W45" i="2" a="1"/>
  <c r="W49" i="2" a="1"/>
  <c r="S39" i="2" a="1"/>
  <c r="O49" i="2" a="1"/>
  <c r="L49" i="2" a="1"/>
  <c r="N50" i="2" a="1"/>
  <c r="V52" i="2" a="1"/>
  <c r="T47" i="2" a="1"/>
  <c r="P49" i="2" a="1"/>
  <c r="J52" i="2" a="1"/>
  <c r="J44" i="2" a="1"/>
  <c r="U41" i="2" a="1"/>
  <c r="S52" i="2" a="1"/>
  <c r="L41" i="2" a="1"/>
  <c r="U45" i="2" a="1"/>
  <c r="I40" i="2" a="1"/>
  <c r="I43" i="2" a="1"/>
  <c r="P40" i="2" a="1"/>
  <c r="Q46" i="2" a="1"/>
  <c r="M50" i="2" a="1"/>
  <c r="M49" i="2" a="1"/>
  <c r="K42" i="2" a="1"/>
  <c r="I47" i="2" a="1"/>
  <c r="X43" i="2" a="1"/>
  <c r="Y41" i="2" a="1"/>
  <c r="Y44" i="2" a="1"/>
  <c r="Y46" i="2" a="1"/>
  <c r="J41" i="2" a="1"/>
  <c r="N43" i="2" a="1"/>
  <c r="R45" i="2" a="1"/>
  <c r="V47" i="2" a="1"/>
  <c r="L50" i="2" a="1"/>
  <c r="P52" i="2" a="1"/>
  <c r="S47" i="2" a="1"/>
  <c r="O51" i="2" a="1"/>
  <c r="Q40" i="2" a="1"/>
  <c r="K43" i="2" a="1"/>
  <c r="M46" i="2" a="1"/>
  <c r="S51" i="2" a="1"/>
  <c r="U43" i="2" a="1"/>
  <c r="W52" i="2" a="1"/>
  <c r="R40" i="2" a="1"/>
  <c r="O42" i="2" a="1"/>
  <c r="Q51" i="2" a="1"/>
  <c r="M41" i="2" a="1"/>
  <c r="R50" i="2" a="1"/>
  <c r="U47" i="2" a="1"/>
  <c r="W50" i="2" a="1"/>
  <c r="W48" i="2" a="1"/>
  <c r="W44" i="2" a="1"/>
  <c r="S46" i="2" a="1"/>
  <c r="I52" i="2" a="1"/>
  <c r="I45" i="2" a="1"/>
  <c r="Y47" i="2" a="1"/>
  <c r="P46" i="2" a="1"/>
  <c r="Q44" i="2" a="1"/>
  <c r="W43" i="2" a="1"/>
  <c r="L47" i="2" a="1"/>
  <c r="U39" i="2" a="1"/>
  <c r="R52" i="2" a="1"/>
  <c r="I50" i="2" a="1"/>
  <c r="U44" i="2" a="1"/>
  <c r="X39" i="2" a="1"/>
  <c r="Y42" i="2" a="1"/>
  <c r="T42" i="2" a="1"/>
  <c r="J45" i="2" a="1"/>
  <c r="V51" i="2" a="1"/>
  <c r="Q50" i="2" a="1"/>
  <c r="K45" i="2" a="1"/>
  <c r="S50" i="2" a="1"/>
  <c r="J48" i="2" a="1"/>
  <c r="V44" i="2" a="1"/>
  <c r="I44" i="2" a="1"/>
  <c r="Y46" i="2" l="1"/>
  <c r="Y40" i="2"/>
  <c r="X50" i="2"/>
  <c r="X46" i="2"/>
  <c r="X42" i="2"/>
  <c r="Y47" i="2"/>
  <c r="Y39" i="2"/>
  <c r="Y50" i="2"/>
  <c r="Y44" i="2"/>
  <c r="X48" i="2"/>
  <c r="X44" i="2"/>
  <c r="X40" i="2"/>
  <c r="Y51" i="2"/>
  <c r="Y49" i="2"/>
  <c r="Y45" i="2"/>
  <c r="Y43" i="2"/>
  <c r="Y41" i="2"/>
  <c r="Y48" i="2"/>
  <c r="Y42" i="2"/>
  <c r="X52" i="2"/>
  <c r="X51" i="2"/>
  <c r="X49" i="2"/>
  <c r="X47" i="2"/>
  <c r="X45" i="2"/>
  <c r="X43" i="2"/>
  <c r="X41" i="2"/>
  <c r="X39" i="2"/>
  <c r="U49" i="2"/>
  <c r="J46" i="2"/>
  <c r="W42" i="2"/>
  <c r="T49" i="2"/>
  <c r="S46" i="2"/>
  <c r="V42" i="2"/>
  <c r="O50" i="2"/>
  <c r="U45" i="2"/>
  <c r="J42" i="2"/>
  <c r="R52" i="2"/>
  <c r="M47" i="2"/>
  <c r="T45" i="2"/>
  <c r="W44" i="2"/>
  <c r="P43" i="2"/>
  <c r="S42" i="2"/>
  <c r="L41" i="2"/>
  <c r="O40" i="2"/>
  <c r="K52" i="2"/>
  <c r="N48" i="2"/>
  <c r="S40" i="2"/>
  <c r="W48" i="2"/>
  <c r="L45" i="2"/>
  <c r="K42" i="2"/>
  <c r="S52" i="2"/>
  <c r="V48" i="2"/>
  <c r="Q43" i="2"/>
  <c r="T39" i="2"/>
  <c r="Q49" i="2"/>
  <c r="W50" i="2"/>
  <c r="S48" i="2"/>
  <c r="V44" i="2"/>
  <c r="U41" i="2"/>
  <c r="O52" i="2"/>
  <c r="V50" i="2"/>
  <c r="K50" i="2"/>
  <c r="R48" i="2"/>
  <c r="U47" i="2"/>
  <c r="N46" i="2"/>
  <c r="Q45" i="2"/>
  <c r="J44" i="2"/>
  <c r="M43" i="2"/>
  <c r="T41" i="2"/>
  <c r="W40" i="2"/>
  <c r="P39" i="2"/>
  <c r="R50" i="2"/>
  <c r="M45" i="2"/>
  <c r="P41" i="2"/>
  <c r="J52" i="2"/>
  <c r="O44" i="2"/>
  <c r="U39" i="2"/>
  <c r="L51" i="2"/>
  <c r="R46" i="2"/>
  <c r="M41" i="2"/>
  <c r="U51" i="2"/>
  <c r="J48" i="2"/>
  <c r="P49" i="2"/>
  <c r="O46" i="2"/>
  <c r="R42" i="2"/>
  <c r="N40" i="2"/>
  <c r="N52" i="2"/>
  <c r="Q51" i="2"/>
  <c r="J50" i="2"/>
  <c r="M49" i="2"/>
  <c r="T47" i="2"/>
  <c r="W46" i="2"/>
  <c r="P45" i="2"/>
  <c r="S44" i="2"/>
  <c r="L43" i="2"/>
  <c r="O42" i="2"/>
  <c r="V40" i="2"/>
  <c r="K40" i="2"/>
  <c r="V52" i="2"/>
  <c r="Q47" i="2"/>
  <c r="T43" i="2"/>
  <c r="M51" i="2"/>
  <c r="P47" i="2"/>
  <c r="R40" i="2"/>
  <c r="K48" i="2"/>
  <c r="N44" i="2"/>
  <c r="N50" i="2"/>
  <c r="T51" i="2"/>
  <c r="L47" i="2"/>
  <c r="K44" i="2"/>
  <c r="Q39" i="2"/>
  <c r="W52" i="2"/>
  <c r="P51" i="2"/>
  <c r="S50" i="2"/>
  <c r="L49" i="2"/>
  <c r="O48" i="2"/>
  <c r="V46" i="2"/>
  <c r="K46" i="2"/>
  <c r="R44" i="2"/>
  <c r="U43" i="2"/>
  <c r="N42" i="2"/>
  <c r="Q41" i="2"/>
  <c r="J40" i="2"/>
  <c r="M39" i="2"/>
  <c r="L39" i="2"/>
  <c r="U52" i="2"/>
  <c r="M52" i="2"/>
  <c r="S51" i="2"/>
  <c r="U50" i="2"/>
  <c r="M50" i="2"/>
  <c r="O49" i="2"/>
  <c r="Q48" i="2"/>
  <c r="W47" i="2"/>
  <c r="O47" i="2"/>
  <c r="U46" i="2"/>
  <c r="M46" i="2"/>
  <c r="S45" i="2"/>
  <c r="K45" i="2"/>
  <c r="U44" i="2"/>
  <c r="M44" i="2"/>
  <c r="W43" i="2"/>
  <c r="S43" i="2"/>
  <c r="O43" i="2"/>
  <c r="K43" i="2"/>
  <c r="U42" i="2"/>
  <c r="Q42" i="2"/>
  <c r="W41" i="2"/>
  <c r="S41" i="2"/>
  <c r="O41" i="2"/>
  <c r="K41" i="2"/>
  <c r="U40" i="2"/>
  <c r="Q40" i="2"/>
  <c r="M40" i="2"/>
  <c r="W39" i="2"/>
  <c r="S39" i="2"/>
  <c r="O39" i="2"/>
  <c r="K39" i="2"/>
  <c r="Q52" i="2"/>
  <c r="W51" i="2"/>
  <c r="O51" i="2"/>
  <c r="K51" i="2"/>
  <c r="Q50" i="2"/>
  <c r="W49" i="2"/>
  <c r="S49" i="2"/>
  <c r="K49" i="2"/>
  <c r="U48" i="2"/>
  <c r="M48" i="2"/>
  <c r="S47" i="2"/>
  <c r="K47" i="2"/>
  <c r="Q46" i="2"/>
  <c r="W45" i="2"/>
  <c r="O45" i="2"/>
  <c r="Q44" i="2"/>
  <c r="M42" i="2"/>
  <c r="T52" i="2"/>
  <c r="P52" i="2"/>
  <c r="L52" i="2"/>
  <c r="V51" i="2"/>
  <c r="R51" i="2"/>
  <c r="N51" i="2"/>
  <c r="J51" i="2"/>
  <c r="T50" i="2"/>
  <c r="P50" i="2"/>
  <c r="L50" i="2"/>
  <c r="V49" i="2"/>
  <c r="R49" i="2"/>
  <c r="N49" i="2"/>
  <c r="J49" i="2"/>
  <c r="T48" i="2"/>
  <c r="P48" i="2"/>
  <c r="L48" i="2"/>
  <c r="V47" i="2"/>
  <c r="R47" i="2"/>
  <c r="N47" i="2"/>
  <c r="J47" i="2"/>
  <c r="T46" i="2"/>
  <c r="P46" i="2"/>
  <c r="L46" i="2"/>
  <c r="V45" i="2"/>
  <c r="R45" i="2"/>
  <c r="N45" i="2"/>
  <c r="J45" i="2"/>
  <c r="T44" i="2"/>
  <c r="P44" i="2"/>
  <c r="L44" i="2"/>
  <c r="V43" i="2"/>
  <c r="R43" i="2"/>
  <c r="N43" i="2"/>
  <c r="J43" i="2"/>
  <c r="T42" i="2"/>
  <c r="P42" i="2"/>
  <c r="L42" i="2"/>
  <c r="V41" i="2"/>
  <c r="R41" i="2"/>
  <c r="N41" i="2"/>
  <c r="J41" i="2"/>
  <c r="T40" i="2"/>
  <c r="P40" i="2"/>
  <c r="L40" i="2"/>
  <c r="V39" i="2"/>
  <c r="R39" i="2"/>
  <c r="N39" i="2"/>
  <c r="J39" i="2"/>
  <c r="I41" i="2"/>
  <c r="I45" i="2"/>
  <c r="I51" i="2"/>
  <c r="I47" i="2"/>
  <c r="I43" i="2"/>
  <c r="I50" i="2"/>
  <c r="I46" i="2"/>
  <c r="I42" i="2"/>
  <c r="I49" i="2"/>
  <c r="I52" i="2"/>
  <c r="I48" i="2"/>
  <c r="I44" i="2"/>
  <c r="I4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<sst xmlns="http://schemas.openxmlformats.org/spreadsheetml/2006/main" count="811" uniqueCount="114">
  <si>
    <t>REPORT n4</t>
  </si>
  <si>
    <t>PART 1</t>
  </si>
  <si>
    <t>(theoretical)</t>
  </si>
  <si>
    <t>0)</t>
  </si>
  <si>
    <t>Set K=100; r=1%; vol=20%</t>
  </si>
  <si>
    <t>1)</t>
  </si>
  <si>
    <t>2)</t>
  </si>
  <si>
    <t>Same as in 1 with a shock of the volatility of +-50%</t>
  </si>
  <si>
    <t>3)</t>
  </si>
  <si>
    <t>PART 2</t>
  </si>
  <si>
    <t>(empirical)</t>
  </si>
  <si>
    <t xml:space="preserve">1) </t>
  </si>
  <si>
    <t xml:space="preserve">2) </t>
  </si>
  <si>
    <t>visualize in a 3D picture the implied volatility surface (as a function of the strikes and time to maturities) using the Call prices</t>
  </si>
  <si>
    <t xml:space="preserve">3) </t>
  </si>
  <si>
    <t>check the presence of the implied volatility smile/skew</t>
  </si>
  <si>
    <t xml:space="preserve">4) </t>
  </si>
  <si>
    <t>check the smoothness of the Greeks as time to maturity increases</t>
  </si>
  <si>
    <t>choose in Refinitiv an asset which does not pay dividends and on which there is a book of European options</t>
  </si>
  <si>
    <t>PART 3</t>
  </si>
  <si>
    <t>(merge)</t>
  </si>
  <si>
    <t xml:space="preserve">Select the asset in part 2 and consider the book of European options </t>
  </si>
  <si>
    <t xml:space="preserve">5) </t>
  </si>
  <si>
    <t>check separately the smile of the volayility surface for CALLs and PUTs</t>
  </si>
  <si>
    <t>compare with the Greeks provided by Refinitiv</t>
  </si>
  <si>
    <t>Use the VBA code in Part 1 to compute the Greeks of a ATM option with maturity 3 months</t>
  </si>
  <si>
    <t>Change the maturity and illustrate the surface of the Greeks</t>
  </si>
  <si>
    <t>Display in a 3D graph the corresponding surfaces for all Greeks</t>
  </si>
  <si>
    <t>Repeat the whole procedure for the PUT option contract with same parameters</t>
  </si>
  <si>
    <t xml:space="preserve">Provia PDF with the relevant figures (commented!) and an Excel file with macros that you used for generating the figures  </t>
  </si>
  <si>
    <t>Deadline 17 April</t>
  </si>
  <si>
    <t>K</t>
  </si>
  <si>
    <t>r</t>
  </si>
  <si>
    <t>vol</t>
  </si>
  <si>
    <t>S</t>
  </si>
  <si>
    <t>T</t>
  </si>
  <si>
    <t>gamma</t>
  </si>
  <si>
    <t>vega</t>
  </si>
  <si>
    <t>thetaC</t>
  </si>
  <si>
    <t>DeltaC</t>
  </si>
  <si>
    <t>rhoC</t>
  </si>
  <si>
    <t>SIGMA20%</t>
  </si>
  <si>
    <t>SIGMA 30%</t>
  </si>
  <si>
    <t>SIGMA 10%</t>
  </si>
  <si>
    <t>S0=</t>
  </si>
  <si>
    <t>call-implied volatiliy</t>
  </si>
  <si>
    <t>Provide a VBA script that computes the Greeks for the CALL option in the B&amp;S model for S=60,65,70,,,,130, 135, 140 and time to maturity tau=0,1,0,2,…,1, 2, 3, 4, 5 years</t>
  </si>
  <si>
    <t>Delta</t>
  </si>
  <si>
    <t>ThetaP</t>
  </si>
  <si>
    <t>RhoP</t>
  </si>
  <si>
    <t>DeltaP</t>
  </si>
  <si>
    <t>rhoP</t>
  </si>
  <si>
    <t>Options Greeks - CALLS</t>
  </si>
  <si>
    <t>15-May-2026 - CALLS</t>
  </si>
  <si>
    <t>Expiry</t>
  </si>
  <si>
    <t>Side</t>
  </si>
  <si>
    <t>Strike</t>
  </si>
  <si>
    <t>ImpVol Mid</t>
  </si>
  <si>
    <t>Delta Mid</t>
  </si>
  <si>
    <t>Gamma Mid</t>
  </si>
  <si>
    <t>Vega Mid</t>
  </si>
  <si>
    <t>Theta Mid</t>
  </si>
  <si>
    <t>Rho Mid</t>
  </si>
  <si>
    <t>15-May-2026</t>
  </si>
  <si>
    <t>CALL</t>
  </si>
  <si>
    <t>19-Jun-2026 - CALLS</t>
  </si>
  <si>
    <t>19-Jun-2026</t>
  </si>
  <si>
    <t>18-Sep-2026 - CALLS</t>
  </si>
  <si>
    <t>18-Sep-2026</t>
  </si>
  <si>
    <t>18-Dec-2026 - CALLS</t>
  </si>
  <si>
    <t>18-Dec-2026</t>
  </si>
  <si>
    <t>19-Mar-2027 - CALLS</t>
  </si>
  <si>
    <t>19-Mar-2027</t>
  </si>
  <si>
    <t>18-Jun-2027 - CALLS</t>
  </si>
  <si>
    <t>18-Jun-2027</t>
  </si>
  <si>
    <t>16-Jun-2028 - CALLS</t>
  </si>
  <si>
    <t>16-Jun-2028</t>
  </si>
  <si>
    <t>Options Greeks - PUTS</t>
  </si>
  <si>
    <t>15-May-2026 - PUTS</t>
  </si>
  <si>
    <t>PUT</t>
  </si>
  <si>
    <t>19-Jun-2026 - PUTS</t>
  </si>
  <si>
    <t>18-Sep-2026 - PUTS</t>
  </si>
  <si>
    <t>18-Dec-2026 - PUTS</t>
  </si>
  <si>
    <t>19-Mar-2027 - PUTS</t>
  </si>
  <si>
    <t>18-Jun-2027 - PUTS</t>
  </si>
  <si>
    <t>16-Jun-2028 - PUTS</t>
  </si>
  <si>
    <t>Puts-implied volatility</t>
  </si>
  <si>
    <t>I added some data for</t>
  </si>
  <si>
    <t>and 16/06/27</t>
  </si>
  <si>
    <t>only for graphical purpose</t>
  </si>
  <si>
    <t>I took the mean of two consequent values</t>
  </si>
  <si>
    <t>Vega</t>
  </si>
  <si>
    <t>Theta</t>
  </si>
  <si>
    <t>Rho</t>
  </si>
  <si>
    <t>3-month option not available</t>
  </si>
  <si>
    <t xml:space="preserve">take the 5 month one </t>
  </si>
  <si>
    <t>today</t>
  </si>
  <si>
    <t>maturity</t>
  </si>
  <si>
    <t>T=</t>
  </si>
  <si>
    <t xml:space="preserve">r= </t>
  </si>
  <si>
    <t>quoted in Europ</t>
  </si>
  <si>
    <t>vol=</t>
  </si>
  <si>
    <t>K=</t>
  </si>
  <si>
    <t>q=</t>
  </si>
  <si>
    <t>ThetaC</t>
  </si>
  <si>
    <t>RhoC</t>
  </si>
  <si>
    <t>VBA</t>
  </si>
  <si>
    <t>Refinitiv</t>
  </si>
  <si>
    <t>in these cases the difference seems big because the valuese</t>
  </si>
  <si>
    <t>I will divide for the graphs</t>
  </si>
  <si>
    <t>have been divided (Vega and Rho by 100, Theta by 252) in Refinitiv</t>
  </si>
  <si>
    <t>GRAPHS</t>
  </si>
  <si>
    <t>GREEKS - Refinitive</t>
  </si>
  <si>
    <t>GREEKS -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</si>
</sst>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6" x14ac:knownFonts="1">
    <font>
      <sz val="11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2"/>
      <color rgb="FF6CFFE0"/>
      <name val="Arial"/>
      <family val="2"/>
    </font>
    <font>
      <sz val="10"/>
      <color theme="1"/>
      <name val="Arial"/>
      <family val="2"/>
    </font>
    <font>
      <sz val="24"/>
      <color rgb="FFFF0000"/>
      <name val="Calibri (Corpo)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9"/>
      <name val="Arial"/>
      <family val="2"/>
    </font>
    <font>
      <sz val="11"/>
      <color rgb="FFFF0000"/>
      <name val="Calibri"/>
      <family val="2"/>
      <scheme val="minor"/>
    </font>
    <font>
      <sz val="11"/>
      <color rgb="FFFF0000"/>
      <name val="Calibri (Corpo)"/>
    </font>
    <font>
      <sz val="9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  <fill>
      <patternFill patternType="solid">
        <fgColor rgb="FF375623"/>
      </patternFill>
    </fill>
    <fill>
      <patternFill patternType="solid">
        <fgColor rgb="FF1F4E79"/>
      </patternFill>
    </fill>
    <fill>
      <patternFill patternType="solid">
        <fgColor rgb="FFFFFFFF"/>
      </patternFill>
    </fill>
    <fill>
      <patternFill patternType="solid">
        <fgColor rgb="FF7B2C2C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/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0" fontId="0" fillId="0" borderId="0" xfId="0" applyNumberFormat="1"/>
    <xf numFmtId="0" fontId="1" fillId="0" borderId="0" xfId="0" applyFont="1"/>
    <xf numFmtId="0" fontId="2" fillId="0" borderId="0" xfId="0" applyFont="1"/>
    <xf numFmtId="16" fontId="0" fillId="0" borderId="0" xfId="0" applyNumberFormat="1"/>
    <xf numFmtId="0" fontId="0" fillId="3" borderId="0" xfId="0" applyFill="1"/>
    <xf numFmtId="3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5" fillId="0" borderId="0" xfId="0" applyFont="1"/>
    <xf numFmtId="0" fontId="7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64" fontId="8" fillId="6" borderId="1" xfId="0" applyNumberFormat="1" applyFont="1" applyFill="1" applyBorder="1" applyAlignment="1">
      <alignment horizontal="right" vertical="center"/>
    </xf>
    <xf numFmtId="165" fontId="8" fillId="6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right" vertical="center"/>
    </xf>
    <xf numFmtId="165" fontId="8" fillId="2" borderId="1" xfId="0" applyNumberFormat="1" applyFont="1" applyFill="1" applyBorder="1" applyAlignment="1">
      <alignment horizontal="right" vertical="center"/>
    </xf>
    <xf numFmtId="0" fontId="9" fillId="0" borderId="0" xfId="0" applyFont="1"/>
    <xf numFmtId="14" fontId="9" fillId="0" borderId="0" xfId="0" applyNumberFormat="1" applyFont="1"/>
    <xf numFmtId="0" fontId="10" fillId="0" borderId="0" xfId="0" applyFont="1"/>
    <xf numFmtId="165" fontId="11" fillId="2" borderId="2" xfId="0" applyNumberFormat="1" applyFont="1" applyFill="1" applyBorder="1" applyAlignment="1">
      <alignment horizontal="right" vertical="center"/>
    </xf>
    <xf numFmtId="165" fontId="11" fillId="2" borderId="3" xfId="0" applyNumberFormat="1" applyFont="1" applyFill="1" applyBorder="1" applyAlignment="1">
      <alignment horizontal="right" vertical="center"/>
    </xf>
    <xf numFmtId="9" fontId="0" fillId="0" borderId="0" xfId="0" applyNumberFormat="1"/>
    <xf numFmtId="0" fontId="0" fillId="8" borderId="0" xfId="0" applyFill="1"/>
    <xf numFmtId="0" fontId="12" fillId="9" borderId="0" xfId="0" applyFont="1" applyFill="1"/>
    <xf numFmtId="0" fontId="14" fillId="9" borderId="0" xfId="0" applyFont="1" applyFill="1"/>
    <xf numFmtId="0" fontId="15" fillId="0" borderId="0" xfId="0" applyFont="1"/>
    <xf numFmtId="0" fontId="14" fillId="0" borderId="0" xfId="0" applyFont="1"/>
    <xf numFmtId="0" fontId="7" fillId="4" borderId="1" xfId="0" applyFont="1" applyFill="1" applyBorder="1" applyAlignment="1">
      <alignment horizontal="center" vertical="center"/>
    </xf>
    <xf numFmtId="0" fontId="0" fillId="0" borderId="0" xfId="0"/>
    <xf numFmtId="0" fontId="6" fillId="4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12" fillId="10" borderId="4" xfId="0" applyFont="1" applyFill="1" applyBorder="1"/>
    <xf numFmtId="0" fontId="0" fillId="0" borderId="4" xfId="0" applyBorder="1"/>
    <xf numFmtId="0" fontId="13" fillId="0" borderId="4" xfId="0" applyFont="1" applyBorder="1"/>
    <xf numFmtId="165" fontId="8" fillId="0" borderId="4" xfId="0" applyNumberFormat="1" applyFont="1" applyFill="1" applyBorder="1" applyAlignment="1">
      <alignment horizontal="right" vertical="center"/>
    </xf>
    <xf numFmtId="0" fontId="12" fillId="10" borderId="5" xfId="0" applyFont="1" applyFill="1" applyBorder="1"/>
    <xf numFmtId="0" fontId="0" fillId="0" borderId="0" xfId="0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-</a:t>
            </a:r>
            <a:r>
              <a:rPr lang="it-IT" baseline="0"/>
              <a:t>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2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calls'!$H$23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calls'!$I$23:$Y$23</c:f>
              <c:numCache>
                <c:formatCode>General</c:formatCode>
                <c:ptCount val="17"/>
                <c:pt idx="0">
                  <c:v>4.8964030371398776E-16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5.2781549996934879E-2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C-A440-B18C-0E6FC4CEEBDD}"/>
            </c:ext>
          </c:extLst>
        </c:ser>
        <c:ser>
          <c:idx val="1"/>
          <c:order val="1"/>
          <c:tx>
            <c:strRef>
              <c:f>'Part 1 calls'!$H$24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calls'!$I$24:$Y$24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7.5966424381891376E-3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BC-A440-B18C-0E6FC4CEEBDD}"/>
            </c:ext>
          </c:extLst>
        </c:ser>
        <c:ser>
          <c:idx val="2"/>
          <c:order val="2"/>
          <c:tx>
            <c:strRef>
              <c:f>'Part 1 calls'!$H$25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calls'!$I$25:$Y$25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8.0542811303141545E-2</c:v>
                </c:pt>
                <c:pt idx="6">
                  <c:v>0.18952524812777738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BC-A440-B18C-0E6FC4CEEBDD}"/>
            </c:ext>
          </c:extLst>
        </c:ser>
        <c:ser>
          <c:idx val="3"/>
          <c:order val="3"/>
          <c:tx>
            <c:strRef>
              <c:f>'Part 1 calls'!$H$26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calls'!$I$26:$Y$26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3.2160999955850619E-3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0.68459548536557635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BC-A440-B18C-0E6FC4CEEBDD}"/>
            </c:ext>
          </c:extLst>
        </c:ser>
        <c:ser>
          <c:idx val="4"/>
          <c:order val="4"/>
          <c:tx>
            <c:strRef>
              <c:f>'Part 1 calls'!$H$27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calls'!$I$27:$Y$27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7.8458863408448435E-3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BC-A440-B18C-0E6FC4CEEBDD}"/>
            </c:ext>
          </c:extLst>
        </c:ser>
        <c:ser>
          <c:idx val="5"/>
          <c:order val="5"/>
          <c:tx>
            <c:strRef>
              <c:f>'Part 1 calls'!$H$28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calls'!$I$28:$Y$28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3.8551173459697038E-3</c:v>
                </c:pt>
                <c:pt idx="2">
                  <c:v>1.4402778602930122E-2</c:v>
                </c:pt>
                <c:pt idx="3">
                  <c:v>4.0860172111759581E-2</c:v>
                </c:pt>
                <c:pt idx="4">
                  <c:v>9.2718991154622676E-2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BC-A440-B18C-0E6FC4CEEBDD}"/>
            </c:ext>
          </c:extLst>
        </c:ser>
        <c:ser>
          <c:idx val="6"/>
          <c:order val="6"/>
          <c:tx>
            <c:strRef>
              <c:f>'Part 1 calls'!$H$29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calls'!$I$29:$Y$29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0.11351617326502479</c:v>
                </c:pt>
                <c:pt idx="5">
                  <c:v>0.19884963648426759</c:v>
                </c:pt>
                <c:pt idx="6">
                  <c:v>0.30707780777053401</c:v>
                </c:pt>
                <c:pt idx="7">
                  <c:v>0.42816924322332084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BC-A440-B18C-0E6FC4CEEBDD}"/>
            </c:ext>
          </c:extLst>
        </c:ser>
        <c:ser>
          <c:idx val="7"/>
          <c:order val="7"/>
          <c:tx>
            <c:strRef>
              <c:f>'Part 1 calls'!$H$30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calls'!$I$30:$Y$30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0.82002413987768774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BC-A440-B18C-0E6FC4CEEBDD}"/>
            </c:ext>
          </c:extLst>
        </c:ser>
        <c:ser>
          <c:idx val="8"/>
          <c:order val="8"/>
          <c:tx>
            <c:strRef>
              <c:f>'Part 1 calls'!$H$31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calls'!$I$31:$Y$31</c:f>
              <c:numCache>
                <c:formatCode>General</c:formatCode>
                <c:ptCount val="17"/>
                <c:pt idx="0">
                  <c:v>5.386378691307119E-3</c:v>
                </c:pt>
                <c:pt idx="1">
                  <c:v>1.6663450654240793E-2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0.15062248475458553</c:v>
                </c:pt>
                <c:pt idx="5">
                  <c:v>0.23753708342668742</c:v>
                </c:pt>
                <c:pt idx="6">
                  <c:v>0.33980470618375225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0.65521889020886748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BC-A440-B18C-0E6FC4CEEBDD}"/>
            </c:ext>
          </c:extLst>
        </c:ser>
        <c:ser>
          <c:idx val="9"/>
          <c:order val="9"/>
          <c:tx>
            <c:strRef>
              <c:f>'Part 1 calls'!$H$32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calls'!$I$32:$Y$32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0.85579311074329834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FBC-A440-B18C-0E6FC4CEEBDD}"/>
            </c:ext>
          </c:extLst>
        </c:ser>
        <c:ser>
          <c:idx val="10"/>
          <c:order val="10"/>
          <c:tx>
            <c:strRef>
              <c:f>'Part 1 calls'!$H$33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calls'!$I$33:$Y$33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0.2104162779758797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0.80420462073819754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FBC-A440-B18C-0E6FC4CEEBDD}"/>
            </c:ext>
          </c:extLst>
        </c:ser>
        <c:ser>
          <c:idx val="11"/>
          <c:order val="11"/>
          <c:tx>
            <c:strRef>
              <c:f>'Part 1 calls'!$H$34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calls'!$I$34:$Y$34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</c:v>
                </c:pt>
                <c:pt idx="6">
                  <c:v>0.48231590099564642</c:v>
                </c:pt>
                <c:pt idx="7">
                  <c:v>0.54448388447384266</c:v>
                </c:pt>
                <c:pt idx="8">
                  <c:v>0.60249391401788088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0.78410275921225236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FBC-A440-B18C-0E6FC4CEEBDD}"/>
            </c:ext>
          </c:extLst>
        </c:ser>
        <c:ser>
          <c:idx val="12"/>
          <c:order val="12"/>
          <c:tx>
            <c:strRef>
              <c:f>'Part 1 calls'!$H$35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calls'!$I$35:$Y$35</c:f>
              <c:numCache>
                <c:formatCode>General</c:formatCode>
                <c:ptCount val="17"/>
                <c:pt idx="0">
                  <c:v>0.16426871972840876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0.39825791110296044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0.74196163694002015</c:v>
                </c:pt>
                <c:pt idx="12">
                  <c:v>0.77511660853638908</c:v>
                </c:pt>
                <c:pt idx="13">
                  <c:v>0.8045148033278835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FBC-A440-B18C-0E6FC4CEEBDD}"/>
            </c:ext>
          </c:extLst>
        </c:ser>
        <c:ser>
          <c:idx val="13"/>
          <c:order val="13"/>
          <c:tx>
            <c:strRef>
              <c:f>'Part 1 calls'!$H$36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calls'!$I$22:$Y$22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calls'!$I$36:$Y$36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0.74148404620256414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FBC-A440-B18C-0E6FC4CEE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120767"/>
        <c:axId val="1804112255"/>
        <c:axId val="1603649535"/>
      </c:line3DChart>
      <c:catAx>
        <c:axId val="180412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4112255"/>
        <c:crosses val="autoZero"/>
        <c:auto val="1"/>
        <c:lblAlgn val="ctr"/>
        <c:lblOffset val="100"/>
        <c:noMultiLvlLbl val="0"/>
      </c:catAx>
      <c:valAx>
        <c:axId val="180411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4120767"/>
        <c:crosses val="autoZero"/>
        <c:crossBetween val="between"/>
      </c:valAx>
      <c:serAx>
        <c:axId val="160364953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41122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</a:t>
            </a:r>
            <a:r>
              <a:rPr lang="it-IT" baseline="0"/>
              <a:t> </a:t>
            </a:r>
            <a:r>
              <a:rPr lang="it-IT"/>
              <a:t>- sigma0,10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20"/>
      <c:rotY val="1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calls'!$AC$23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calls'!$AD$23:$AT$23</c:f>
              <c:numCache>
                <c:formatCode>General</c:formatCode>
                <c:ptCount val="17"/>
                <c:pt idx="0">
                  <c:v>1.152199866581208E-58</c:v>
                </c:pt>
                <c:pt idx="1">
                  <c:v>2.8126612880569749E-42</c:v>
                </c:pt>
                <c:pt idx="2">
                  <c:v>1.4260381787833992E-29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5.1107517146907055E-4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7-A045-85CB-CA8D6D8AB0A2}"/>
            </c:ext>
          </c:extLst>
        </c:ser>
        <c:ser>
          <c:idx val="1"/>
          <c:order val="1"/>
          <c:tx>
            <c:strRef>
              <c:f>'Part 1 calls'!$AC$24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calls'!$AD$24:$AT$24</c:f>
              <c:numCache>
                <c:formatCode>General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1.8057900763335667E-4</c:v>
                </c:pt>
                <c:pt idx="6">
                  <c:v>1.1044013907594808E-2</c:v>
                </c:pt>
                <c:pt idx="7">
                  <c:v>0.14009983864577799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97-A045-85CB-CA8D6D8AB0A2}"/>
            </c:ext>
          </c:extLst>
        </c:ser>
        <c:ser>
          <c:idx val="2"/>
          <c:order val="2"/>
          <c:tx>
            <c:strRef>
              <c:f>'Part 1 calls'!$AC$25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calls'!$AD$25:$AT$25</c:f>
              <c:numCache>
                <c:formatCode>General</c:formatCode>
                <c:ptCount val="17"/>
                <c:pt idx="0">
                  <c:v>1.1850476086013817E-20</c:v>
                </c:pt>
                <c:pt idx="1">
                  <c:v>3.5461176703588463E-15</c:v>
                </c:pt>
                <c:pt idx="2">
                  <c:v>6.3883719199083708E-11</c:v>
                </c:pt>
                <c:pt idx="3">
                  <c:v>1.1693829518833768E-7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3.2777626460407994E-2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0.83470864554501079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97-A045-85CB-CA8D6D8AB0A2}"/>
            </c:ext>
          </c:extLst>
        </c:ser>
        <c:ser>
          <c:idx val="3"/>
          <c:order val="3"/>
          <c:tx>
            <c:strRef>
              <c:f>'Part 1 calls'!$AC$26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calls'!$AD$26:$AT$26</c:f>
              <c:numCache>
                <c:formatCode>General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6.6658842436191799E-3</c:v>
                </c:pt>
                <c:pt idx="6">
                  <c:v>5.8088107987320343E-2</c:v>
                </c:pt>
                <c:pt idx="7">
                  <c:v>0.236949408121337</c:v>
                </c:pt>
                <c:pt idx="8">
                  <c:v>0.53779029390666466</c:v>
                </c:pt>
                <c:pt idx="9">
                  <c:v>0.80683951354982264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97-A045-85CB-CA8D6D8AB0A2}"/>
            </c:ext>
          </c:extLst>
        </c:ser>
        <c:ser>
          <c:idx val="4"/>
          <c:order val="4"/>
          <c:tx>
            <c:strRef>
              <c:f>'Part 1 calls'!$AC$27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calls'!$AD$27:$AT$27</c:f>
              <c:numCache>
                <c:formatCode>General</c:formatCode>
                <c:ptCount val="17"/>
                <c:pt idx="0">
                  <c:v>5.4712789718469201E-13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1.4178971876106394E-2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0.78700233026770061</c:v>
                </c:pt>
                <c:pt idx="10">
                  <c:v>0.92702067884803829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7-A045-85CB-CA8D6D8AB0A2}"/>
            </c:ext>
          </c:extLst>
        </c:ser>
        <c:ser>
          <c:idx val="5"/>
          <c:order val="5"/>
          <c:tx>
            <c:strRef>
              <c:f>'Part 1 calls'!$AC$28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calls'!$AD$28:$AT$28</c:f>
              <c:numCache>
                <c:formatCode>General</c:formatCode>
                <c:ptCount val="17"/>
                <c:pt idx="0">
                  <c:v>4.6306900470662182E-11</c:v>
                </c:pt>
                <c:pt idx="1">
                  <c:v>2.5874472084445293E-8</c:v>
                </c:pt>
                <c:pt idx="2">
                  <c:v>3.5869233961988961E-6</c:v>
                </c:pt>
                <c:pt idx="3">
                  <c:v>1.6047856986437583E-4</c:v>
                </c:pt>
                <c:pt idx="4">
                  <c:v>2.8497945838167151E-3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0.77218677368637112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7-A045-85CB-CA8D6D8AB0A2}"/>
            </c:ext>
          </c:extLst>
        </c:ser>
        <c:ser>
          <c:idx val="6"/>
          <c:order val="6"/>
          <c:tx>
            <c:strRef>
              <c:f>'Part 1 calls'!$AC$29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calls'!$AD$29:$AT$29</c:f>
              <c:numCache>
                <c:formatCode>General</c:formatCode>
                <c:ptCount val="17"/>
                <c:pt idx="0">
                  <c:v>1.1154484392717851E-9</c:v>
                </c:pt>
                <c:pt idx="1">
                  <c:v>2.5390046836316418E-7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0.12843922086837087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0.76073008250523411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7-A045-85CB-CA8D6D8AB0A2}"/>
            </c:ext>
          </c:extLst>
        </c:ser>
        <c:ser>
          <c:idx val="7"/>
          <c:order val="7"/>
          <c:tx>
            <c:strRef>
              <c:f>'Part 1 calls'!$AC$30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calls'!$AD$30:$AT$30</c:f>
              <c:numCache>
                <c:formatCode>General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5.8200883657871402E-5</c:v>
                </c:pt>
                <c:pt idx="3">
                  <c:v>1.0273171406440314E-3</c:v>
                </c:pt>
                <c:pt idx="4">
                  <c:v>9.1213054737095019E-3</c:v>
                </c:pt>
                <c:pt idx="5">
                  <c:v>4.6201796215212587E-2</c:v>
                </c:pt>
                <c:pt idx="6">
                  <c:v>0.14828843430084729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0.98509406838389912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97-A045-85CB-CA8D6D8AB0A2}"/>
            </c:ext>
          </c:extLst>
        </c:ser>
        <c:ser>
          <c:idx val="8"/>
          <c:order val="8"/>
          <c:tx>
            <c:strRef>
              <c:f>'Part 1 calls'!$AC$31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calls'!$AD$31:$AT$31</c:f>
              <c:numCache>
                <c:formatCode>General</c:formatCode>
                <c:ptCount val="17"/>
                <c:pt idx="0">
                  <c:v>7.9305503738124461E-8</c:v>
                </c:pt>
                <c:pt idx="1">
                  <c:v>5.4488726576165433E-6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1.3558236229164239E-2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97-A045-85CB-CA8D6D8AB0A2}"/>
            </c:ext>
          </c:extLst>
        </c:ser>
        <c:ser>
          <c:idx val="9"/>
          <c:order val="9"/>
          <c:tx>
            <c:strRef>
              <c:f>'Part 1 calls'!$AC$32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calls'!$AD$32:$AT$32</c:f>
              <c:numCache>
                <c:formatCode>General</c:formatCode>
                <c:ptCount val="17"/>
                <c:pt idx="0">
                  <c:v>3.5564355541459468E-7</c:v>
                </c:pt>
                <c:pt idx="1">
                  <c:v>1.6064307266339651E-5</c:v>
                </c:pt>
                <c:pt idx="2">
                  <c:v>3.1686788675612439E-4</c:v>
                </c:pt>
                <c:pt idx="3">
                  <c:v>3.1973886164727121E-3</c:v>
                </c:pt>
                <c:pt idx="4">
                  <c:v>1.8697030468110387E-2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0.7382311454904813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A97-A045-85CB-CA8D6D8AB0A2}"/>
            </c:ext>
          </c:extLst>
        </c:ser>
        <c:ser>
          <c:idx val="10"/>
          <c:order val="10"/>
          <c:tx>
            <c:strRef>
              <c:f>'Part 1 calls'!$AC$33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calls'!$AD$33:$AT$33</c:f>
              <c:numCache>
                <c:formatCode>General</c:formatCode>
                <c:ptCount val="17"/>
                <c:pt idx="0">
                  <c:v>3.3699015309893697E-4</c:v>
                </c:pt>
                <c:pt idx="1">
                  <c:v>2.2987314592982288E-3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8.6011681908250939E-2</c:v>
                </c:pt>
                <c:pt idx="5">
                  <c:v>0.17436633291241277</c:v>
                </c:pt>
                <c:pt idx="6">
                  <c:v>0.29705856189617319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0.9632726598800867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A97-A045-85CB-CA8D6D8AB0A2}"/>
            </c:ext>
          </c:extLst>
        </c:ser>
        <c:ser>
          <c:idx val="11"/>
          <c:order val="11"/>
          <c:tx>
            <c:strRef>
              <c:f>'Part 1 calls'!$AC$34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calls'!$AD$34:$AT$34</c:f>
              <c:numCache>
                <c:formatCode>General</c:formatCode>
                <c:ptCount val="17"/>
                <c:pt idx="0">
                  <c:v>3.5785417129918732E-3</c:v>
                </c:pt>
                <c:pt idx="1">
                  <c:v>1.296299065751454E-2</c:v>
                </c:pt>
                <c:pt idx="2">
                  <c:v>3.5973278929724198E-2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0.48550787950516511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A97-A045-85CB-CA8D6D8AB0A2}"/>
            </c:ext>
          </c:extLst>
        </c:ser>
        <c:ser>
          <c:idx val="12"/>
          <c:order val="12"/>
          <c:tx>
            <c:strRef>
              <c:f>'Part 1 calls'!$AC$35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calls'!$AD$35:$AT$35</c:f>
              <c:numCache>
                <c:formatCode>General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0.41028862938032845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0.70676234221741063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A97-A045-85CB-CA8D6D8AB0A2}"/>
            </c:ext>
          </c:extLst>
        </c:ser>
        <c:ser>
          <c:idx val="13"/>
          <c:order val="13"/>
          <c:tx>
            <c:strRef>
              <c:f>'Part 1 calls'!$AC$36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calls'!$AD$22:$AT$22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calls'!$AD$36:$AT$36</c:f>
              <c:numCache>
                <c:formatCode>General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0.77686562090211786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A97-A045-85CB-CA8D6D8AB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117375"/>
        <c:axId val="1829119167"/>
        <c:axId val="1794929151"/>
      </c:line3DChart>
      <c:catAx>
        <c:axId val="18291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9119167"/>
        <c:crosses val="autoZero"/>
        <c:auto val="1"/>
        <c:lblAlgn val="ctr"/>
        <c:lblOffset val="100"/>
        <c:noMultiLvlLbl val="0"/>
      </c:catAx>
      <c:valAx>
        <c:axId val="182911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9117375"/>
        <c:crosses val="autoZero"/>
        <c:crossBetween val="between"/>
      </c:valAx>
      <c:serAx>
        <c:axId val="179492915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911916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</a:t>
            </a:r>
            <a:r>
              <a:rPr lang="it-IT" baseline="0"/>
              <a:t> - sigma 0,3</a:t>
            </a:r>
            <a:endParaRPr lang="it-IT"/>
          </a:p>
        </c:rich>
      </c:tx>
      <c:layout>
        <c:manualLayout>
          <c:xMode val="edge"/>
          <c:yMode val="edge"/>
          <c:x val="0.3626041119860017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2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calls'!$H$110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calls'!$I$110:$Y$110</c:f>
              <c:numCache>
                <c:formatCode>General</c:formatCode>
                <c:ptCount val="17"/>
                <c:pt idx="0">
                  <c:v>5.0034162369055566E-8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1.4675225785184855E-3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0.71642998296826499</c:v>
                </c:pt>
                <c:pt idx="10">
                  <c:v>0.85602570106502907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3-0949-9E4C-069212C35E41}"/>
            </c:ext>
          </c:extLst>
        </c:ser>
        <c:ser>
          <c:idx val="1"/>
          <c:order val="1"/>
          <c:tx>
            <c:strRef>
              <c:f>'Part 1 calls'!$H$111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calls'!$I$111:$Y$111</c:f>
              <c:numCache>
                <c:formatCode>General</c:formatCode>
                <c:ptCount val="17"/>
                <c:pt idx="0">
                  <c:v>9.7471862538906133E-5</c:v>
                </c:pt>
                <c:pt idx="1">
                  <c:v>8.7737836912211346E-4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0.12937396522841807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3-0949-9E4C-069212C35E41}"/>
            </c:ext>
          </c:extLst>
        </c:ser>
        <c:ser>
          <c:idx val="2"/>
          <c:order val="2"/>
          <c:tx>
            <c:strRef>
              <c:f>'Part 1 calls'!$H$112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calls'!$I$112:$Y$112</c:f>
              <c:numCache>
                <c:formatCode>General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1.9214994632873038E-2</c:v>
                </c:pt>
                <c:pt idx="3">
                  <c:v>4.9434506570869327E-2</c:v>
                </c:pt>
                <c:pt idx="4">
                  <c:v>0.10426956463923273</c:v>
                </c:pt>
                <c:pt idx="5">
                  <c:v>0.1870975122113735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0.97299735807546184</c:v>
                </c:pt>
                <c:pt idx="16">
                  <c:v>0.98414791288614301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03-0949-9E4C-069212C35E41}"/>
            </c:ext>
          </c:extLst>
        </c:ser>
        <c:ser>
          <c:idx val="3"/>
          <c:order val="3"/>
          <c:tx>
            <c:strRef>
              <c:f>'Part 1 calls'!$H$113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calls'!$I$113:$Y$113</c:f>
              <c:numCache>
                <c:formatCode>General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8.0716619021007019E-2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0.43865142750198127</c:v>
                </c:pt>
                <c:pt idx="8">
                  <c:v>0.54615398735857767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0.90182488378357184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03-0949-9E4C-069212C35E41}"/>
            </c:ext>
          </c:extLst>
        </c:ser>
        <c:ser>
          <c:idx val="4"/>
          <c:order val="4"/>
          <c:tx>
            <c:strRef>
              <c:f>'Part 1 calls'!$H$114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calls'!$I$114:$Y$114</c:f>
              <c:numCache>
                <c:formatCode>General</c:formatCode>
                <c:ptCount val="17"/>
                <c:pt idx="0">
                  <c:v>1.135081746473166E-2</c:v>
                </c:pt>
                <c:pt idx="1">
                  <c:v>2.8644857358513204E-2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03-0949-9E4C-069212C35E41}"/>
            </c:ext>
          </c:extLst>
        </c:ser>
        <c:ser>
          <c:idx val="5"/>
          <c:order val="5"/>
          <c:tx>
            <c:strRef>
              <c:f>'Part 1 calls'!$H$115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calls'!$I$115:$Y$115</c:f>
              <c:numCache>
                <c:formatCode>General</c:formatCode>
                <c:ptCount val="17"/>
                <c:pt idx="0">
                  <c:v>1.9879978802043376E-2</c:v>
                </c:pt>
                <c:pt idx="1">
                  <c:v>4.3468137473605208E-2</c:v>
                </c:pt>
                <c:pt idx="2">
                  <c:v>8.1828768636166921E-2</c:v>
                </c:pt>
                <c:pt idx="3">
                  <c:v>0.13654438951976747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0.46862695070489657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0.86482705141973815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03-0949-9E4C-069212C35E41}"/>
            </c:ext>
          </c:extLst>
        </c:ser>
        <c:ser>
          <c:idx val="6"/>
          <c:order val="6"/>
          <c:tx>
            <c:strRef>
              <c:f>'Part 1 calls'!$H$116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calls'!$I$116:$Y$116</c:f>
              <c:numCache>
                <c:formatCode>General</c:formatCode>
                <c:ptCount val="17"/>
                <c:pt idx="0">
                  <c:v>2.9932244764737312E-2</c:v>
                </c:pt>
                <c:pt idx="1">
                  <c:v>5.9038935425869576E-2</c:v>
                </c:pt>
                <c:pt idx="2">
                  <c:v>0.1024633918843465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0.85138984659601935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03-0949-9E4C-069212C35E41}"/>
            </c:ext>
          </c:extLst>
        </c:ser>
        <c:ser>
          <c:idx val="7"/>
          <c:order val="7"/>
          <c:tx>
            <c:strRef>
              <c:f>'Part 1 calls'!$H$117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calls'!$I$117:$Y$117</c:f>
              <c:numCache>
                <c:formatCode>General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0.56512589389530643</c:v>
                </c:pt>
                <c:pt idx="9">
                  <c:v>0.63525669084775627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03-0949-9E4C-069212C35E41}"/>
            </c:ext>
          </c:extLst>
        </c:ser>
        <c:ser>
          <c:idx val="8"/>
          <c:order val="8"/>
          <c:tx>
            <c:strRef>
              <c:f>'Part 1 calls'!$H$118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calls'!$I$118:$Y$118</c:f>
              <c:numCache>
                <c:formatCode>General</c:formatCode>
                <c:ptCount val="17"/>
                <c:pt idx="0">
                  <c:v>5.2516002614189643E-2</c:v>
                </c:pt>
                <c:pt idx="1">
                  <c:v>9.0172813400075449E-2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0.27089074616784542</c:v>
                </c:pt>
                <c:pt idx="5">
                  <c:v>0.3456438956868198</c:v>
                </c:pt>
                <c:pt idx="6">
                  <c:v>0.42219791583544131</c:v>
                </c:pt>
                <c:pt idx="7">
                  <c:v>0.49748628363861269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03-0949-9E4C-069212C35E41}"/>
            </c:ext>
          </c:extLst>
        </c:ser>
        <c:ser>
          <c:idx val="9"/>
          <c:order val="9"/>
          <c:tx>
            <c:strRef>
              <c:f>'Part 1 calls'!$H$119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calls'!$I$119:$Y$119</c:f>
              <c:numCache>
                <c:formatCode>General</c:formatCode>
                <c:ptCount val="17"/>
                <c:pt idx="0">
                  <c:v>6.4328563178374959E-2</c:v>
                </c:pt>
                <c:pt idx="1">
                  <c:v>0.10517388780770233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0.28757654881407341</c:v>
                </c:pt>
                <c:pt idx="5">
                  <c:v>0.36002333083467097</c:v>
                </c:pt>
                <c:pt idx="6">
                  <c:v>0.43334341092094791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03-0949-9E4C-069212C35E41}"/>
            </c:ext>
          </c:extLst>
        </c:ser>
        <c:ser>
          <c:idx val="10"/>
          <c:order val="10"/>
          <c:tx>
            <c:strRef>
              <c:f>'Part 1 calls'!$H$120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calls'!$I$120:$Y$120</c:f>
              <c:numCache>
                <c:formatCode>General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0.28047924339879654</c:v>
                </c:pt>
                <c:pt idx="3">
                  <c:v>0.33768091083242546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503-0949-9E4C-069212C35E41}"/>
            </c:ext>
          </c:extLst>
        </c:ser>
        <c:ser>
          <c:idx val="11"/>
          <c:order val="11"/>
          <c:tx>
            <c:strRef>
              <c:f>'Part 1 calls'!$H$121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calls'!$I$121:$Y$121</c:f>
              <c:numCache>
                <c:formatCode>General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0.45545241211238535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0.74806744044833062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503-0949-9E4C-069212C35E41}"/>
            </c:ext>
          </c:extLst>
        </c:ser>
        <c:ser>
          <c:idx val="12"/>
          <c:order val="12"/>
          <c:tx>
            <c:strRef>
              <c:f>'Part 1 calls'!$H$122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calls'!$I$122:$Y$122</c:f>
              <c:numCache>
                <c:formatCode>General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0.40990413904026229</c:v>
                </c:pt>
                <c:pt idx="3">
                  <c:v>0.4550931899299458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0.76991671192728894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503-0949-9E4C-069212C35E41}"/>
            </c:ext>
          </c:extLst>
        </c:ser>
        <c:ser>
          <c:idx val="13"/>
          <c:order val="13"/>
          <c:tx>
            <c:strRef>
              <c:f>'Part 1 calls'!$H$123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calls'!$I$109:$Y$109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calls'!$I$123:$Y$123</c:f>
              <c:numCache>
                <c:formatCode>General</c:formatCode>
                <c:ptCount val="17"/>
                <c:pt idx="0">
                  <c:v>0.3625886029317465</c:v>
                </c:pt>
                <c:pt idx="1">
                  <c:v>0.40818067531008484</c:v>
                </c:pt>
                <c:pt idx="2">
                  <c:v>0.45154699490085998</c:v>
                </c:pt>
                <c:pt idx="3">
                  <c:v>0.49245831881467111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0.75229664733269397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03-0949-9E4C-069212C35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467199"/>
        <c:axId val="1807810559"/>
        <c:axId val="1796976127"/>
      </c:line3DChart>
      <c:catAx>
        <c:axId val="1833467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810559"/>
        <c:crosses val="autoZero"/>
        <c:auto val="1"/>
        <c:lblAlgn val="ctr"/>
        <c:lblOffset val="100"/>
        <c:noMultiLvlLbl val="0"/>
      </c:catAx>
      <c:valAx>
        <c:axId val="180781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3467199"/>
        <c:crosses val="autoZero"/>
        <c:crossBetween val="between"/>
      </c:valAx>
      <c:serAx>
        <c:axId val="1796976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81055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</a:t>
            </a:r>
            <a:r>
              <a:rPr lang="it-IT" baseline="0"/>
              <a:t> -sigma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calls'!$H$39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calls'!$I$39:$Y$39</c:f>
              <c:numCache>
                <c:formatCode>General</c:formatCode>
                <c:ptCount val="17"/>
                <c:pt idx="0">
                  <c:v>1.0516556577990333E-15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1.8444991272199748E-4</c:v>
                </c:pt>
                <c:pt idx="5">
                  <c:v>3.0836372935947147E-3</c:v>
                </c:pt>
                <c:pt idx="6">
                  <c:v>1.8916378586336532E-2</c:v>
                </c:pt>
                <c:pt idx="7">
                  <c:v>4.9607400575778234E-2</c:v>
                </c:pt>
                <c:pt idx="8">
                  <c:v>6.3007389850102596E-2</c:v>
                </c:pt>
                <c:pt idx="9">
                  <c:v>4.2961708392642114E-2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7.1823787351586266E-4</c:v>
                </c:pt>
                <c:pt idx="13">
                  <c:v>8.4468232865850983E-5</c:v>
                </c:pt>
                <c:pt idx="14">
                  <c:v>7.2972234478141031E-6</c:v>
                </c:pt>
                <c:pt idx="15">
                  <c:v>4.8093577566927407E-7</c:v>
                </c:pt>
                <c:pt idx="16">
                  <c:v>2.4984119686305787E-8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3-2245-938B-06652AD6552B}"/>
            </c:ext>
          </c:extLst>
        </c:ser>
        <c:ser>
          <c:idx val="1"/>
          <c:order val="1"/>
          <c:tx>
            <c:strRef>
              <c:f>'Part 1 calls'!$H$40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calls'!$I$40:$Y$40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8.6832323834608043E-7</c:v>
                </c:pt>
                <c:pt idx="2">
                  <c:v>2.9265998523210969E-5</c:v>
                </c:pt>
                <c:pt idx="3">
                  <c:v>4.1746111765088794E-4</c:v>
                </c:pt>
                <c:pt idx="4">
                  <c:v>2.9270332354272271E-3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9.4556994587265133E-5</c:v>
                </c:pt>
                <c:pt idx="16">
                  <c:v>2.0876714879530848E-5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3-2245-938B-06652AD6552B}"/>
            </c:ext>
          </c:extLst>
        </c:ser>
        <c:ser>
          <c:idx val="2"/>
          <c:order val="2"/>
          <c:tx>
            <c:strRef>
              <c:f>'Part 1 calls'!$H$41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calls'!$I$41:$Y$41</c:f>
              <c:numCache>
                <c:formatCode>General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6.736138931655423E-3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3.0847927412867744E-3</c:v>
                </c:pt>
                <c:pt idx="14">
                  <c:v>1.3026922814580186E-3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E3-2245-938B-06652AD6552B}"/>
            </c:ext>
          </c:extLst>
        </c:ser>
        <c:ser>
          <c:idx val="3"/>
          <c:order val="3"/>
          <c:tx>
            <c:strRef>
              <c:f>'Part 1 calls'!$H$42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calls'!$I$42:$Y$42</c:f>
              <c:numCache>
                <c:formatCode>General</c:formatCode>
                <c:ptCount val="17"/>
                <c:pt idx="0">
                  <c:v>2.2064431982817099E-5</c:v>
                </c:pt>
                <c:pt idx="1">
                  <c:v>2.0218238688417132E-4</c:v>
                </c:pt>
                <c:pt idx="2">
                  <c:v>1.1000759814895993E-3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2.6687880405210144E-2</c:v>
                </c:pt>
                <c:pt idx="7">
                  <c:v>3.1635322258043573E-2</c:v>
                </c:pt>
                <c:pt idx="8">
                  <c:v>3.1397549176385639E-2</c:v>
                </c:pt>
                <c:pt idx="9">
                  <c:v>2.6761306237360671E-2</c:v>
                </c:pt>
                <c:pt idx="10">
                  <c:v>2.0006577096239701E-2</c:v>
                </c:pt>
                <c:pt idx="11">
                  <c:v>1.3352820984703353E-2</c:v>
                </c:pt>
                <c:pt idx="12">
                  <c:v>8.0758746095868552E-3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1.1130292486590083E-3</c:v>
                </c:pt>
                <c:pt idx="16">
                  <c:v>5.0660659975445036E-4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E3-2245-938B-06652AD6552B}"/>
            </c:ext>
          </c:extLst>
        </c:ser>
        <c:ser>
          <c:idx val="4"/>
          <c:order val="4"/>
          <c:tx>
            <c:strRef>
              <c:f>'Part 1 calls'!$H$43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calls'!$I$43:$Y$43</c:f>
              <c:numCache>
                <c:formatCode>General</c:formatCode>
                <c:ptCount val="17"/>
                <c:pt idx="0">
                  <c:v>1.0070170546498086E-4</c:v>
                </c:pt>
                <c:pt idx="1">
                  <c:v>5.7611680391896742E-4</c:v>
                </c:pt>
                <c:pt idx="2">
                  <c:v>2.1766539744156989E-3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1.9261939996234254E-2</c:v>
                </c:pt>
                <c:pt idx="6">
                  <c:v>2.5556533759819561E-2</c:v>
                </c:pt>
                <c:pt idx="7">
                  <c:v>2.8732281352043247E-2</c:v>
                </c:pt>
                <c:pt idx="8">
                  <c:v>2.8051246304186254E-2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1.7459186523562475E-3</c:v>
                </c:pt>
                <c:pt idx="16">
                  <c:v>9.1839058774420643E-4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E3-2245-938B-06652AD6552B}"/>
            </c:ext>
          </c:extLst>
        </c:ser>
        <c:ser>
          <c:idx val="5"/>
          <c:order val="5"/>
          <c:tx>
            <c:strRef>
              <c:f>'Part 1 calls'!$H$44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calls'!$I$44:$Y$44</c:f>
              <c:numCache>
                <c:formatCode>General</c:formatCode>
                <c:ptCount val="17"/>
                <c:pt idx="0">
                  <c:v>2.7236380704730455E-4</c:v>
                </c:pt>
                <c:pt idx="1">
                  <c:v>1.1382523244176262E-3</c:v>
                </c:pt>
                <c:pt idx="2">
                  <c:v>3.3722289783455627E-3</c:v>
                </c:pt>
                <c:pt idx="3">
                  <c:v>7.5458967272333368E-3</c:v>
                </c:pt>
                <c:pt idx="4">
                  <c:v>1.3395159432299533E-2</c:v>
                </c:pt>
                <c:pt idx="5">
                  <c:v>1.9607203543702156E-2</c:v>
                </c:pt>
                <c:pt idx="6">
                  <c:v>2.440677414752461E-2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9.3013597568778472E-3</c:v>
                </c:pt>
                <c:pt idx="13">
                  <c:v>6.1342693499021796E-3</c:v>
                </c:pt>
                <c:pt idx="14">
                  <c:v>3.8518254155354287E-3</c:v>
                </c:pt>
                <c:pt idx="15">
                  <c:v>2.3169614647433378E-3</c:v>
                </c:pt>
                <c:pt idx="16">
                  <c:v>1.3421930911671856E-3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E3-2245-938B-06652AD6552B}"/>
            </c:ext>
          </c:extLst>
        </c:ser>
        <c:ser>
          <c:idx val="6"/>
          <c:order val="6"/>
          <c:tx>
            <c:strRef>
              <c:f>'Part 1 calls'!$H$45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calls'!$I$45:$Y$45</c:f>
              <c:numCache>
                <c:formatCode>General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1.4366321033900608E-2</c:v>
                </c:pt>
                <c:pt idx="5">
                  <c:v>1.9615204928584505E-2</c:v>
                </c:pt>
                <c:pt idx="6">
                  <c:v>2.3329031963279283E-2</c:v>
                </c:pt>
                <c:pt idx="7">
                  <c:v>2.4688265009858646E-2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4.3719665660242645E-3</c:v>
                </c:pt>
                <c:pt idx="15">
                  <c:v>2.8013465758306819E-3</c:v>
                </c:pt>
                <c:pt idx="16">
                  <c:v>1.7385470025647564E-3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E3-2245-938B-06652AD6552B}"/>
            </c:ext>
          </c:extLst>
        </c:ser>
        <c:ser>
          <c:idx val="7"/>
          <c:order val="7"/>
          <c:tx>
            <c:strRef>
              <c:f>'Part 1 calls'!$H$46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calls'!$I$46:$Y$46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2.5855385907713364E-3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1.5001364182628533E-2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4.7634480986671439E-3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E3-2245-938B-06652AD6552B}"/>
            </c:ext>
          </c:extLst>
        </c:ser>
        <c:ser>
          <c:idx val="8"/>
          <c:order val="8"/>
          <c:tx>
            <c:strRef>
              <c:f>'Part 1 calls'!$H$47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calls'!$I$47:$Y$47</c:f>
              <c:numCache>
                <c:formatCode>General</c:formatCode>
                <c:ptCount val="17"/>
                <c:pt idx="0">
                  <c:v>1.3571389458380502E-3</c:v>
                </c:pt>
                <c:pt idx="1">
                  <c:v>3.3605151026574491E-3</c:v>
                </c:pt>
                <c:pt idx="2">
                  <c:v>6.6387114573764547E-3</c:v>
                </c:pt>
                <c:pt idx="3">
                  <c:v>1.0909406223302241E-2</c:v>
                </c:pt>
                <c:pt idx="4">
                  <c:v>1.5403132263133373E-2</c:v>
                </c:pt>
                <c:pt idx="5">
                  <c:v>1.916736194416201E-2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E3-2245-938B-06652AD6552B}"/>
            </c:ext>
          </c:extLst>
        </c:ser>
        <c:ser>
          <c:idx val="9"/>
          <c:order val="9"/>
          <c:tx>
            <c:strRef>
              <c:f>'Part 1 calls'!$H$48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calls'!$I$48:$Y$48</c:f>
              <c:numCache>
                <c:formatCode>General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9.4617501566145283E-3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E3-2245-938B-06652AD6552B}"/>
            </c:ext>
          </c:extLst>
        </c:ser>
        <c:ser>
          <c:idx val="10"/>
          <c:order val="10"/>
          <c:tx>
            <c:strRef>
              <c:f>'Part 1 calls'!$H$49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calls'!$I$49:$Y$49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1.4928999083209113E-2</c:v>
                </c:pt>
                <c:pt idx="5">
                  <c:v>1.5538821309956895E-2</c:v>
                </c:pt>
                <c:pt idx="6">
                  <c:v>1.5471684475151492E-2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1.1028059378052651E-2</c:v>
                </c:pt>
                <c:pt idx="11">
                  <c:v>9.5576676672171172E-3</c:v>
                </c:pt>
                <c:pt idx="12">
                  <c:v>8.1432630811320364E-3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9E3-2245-938B-06652AD6552B}"/>
            </c:ext>
          </c:extLst>
        </c:ser>
        <c:ser>
          <c:idx val="11"/>
          <c:order val="11"/>
          <c:tx>
            <c:strRef>
              <c:f>'Part 1 calls'!$H$50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calls'!$I$50:$Y$50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1.22330166765713E-2</c:v>
                </c:pt>
                <c:pt idx="3">
                  <c:v>1.304799601147523E-2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9E3-2245-938B-06652AD6552B}"/>
            </c:ext>
          </c:extLst>
        </c:ser>
        <c:ser>
          <c:idx val="12"/>
          <c:order val="12"/>
          <c:tx>
            <c:strRef>
              <c:f>'Part 1 calls'!$H$51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calls'!$I$51:$Y$51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1.1346268148064859E-2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9.5346953865131038E-3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5.5225119093422655E-3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9E3-2245-938B-06652AD6552B}"/>
            </c:ext>
          </c:extLst>
        </c:ser>
        <c:ser>
          <c:idx val="13"/>
          <c:order val="13"/>
          <c:tx>
            <c:strRef>
              <c:f>'Part 1 calls'!$H$52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calls'!$I$38:$Y$38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calls'!$I$52:$Y$52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6.2883493733863092E-3</c:v>
                </c:pt>
                <c:pt idx="12">
                  <c:v>5.6403714114604637E-3</c:v>
                </c:pt>
                <c:pt idx="13">
                  <c:v>5.0386172534840901E-3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9E3-2245-938B-06652AD6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776511"/>
        <c:axId val="1794772927"/>
        <c:axId val="1794609151"/>
      </c:line3DChart>
      <c:catAx>
        <c:axId val="179477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94772927"/>
        <c:crosses val="autoZero"/>
        <c:auto val="1"/>
        <c:lblAlgn val="ctr"/>
        <c:lblOffset val="100"/>
        <c:noMultiLvlLbl val="0"/>
      </c:catAx>
      <c:valAx>
        <c:axId val="179477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94776511"/>
        <c:crosses val="autoZero"/>
        <c:crossBetween val="between"/>
      </c:valAx>
      <c:serAx>
        <c:axId val="179460915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947729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</a:t>
            </a:r>
            <a:r>
              <a:rPr lang="it-IT" baseline="0"/>
              <a:t> -sigma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calls'!$AC$39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calls'!$AD$39:$AT$39</c:f>
              <c:numCache>
                <c:formatCode>General</c:formatCode>
                <c:ptCount val="17"/>
                <c:pt idx="0">
                  <c:v>9.8181668070315396E-58</c:v>
                </c:pt>
                <c:pt idx="1">
                  <c:v>1.8675541334492263E-41</c:v>
                </c:pt>
                <c:pt idx="2">
                  <c:v>7.2920970083605385E-29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6.3723381042931552E-4</c:v>
                </c:pt>
                <c:pt idx="7">
                  <c:v>3.8441261874572016E-2</c:v>
                </c:pt>
                <c:pt idx="8">
                  <c:v>0.12601477970020519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5.0939285700327291E-6</c:v>
                </c:pt>
                <c:pt idx="12">
                  <c:v>4.8333065983837001E-9</c:v>
                </c:pt>
                <c:pt idx="13">
                  <c:v>1.1110259985098477E-12</c:v>
                </c:pt>
                <c:pt idx="14">
                  <c:v>7.3829715398268222E-17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C6-BB4F-B68C-16DA3CA69470}"/>
            </c:ext>
          </c:extLst>
        </c:ser>
        <c:ser>
          <c:idx val="1"/>
          <c:order val="1"/>
          <c:tx>
            <c:strRef>
              <c:f>'Part 1 calls'!$AC$40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calls'!$AD$40:$AT$40</c:f>
              <c:numCache>
                <c:formatCode>General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3.3439581371571196E-15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1.812092789174275E-4</c:v>
                </c:pt>
                <c:pt idx="6">
                  <c:v>7.2202698909513228E-3</c:v>
                </c:pt>
                <c:pt idx="7">
                  <c:v>5.2414503254015796E-2</c:v>
                </c:pt>
                <c:pt idx="8">
                  <c:v>8.900571747852265E-2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1.5520066218442016E-9</c:v>
                </c:pt>
                <c:pt idx="15">
                  <c:v>7.0007225305255289E-12</c:v>
                </c:pt>
                <c:pt idx="16">
                  <c:v>1.9592554647687471E-14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C6-BB4F-B68C-16DA3CA69470}"/>
            </c:ext>
          </c:extLst>
        </c:ser>
        <c:ser>
          <c:idx val="2"/>
          <c:order val="2"/>
          <c:tx>
            <c:strRef>
              <c:f>'Part 1 calls'!$AC$41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calls'!$AD$41:$AT$41</c:f>
              <c:numCache>
                <c:formatCode>General</c:formatCode>
                <c:ptCount val="17"/>
                <c:pt idx="0">
                  <c:v>3.3715886606541128E-20</c:v>
                </c:pt>
                <c:pt idx="1">
                  <c:v>7.8761142092033319E-15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3.1551352715495865E-5</c:v>
                </c:pt>
                <c:pt idx="5">
                  <c:v>1.3351896003566924E-3</c:v>
                </c:pt>
                <c:pt idx="6">
                  <c:v>1.4851555899595276E-2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4.3212117686085315E-2</c:v>
                </c:pt>
                <c:pt idx="10">
                  <c:v>1.2585716288856257E-2</c:v>
                </c:pt>
                <c:pt idx="11">
                  <c:v>1.9736239926009683E-3</c:v>
                </c:pt>
                <c:pt idx="12">
                  <c:v>1.8065746203269187E-4</c:v>
                </c:pt>
                <c:pt idx="13">
                  <c:v>1.0338747257813624E-5</c:v>
                </c:pt>
                <c:pt idx="14">
                  <c:v>3.9226661156427158E-7</c:v>
                </c:pt>
                <c:pt idx="15">
                  <c:v>1.0377407251949232E-8</c:v>
                </c:pt>
                <c:pt idx="16">
                  <c:v>1.9993666289338617E-10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C6-BB4F-B68C-16DA3CA69470}"/>
            </c:ext>
          </c:extLst>
        </c:ser>
        <c:ser>
          <c:idx val="3"/>
          <c:order val="3"/>
          <c:tx>
            <c:strRef>
              <c:f>'Part 1 calls'!$AC$42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calls'!$AD$42:$AT$42</c:f>
              <c:numCache>
                <c:formatCode>General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2.1731776002153894E-4</c:v>
                </c:pt>
                <c:pt idx="5">
                  <c:v>3.4716293491663377E-3</c:v>
                </c:pt>
                <c:pt idx="6">
                  <c:v>2.0402828136932078E-2</c:v>
                </c:pt>
                <c:pt idx="7">
                  <c:v>5.137928103783846E-2</c:v>
                </c:pt>
                <c:pt idx="8">
                  <c:v>6.2795098352771278E-2</c:v>
                </c:pt>
                <c:pt idx="9">
                  <c:v>4.1278492158452362E-2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3.8271106091862608E-7</c:v>
                </c:pt>
                <c:pt idx="16">
                  <c:v>1.9346494359707465E-8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C6-BB4F-B68C-16DA3CA69470}"/>
            </c:ext>
          </c:extLst>
        </c:ser>
        <c:ser>
          <c:idx val="4"/>
          <c:order val="4"/>
          <c:tx>
            <c:strRef>
              <c:f>'Part 1 calls'!$AC$43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calls'!$AD$43:$AT$43</c:f>
              <c:numCache>
                <c:formatCode>General</c:formatCode>
                <c:ptCount val="17"/>
                <c:pt idx="0">
                  <c:v>9.3540877738933165E-13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6.0028678035567969E-3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5.6102492608372509E-2</c:v>
                </c:pt>
                <c:pt idx="9">
                  <c:v>3.914046415242152E-2</c:v>
                </c:pt>
                <c:pt idx="10">
                  <c:v>1.7823213843019742E-2</c:v>
                </c:pt>
                <c:pt idx="11">
                  <c:v>5.6093527215653801E-3</c:v>
                </c:pt>
                <c:pt idx="12">
                  <c:v>1.2805137235044073E-3</c:v>
                </c:pt>
                <c:pt idx="13">
                  <c:v>2.2091371478623375E-4</c:v>
                </c:pt>
                <c:pt idx="14">
                  <c:v>2.9830284442140869E-5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C6-BB4F-B68C-16DA3CA69470}"/>
            </c:ext>
          </c:extLst>
        </c:ser>
        <c:ser>
          <c:idx val="5"/>
          <c:order val="5"/>
          <c:tx>
            <c:strRef>
              <c:f>'Part 1 calls'!$AC$44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calls'!$AD$44:$AT$44</c:f>
              <c:numCache>
                <c:formatCode>General</c:formatCode>
                <c:ptCount val="17"/>
                <c:pt idx="0">
                  <c:v>6.60221001258594E-11</c:v>
                </c:pt>
                <c:pt idx="1">
                  <c:v>2.8871903156587706E-8</c:v>
                </c:pt>
                <c:pt idx="2">
                  <c:v>3.1047063387497025E-6</c:v>
                </c:pt>
                <c:pt idx="3">
                  <c:v>1.0617694808839026E-4</c:v>
                </c:pt>
                <c:pt idx="4">
                  <c:v>1.4096380488958409E-3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3.7134472308525499E-2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2.0319475824949786E-3</c:v>
                </c:pt>
                <c:pt idx="13">
                  <c:v>4.6191019586218839E-4</c:v>
                </c:pt>
                <c:pt idx="14">
                  <c:v>8.5668780985105112E-5</c:v>
                </c:pt>
                <c:pt idx="15">
                  <c:v>1.3291938562945965E-5</c:v>
                </c:pt>
                <c:pt idx="16">
                  <c:v>1.762979573893959E-6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C6-BB4F-B68C-16DA3CA69470}"/>
            </c:ext>
          </c:extLst>
        </c:ser>
        <c:ser>
          <c:idx val="6"/>
          <c:order val="6"/>
          <c:tx>
            <c:strRef>
              <c:f>'Part 1 calls'!$AC$45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calls'!$AD$45:$AT$45</c:f>
              <c:numCache>
                <c:formatCode>General</c:formatCode>
                <c:ptCount val="17"/>
                <c:pt idx="0">
                  <c:v>1.3641015888556876E-9</c:v>
                </c:pt>
                <c:pt idx="1">
                  <c:v>2.4319945667214467E-7</c:v>
                </c:pt>
                <c:pt idx="2">
                  <c:v>1.3055468334454291E-5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1.0765981199439561E-2</c:v>
                </c:pt>
                <c:pt idx="6">
                  <c:v>2.7859621858699939E-2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7.7274142964303433E-4</c:v>
                </c:pt>
                <c:pt idx="14">
                  <c:v>1.7978334895153025E-4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C6-BB4F-B68C-16DA3CA69470}"/>
            </c:ext>
          </c:extLst>
        </c:ser>
        <c:ser>
          <c:idx val="7"/>
          <c:order val="7"/>
          <c:tx>
            <c:strRef>
              <c:f>'Part 1 calls'!$AC$46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calls'!$AD$46:$AT$46</c:f>
              <c:numCache>
                <c:formatCode>General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3.7984667450688734E-5</c:v>
                </c:pt>
                <c:pt idx="3">
                  <c:v>5.1450381124671122E-4</c:v>
                </c:pt>
                <c:pt idx="4">
                  <c:v>3.4369932223750686E-3</c:v>
                </c:pt>
                <c:pt idx="5">
                  <c:v>1.2734636942227621E-2</c:v>
                </c:pt>
                <c:pt idx="6">
                  <c:v>2.8743231871235137E-2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1.9742547542846392E-2</c:v>
                </c:pt>
                <c:pt idx="11">
                  <c:v>9.19409140342148E-3</c:v>
                </c:pt>
                <c:pt idx="12">
                  <c:v>3.5093388466936391E-3</c:v>
                </c:pt>
                <c:pt idx="13">
                  <c:v>1.1262339391078582E-3</c:v>
                </c:pt>
                <c:pt idx="14">
                  <c:v>3.1058576900406593E-4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C6-BB4F-B68C-16DA3CA69470}"/>
            </c:ext>
          </c:extLst>
        </c:ser>
        <c:ser>
          <c:idx val="8"/>
          <c:order val="8"/>
          <c:tx>
            <c:strRef>
              <c:f>'Part 1 calls'!$AC$47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calls'!$AD$47:$AT$47</c:f>
              <c:numCache>
                <c:formatCode>General</c:formatCode>
                <c:ptCount val="17"/>
                <c:pt idx="0">
                  <c:v>7.5530633187758123E-8</c:v>
                </c:pt>
                <c:pt idx="1">
                  <c:v>4.0707905271917845E-6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4.573896828554253E-3</c:v>
                </c:pt>
                <c:pt idx="5">
                  <c:v>1.4407206646598534E-2</c:v>
                </c:pt>
                <c:pt idx="6">
                  <c:v>2.9238167534758407E-2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1.4987745127806533E-3</c:v>
                </c:pt>
                <c:pt idx="14">
                  <c:v>4.7175720539731364E-4</c:v>
                </c:pt>
                <c:pt idx="15">
                  <c:v>1.3199891273585568E-4</c:v>
                </c:pt>
                <c:pt idx="16">
                  <c:v>3.3305383198972744E-5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9C6-BB4F-B68C-16DA3CA69470}"/>
            </c:ext>
          </c:extLst>
        </c:ser>
        <c:ser>
          <c:idx val="9"/>
          <c:order val="9"/>
          <c:tx>
            <c:strRef>
              <c:f>'Part 1 calls'!$AC$48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calls'!$AD$48:$AT$48</c:f>
              <c:numCache>
                <c:formatCode>General</c:formatCode>
                <c:ptCount val="17"/>
                <c:pt idx="0">
                  <c:v>3.0503159925846612E-7</c:v>
                </c:pt>
                <c:pt idx="1">
                  <c:v>1.0815693509621757E-5</c:v>
                </c:pt>
                <c:pt idx="2">
                  <c:v>1.6626343859570735E-4</c:v>
                </c:pt>
                <c:pt idx="3">
                  <c:v>1.2919311227899846E-3</c:v>
                </c:pt>
                <c:pt idx="4">
                  <c:v>5.7155372876400009E-3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3.0999845988993829E-2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2.063011779914907E-4</c:v>
                </c:pt>
                <c:pt idx="16">
                  <c:v>5.9197424706742969E-5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9C6-BB4F-B68C-16DA3CA69470}"/>
            </c:ext>
          </c:extLst>
        </c:ser>
        <c:ser>
          <c:idx val="10"/>
          <c:order val="10"/>
          <c:tx>
            <c:strRef>
              <c:f>'Part 1 calls'!$AC$49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calls'!$AD$49:$AT$49</c:f>
              <c:numCache>
                <c:formatCode>General</c:formatCode>
                <c:ptCount val="17"/>
                <c:pt idx="0">
                  <c:v>1.4524281869372614E-4</c:v>
                </c:pt>
                <c:pt idx="1">
                  <c:v>7.8252244975753993E-4</c:v>
                </c:pt>
                <c:pt idx="2">
                  <c:v>2.7966437332461506E-3</c:v>
                </c:pt>
                <c:pt idx="3">
                  <c:v>7.1516197776597063E-3</c:v>
                </c:pt>
                <c:pt idx="4">
                  <c:v>1.3876417664915328E-2</c:v>
                </c:pt>
                <c:pt idx="5">
                  <c:v>2.139474487152776E-2</c:v>
                </c:pt>
                <c:pt idx="6">
                  <c:v>2.7195143108108638E-2</c:v>
                </c:pt>
                <c:pt idx="7">
                  <c:v>2.9359502161316501E-2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4.5470245404394521E-3</c:v>
                </c:pt>
                <c:pt idx="14">
                  <c:v>2.5609344709387897E-3</c:v>
                </c:pt>
                <c:pt idx="15">
                  <c:v>1.3707080362701776E-3</c:v>
                </c:pt>
                <c:pt idx="16">
                  <c:v>7.0162115948937021E-4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C6-BB4F-B68C-16DA3CA69470}"/>
            </c:ext>
          </c:extLst>
        </c:ser>
        <c:ser>
          <c:idx val="11"/>
          <c:order val="11"/>
          <c:tx>
            <c:strRef>
              <c:f>'Part 1 calls'!$AC$50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calls'!$AD$50:$AT$50</c:f>
              <c:numCache>
                <c:formatCode>General</c:formatCode>
                <c:ptCount val="17"/>
                <c:pt idx="0">
                  <c:v>1.031684190152515E-3</c:v>
                </c:pt>
                <c:pt idx="1">
                  <c:v>2.9660589498737341E-3</c:v>
                </c:pt>
                <c:pt idx="2">
                  <c:v>6.5180762218455023E-3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2.4229204673908024E-2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1.5081963394812058E-2</c:v>
                </c:pt>
                <c:pt idx="11">
                  <c:v>1.1338612960202376E-2</c:v>
                </c:pt>
                <c:pt idx="12">
                  <c:v>8.1120649104783841E-3</c:v>
                </c:pt>
                <c:pt idx="13">
                  <c:v>5.5590796015987437E-3</c:v>
                </c:pt>
                <c:pt idx="14">
                  <c:v>3.6693507025244649E-3</c:v>
                </c:pt>
                <c:pt idx="15">
                  <c:v>2.3440212104340013E-3</c:v>
                </c:pt>
                <c:pt idx="16">
                  <c:v>1.4551400495073866E-3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C6-BB4F-B68C-16DA3CA69470}"/>
            </c:ext>
          </c:extLst>
        </c:ser>
        <c:ser>
          <c:idx val="12"/>
          <c:order val="12"/>
          <c:tx>
            <c:strRef>
              <c:f>'Part 1 calls'!$AC$51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calls'!$AD$51:$AT$51</c:f>
              <c:numCache>
                <c:formatCode>General</c:formatCode>
                <c:ptCount val="17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9C6-BB4F-B68C-16DA3CA69470}"/>
            </c:ext>
          </c:extLst>
        </c:ser>
        <c:ser>
          <c:idx val="13"/>
          <c:order val="13"/>
          <c:tx>
            <c:strRef>
              <c:f>'Part 1 calls'!$AC$52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calls'!$AD$38:$AT$38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calls'!$AD$52:$AT$52</c:f>
              <c:numCache>
                <c:formatCode>General</c:formatCode>
                <c:ptCount val="17"/>
                <c:pt idx="0">
                  <c:v>4.4499754398238519E-3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1.2135644435772966E-2</c:v>
                </c:pt>
                <c:pt idx="11">
                  <c:v>9.7818031211006871E-3</c:v>
                </c:pt>
                <c:pt idx="12">
                  <c:v>7.6679346587994858E-3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9C6-BB4F-B68C-16DA3CA69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340927"/>
        <c:axId val="1835734271"/>
        <c:axId val="1880113151"/>
      </c:line3DChart>
      <c:catAx>
        <c:axId val="182934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5734271"/>
        <c:crosses val="autoZero"/>
        <c:auto val="1"/>
        <c:lblAlgn val="ctr"/>
        <c:lblOffset val="100"/>
        <c:noMultiLvlLbl val="0"/>
      </c:catAx>
      <c:valAx>
        <c:axId val="183573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9340927"/>
        <c:crosses val="autoZero"/>
        <c:crossBetween val="between"/>
      </c:valAx>
      <c:serAx>
        <c:axId val="188011315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57342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</a:t>
            </a:r>
            <a:r>
              <a:rPr lang="it-IT" baseline="0"/>
              <a:t>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calls'!$H$126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calls'!$I$126:$Y$126</c:f>
              <c:numCache>
                <c:formatCode>General</c:formatCode>
                <c:ptCount val="17"/>
                <c:pt idx="0">
                  <c:v>4.8371729163416413E-8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6.7225819369320081E-4</c:v>
                </c:pt>
                <c:pt idx="4">
                  <c:v>3.7827836741325775E-3</c:v>
                </c:pt>
                <c:pt idx="5">
                  <c:v>1.2575012584514565E-2</c:v>
                </c:pt>
                <c:pt idx="6">
                  <c:v>2.6849994493107557E-2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3.4000529020197352E-2</c:v>
                </c:pt>
                <c:pt idx="10">
                  <c:v>2.173682248663825E-2</c:v>
                </c:pt>
                <c:pt idx="11">
                  <c:v>1.132338909622355E-2</c:v>
                </c:pt>
                <c:pt idx="12">
                  <c:v>4.9370130845059288E-3</c:v>
                </c:pt>
                <c:pt idx="13">
                  <c:v>1.8430873083992022E-3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9-9748-96D1-051799A27324}"/>
            </c:ext>
          </c:extLst>
        </c:ser>
        <c:ser>
          <c:idx val="1"/>
          <c:order val="1"/>
          <c:tx>
            <c:strRef>
              <c:f>'Part 1 calls'!$H$127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calls'!$I$127:$Y$127</c:f>
              <c:numCache>
                <c:formatCode>General</c:formatCode>
                <c:ptCount val="17"/>
                <c:pt idx="0">
                  <c:v>4.8005602280442924E-5</c:v>
                </c:pt>
                <c:pt idx="1">
                  <c:v>3.4238659642402429E-4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1.0647723775453422E-2</c:v>
                </c:pt>
                <c:pt idx="5">
                  <c:v>1.8488250396356994E-2</c:v>
                </c:pt>
                <c:pt idx="6">
                  <c:v>2.5799834788109946E-2</c:v>
                </c:pt>
                <c:pt idx="7">
                  <c:v>2.9920175402764985E-2</c:v>
                </c:pt>
                <c:pt idx="8">
                  <c:v>2.9635625719445866E-2</c:v>
                </c:pt>
                <c:pt idx="9">
                  <c:v>2.5642378317564652E-2</c:v>
                </c:pt>
                <c:pt idx="10">
                  <c:v>1.9748701502398162E-2</c:v>
                </c:pt>
                <c:pt idx="11">
                  <c:v>1.3752363931184043E-2</c:v>
                </c:pt>
                <c:pt idx="12">
                  <c:v>8.7746917760978486E-3</c:v>
                </c:pt>
                <c:pt idx="13">
                  <c:v>5.1878950118337845E-3</c:v>
                </c:pt>
                <c:pt idx="14">
                  <c:v>2.8696661309163202E-3</c:v>
                </c:pt>
                <c:pt idx="15">
                  <c:v>1.4974023713320032E-3</c:v>
                </c:pt>
                <c:pt idx="16">
                  <c:v>7.4234719458286542E-4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69-9748-96D1-051799A27324}"/>
            </c:ext>
          </c:extLst>
        </c:ser>
        <c:ser>
          <c:idx val="2"/>
          <c:order val="2"/>
          <c:tx>
            <c:strRef>
              <c:f>'Part 1 calls'!$H$128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calls'!$I$128:$Y$128</c:f>
              <c:numCache>
                <c:formatCode>General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4.0687523516901537E-3</c:v>
                </c:pt>
                <c:pt idx="3">
                  <c:v>8.2932442565351941E-3</c:v>
                </c:pt>
                <c:pt idx="4">
                  <c:v>1.3762943653982108E-2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1.7510243021562302E-2</c:v>
                </c:pt>
                <c:pt idx="11">
                  <c:v>1.3432302518922605E-2</c:v>
                </c:pt>
                <c:pt idx="12">
                  <c:v>9.7303217208305568E-3</c:v>
                </c:pt>
                <c:pt idx="13">
                  <c:v>6.7057249264153339E-3</c:v>
                </c:pt>
                <c:pt idx="14">
                  <c:v>4.4244401962093725E-3</c:v>
                </c:pt>
                <c:pt idx="15">
                  <c:v>2.8101370337925181E-3</c:v>
                </c:pt>
                <c:pt idx="16">
                  <c:v>1.7261999326371308E-3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69-9748-96D1-051799A27324}"/>
            </c:ext>
          </c:extLst>
        </c:ser>
        <c:ser>
          <c:idx val="3"/>
          <c:order val="3"/>
          <c:tx>
            <c:strRef>
              <c:f>'Part 1 calls'!$H$129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calls'!$I$129:$Y$129</c:f>
              <c:numCache>
                <c:formatCode>General</c:formatCode>
                <c:ptCount val="17"/>
                <c:pt idx="0">
                  <c:v>1.2684980236185479E-3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1.0517834159617731E-2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2.1212946857819125E-2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9.8121320272589428E-3</c:v>
                </c:pt>
                <c:pt idx="13">
                  <c:v>7.300650038287E-3</c:v>
                </c:pt>
                <c:pt idx="14">
                  <c:v>5.2609033868653314E-3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69-9748-96D1-051799A27324}"/>
            </c:ext>
          </c:extLst>
        </c:ser>
        <c:ser>
          <c:idx val="4"/>
          <c:order val="4"/>
          <c:tx>
            <c:strRef>
              <c:f>'Part 1 calls'!$H$130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calls'!$I$130:$Y$130</c:f>
              <c:numCache>
                <c:formatCode>General</c:formatCode>
                <c:ptCount val="17"/>
                <c:pt idx="0">
                  <c:v>2.3382957957450946E-3</c:v>
                </c:pt>
                <c:pt idx="1">
                  <c:v>4.7488233231175458E-3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1.8648956198552002E-2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9.6090347795308399E-3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  <c:pt idx="16">
                  <c:v>3.0825818422678913E-3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69-9748-96D1-051799A27324}"/>
            </c:ext>
          </c:extLst>
        </c:ser>
        <c:ser>
          <c:idx val="5"/>
          <c:order val="5"/>
          <c:tx>
            <c:strRef>
              <c:f>'Part 1 calls'!$H$131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calls'!$I$131:$Y$131</c:f>
              <c:numCache>
                <c:formatCode>General</c:formatCode>
                <c:ptCount val="17"/>
                <c:pt idx="0">
                  <c:v>3.4549517028754713E-3</c:v>
                </c:pt>
                <c:pt idx="1">
                  <c:v>6.1025757786037091E-3</c:v>
                </c:pt>
                <c:pt idx="2">
                  <c:v>9.2966719191608007E-3</c:v>
                </c:pt>
                <c:pt idx="3">
                  <c:v>1.2555154567235539E-2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7.4811990466972433E-3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69-9748-96D1-051799A27324}"/>
            </c:ext>
          </c:extLst>
        </c:ser>
        <c:ser>
          <c:idx val="6"/>
          <c:order val="6"/>
          <c:tx>
            <c:strRef>
              <c:f>'Part 1 calls'!$H$132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calls'!$I$132:$Y$132</c:f>
              <c:numCache>
                <c:formatCode>General</c:formatCode>
                <c:ptCount val="17"/>
                <c:pt idx="0">
                  <c:v>4.509629684515108E-3</c:v>
                </c:pt>
                <c:pt idx="1">
                  <c:v>7.2096701015754924E-3</c:v>
                </c:pt>
                <c:pt idx="2">
                  <c:v>1.0167303762997197E-2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1.4249101786859475E-2</c:v>
                </c:pt>
                <c:pt idx="10">
                  <c:v>1.2535218696786308E-2</c:v>
                </c:pt>
                <c:pt idx="11">
                  <c:v>1.074020246658062E-2</c:v>
                </c:pt>
                <c:pt idx="12">
                  <c:v>8.9946864621100811E-3</c:v>
                </c:pt>
                <c:pt idx="13">
                  <c:v>7.3853698760191298E-3</c:v>
                </c:pt>
                <c:pt idx="14">
                  <c:v>5.9606848610583791E-3</c:v>
                </c:pt>
                <c:pt idx="15">
                  <c:v>4.7393843504899549E-3</c:v>
                </c:pt>
                <c:pt idx="16">
                  <c:v>3.7194597267081681E-3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69-9748-96D1-051799A27324}"/>
            </c:ext>
          </c:extLst>
        </c:ser>
        <c:ser>
          <c:idx val="7"/>
          <c:order val="7"/>
          <c:tx>
            <c:strRef>
              <c:f>'Part 1 calls'!$H$133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calls'!$I$133:$Y$133</c:f>
              <c:numCache>
                <c:formatCode>General</c:formatCode>
                <c:ptCount val="17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1.1811904293602781E-2</c:v>
                </c:pt>
                <c:pt idx="11">
                  <c:v>1.0225923975723968E-2</c:v>
                </c:pt>
                <c:pt idx="12">
                  <c:v>8.681246196908252E-3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69-9748-96D1-051799A27324}"/>
            </c:ext>
          </c:extLst>
        </c:ser>
        <c:ser>
          <c:idx val="8"/>
          <c:order val="8"/>
          <c:tx>
            <c:strRef>
              <c:f>'Part 1 calls'!$H$134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calls'!$I$134:$Y$134</c:f>
              <c:numCache>
                <c:formatCode>General</c:formatCode>
                <c:ptCount val="17"/>
                <c:pt idx="0">
                  <c:v>6.2802722099484769E-3</c:v>
                </c:pt>
                <c:pt idx="1">
                  <c:v>8.7907122230331258E-3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1.4546046008012573E-2</c:v>
                </c:pt>
                <c:pt idx="5">
                  <c:v>1.5240725494598824E-2</c:v>
                </c:pt>
                <c:pt idx="6">
                  <c:v>1.5277763824001957E-2</c:v>
                </c:pt>
                <c:pt idx="7">
                  <c:v>1.4754868041798961E-2</c:v>
                </c:pt>
                <c:pt idx="8">
                  <c:v>1.3806984978133098E-2</c:v>
                </c:pt>
                <c:pt idx="9">
                  <c:v>1.2577052515957669E-2</c:v>
                </c:pt>
                <c:pt idx="10">
                  <c:v>1.1195871235951033E-2</c:v>
                </c:pt>
                <c:pt idx="11">
                  <c:v>9.7710707636894847E-3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5.9154595576943591E-3</c:v>
                </c:pt>
                <c:pt idx="15">
                  <c:v>4.882853467973125E-3</c:v>
                </c:pt>
                <c:pt idx="16">
                  <c:v>3.9917562221930339E-3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69-9748-96D1-051799A27324}"/>
            </c:ext>
          </c:extLst>
        </c:ser>
        <c:ser>
          <c:idx val="9"/>
          <c:order val="9"/>
          <c:tx>
            <c:strRef>
              <c:f>'Part 1 calls'!$H$135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calls'!$I$135:$Y$135</c:f>
              <c:numCache>
                <c:formatCode>General</c:formatCode>
                <c:ptCount val="17"/>
                <c:pt idx="0">
                  <c:v>6.9875383385906882E-3</c:v>
                </c:pt>
                <c:pt idx="1">
                  <c:v>9.3360824327461973E-3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69-9748-96D1-051799A27324}"/>
            </c:ext>
          </c:extLst>
        </c:ser>
        <c:ser>
          <c:idx val="10"/>
          <c:order val="10"/>
          <c:tx>
            <c:strRef>
              <c:f>'Part 1 calls'!$H$136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calls'!$I$136:$Y$136</c:f>
              <c:numCache>
                <c:formatCode>General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1.1344091423781006E-2</c:v>
                </c:pt>
                <c:pt idx="3">
                  <c:v>1.148487381824651E-2</c:v>
                </c:pt>
                <c:pt idx="4">
                  <c:v>1.1343327721716879E-2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5.5268144202571534E-3</c:v>
                </c:pt>
                <c:pt idx="14">
                  <c:v>4.9210815203458418E-3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969-9748-96D1-051799A27324}"/>
            </c:ext>
          </c:extLst>
        </c:ser>
        <c:ser>
          <c:idx val="11"/>
          <c:order val="11"/>
          <c:tx>
            <c:strRef>
              <c:f>'Part 1 calls'!$H$137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calls'!$I$137:$Y$137</c:f>
              <c:numCache>
                <c:formatCode>General</c:formatCode>
                <c:ptCount val="17"/>
                <c:pt idx="0">
                  <c:v>1.025398028665004E-2</c:v>
                </c:pt>
                <c:pt idx="1">
                  <c:v>1.0363399155444455E-2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9.5371649510801217E-3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69-9748-96D1-051799A27324}"/>
            </c:ext>
          </c:extLst>
        </c:ser>
        <c:ser>
          <c:idx val="12"/>
          <c:order val="12"/>
          <c:tx>
            <c:strRef>
              <c:f>'Part 1 calls'!$H$138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calls'!$I$138:$Y$138</c:f>
              <c:numCache>
                <c:formatCode>General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6.2167667801221434E-3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69-9748-96D1-051799A27324}"/>
            </c:ext>
          </c:extLst>
        </c:ser>
        <c:ser>
          <c:idx val="13"/>
          <c:order val="13"/>
          <c:tx>
            <c:strRef>
              <c:f>'Part 1 calls'!$H$139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calls'!$I$125:$Y$125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calls'!$I$139:$Y$139</c:f>
              <c:numCache>
                <c:formatCode>General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5.4677797056007192E-3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  <c:pt idx="16">
                  <c:v>2.8038279821686937E-3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969-9748-96D1-051799A27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139839"/>
        <c:axId val="1882636735"/>
        <c:axId val="1877268991"/>
      </c:line3DChart>
      <c:catAx>
        <c:axId val="1880139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2636735"/>
        <c:crosses val="autoZero"/>
        <c:auto val="1"/>
        <c:lblAlgn val="ctr"/>
        <c:lblOffset val="100"/>
        <c:noMultiLvlLbl val="0"/>
      </c:catAx>
      <c:valAx>
        <c:axId val="188263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0139839"/>
        <c:crosses val="autoZero"/>
        <c:crossBetween val="between"/>
      </c:valAx>
      <c:serAx>
        <c:axId val="18772689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26367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</a:t>
            </a:r>
            <a:r>
              <a:rPr lang="it-IT" baseline="0"/>
              <a:t>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calls'!$H$55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calls'!$I$55:$Y$55</c:f>
              <c:numCache>
                <c:formatCode>General</c:formatCode>
                <c:ptCount val="17"/>
                <c:pt idx="0">
                  <c:v>7.5719207361530399E-14</c:v>
                </c:pt>
                <c:pt idx="1">
                  <c:v>9.5374791219906021E-10</c:v>
                </c:pt>
                <c:pt idx="2">
                  <c:v>1.4305070674681113E-6</c:v>
                </c:pt>
                <c:pt idx="3">
                  <c:v>3.770139897571843E-4</c:v>
                </c:pt>
                <c:pt idx="4">
                  <c:v>2.3609588828415677E-2</c:v>
                </c:pt>
                <c:pt idx="5">
                  <c:v>0.44558558892443634</c:v>
                </c:pt>
                <c:pt idx="6">
                  <c:v>3.0644533309865185</c:v>
                </c:pt>
                <c:pt idx="7">
                  <c:v>8.9541358039279721</c:v>
                </c:pt>
                <c:pt idx="8">
                  <c:v>12.60147797002052</c:v>
                </c:pt>
                <c:pt idx="9">
                  <c:v>9.4730567005775868</c:v>
                </c:pt>
                <c:pt idx="10">
                  <c:v>4.1459744625109485</c:v>
                </c:pt>
                <c:pt idx="11">
                  <c:v>1.1355073152064601</c:v>
                </c:pt>
                <c:pt idx="12">
                  <c:v>0.20685250757256843</c:v>
                </c:pt>
                <c:pt idx="13">
                  <c:v>2.6396322770578434E-2</c:v>
                </c:pt>
                <c:pt idx="14">
                  <c:v>2.4664615253611665E-3</c:v>
                </c:pt>
                <c:pt idx="15">
                  <c:v>1.7530109023145043E-4</c:v>
                </c:pt>
                <c:pt idx="16">
                  <c:v>9.7937749170318685E-6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3-B343-BFCC-B0E4E3543EF4}"/>
            </c:ext>
          </c:extLst>
        </c:ser>
        <c:ser>
          <c:idx val="1"/>
          <c:order val="1"/>
          <c:tx>
            <c:strRef>
              <c:f>'Part 1 calls'!$H$56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calls'!$I$56:$Y$56</c:f>
              <c:numCache>
                <c:formatCode>General</c:formatCode>
                <c:ptCount val="17"/>
                <c:pt idx="0">
                  <c:v>1.2945209838663301E-6</c:v>
                </c:pt>
                <c:pt idx="1">
                  <c:v>1.4674662728048757E-4</c:v>
                </c:pt>
                <c:pt idx="2">
                  <c:v>5.7361357105493501E-3</c:v>
                </c:pt>
                <c:pt idx="3">
                  <c:v>9.3928751471449773E-2</c:v>
                </c:pt>
                <c:pt idx="4">
                  <c:v>0.74932050826937013</c:v>
                </c:pt>
                <c:pt idx="5">
                  <c:v>3.2800471961839519</c:v>
                </c:pt>
                <c:pt idx="6">
                  <c:v>8.6635119422354219</c:v>
                </c:pt>
                <c:pt idx="7">
                  <c:v>14.909546983266303</c:v>
                </c:pt>
                <c:pt idx="8">
                  <c:v>17.80114349570453</c:v>
                </c:pt>
                <c:pt idx="9">
                  <c:v>15.528549456541477</c:v>
                </c:pt>
                <c:pt idx="10">
                  <c:v>10.332955422391688</c:v>
                </c:pt>
                <c:pt idx="11">
                  <c:v>5.4377515022381848</c:v>
                </c:pt>
                <c:pt idx="12">
                  <c:v>2.3332711412433973</c:v>
                </c:pt>
                <c:pt idx="13">
                  <c:v>0.83776579671249984</c:v>
                </c:pt>
                <c:pt idx="14">
                  <c:v>0.25734589818730602</c:v>
                </c:pt>
                <c:pt idx="15">
                  <c:v>6.8932049054116276E-2</c:v>
                </c:pt>
                <c:pt idx="16">
                  <c:v>1.6367344465552186E-2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3-B343-BFCC-B0E4E3543EF4}"/>
            </c:ext>
          </c:extLst>
        </c:ser>
        <c:ser>
          <c:idx val="2"/>
          <c:order val="2"/>
          <c:tx>
            <c:strRef>
              <c:f>'Part 1 calls'!$H$57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calls'!$I$57:$Y$57</c:f>
              <c:numCache>
                <c:formatCode>General</c:formatCode>
                <c:ptCount val="17"/>
                <c:pt idx="0">
                  <c:v>3.6360095554575553E-4</c:v>
                </c:pt>
                <c:pt idx="1">
                  <c:v>8.57356044392623E-3</c:v>
                </c:pt>
                <c:pt idx="2">
                  <c:v>9.9359820227649887E-2</c:v>
                </c:pt>
                <c:pt idx="3">
                  <c:v>0.64440735249376058</c:v>
                </c:pt>
                <c:pt idx="4">
                  <c:v>2.5866773497556816</c:v>
                </c:pt>
                <c:pt idx="5">
                  <c:v>6.9568288790958261</c:v>
                </c:pt>
                <c:pt idx="6">
                  <c:v>13.35639363567296</c:v>
                </c:pt>
                <c:pt idx="7">
                  <c:v>19.267540519079148</c:v>
                </c:pt>
                <c:pt idx="8">
                  <c:v>21.777345900985232</c:v>
                </c:pt>
                <c:pt idx="9">
                  <c:v>19.963011175668893</c:v>
                </c:pt>
                <c:pt idx="10">
                  <c:v>15.274679608962337</c:v>
                </c:pt>
                <c:pt idx="11">
                  <c:v>9.9933417595957987</c:v>
                </c:pt>
                <c:pt idx="12">
                  <c:v>5.7053408088958326</c:v>
                </c:pt>
                <c:pt idx="13">
                  <c:v>2.89199319495635</c:v>
                </c:pt>
                <c:pt idx="14">
                  <c:v>1.3209299733984308</c:v>
                </c:pt>
                <c:pt idx="15">
                  <c:v>0.55061531676659159</c:v>
                </c:pt>
                <c:pt idx="16">
                  <c:v>0.21177230646577413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83-B343-BFCC-B0E4E3543EF4}"/>
            </c:ext>
          </c:extLst>
        </c:ser>
        <c:ser>
          <c:idx val="3"/>
          <c:order val="3"/>
          <c:tx>
            <c:strRef>
              <c:f>'Part 1 calls'!$H$58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calls'!$I$58:$Y$58</c:f>
              <c:numCache>
                <c:formatCode>General</c:formatCode>
                <c:ptCount val="17"/>
                <c:pt idx="0">
                  <c:v>6.354556411051324E-3</c:v>
                </c:pt>
                <c:pt idx="1">
                  <c:v>6.8337646766849905E-2</c:v>
                </c:pt>
                <c:pt idx="2">
                  <c:v>0.43122978474392287</c:v>
                </c:pt>
                <c:pt idx="3">
                  <c:v>1.76012583898282</c:v>
                </c:pt>
                <c:pt idx="4">
                  <c:v>5.0116628118720126</c:v>
                </c:pt>
                <c:pt idx="5">
                  <c:v>10.565235887329337</c:v>
                </c:pt>
                <c:pt idx="6">
                  <c:v>17.293746502576173</c:v>
                </c:pt>
                <c:pt idx="7">
                  <c:v>22.840702670307461</c:v>
                </c:pt>
                <c:pt idx="8">
                  <c:v>25.118039341108513</c:v>
                </c:pt>
                <c:pt idx="9">
                  <c:v>23.603472101352111</c:v>
                </c:pt>
                <c:pt idx="10">
                  <c:v>19.366366629160034</c:v>
                </c:pt>
                <c:pt idx="11">
                  <c:v>14.127284601816148</c:v>
                </c:pt>
                <c:pt idx="12">
                  <c:v>9.3034075502440565</c:v>
                </c:pt>
                <c:pt idx="13">
                  <c:v>5.6032093638267746</c:v>
                </c:pt>
                <c:pt idx="14">
                  <c:v>3.1207812645797248</c:v>
                </c:pt>
                <c:pt idx="15">
                  <c:v>1.6227966445448345</c:v>
                </c:pt>
                <c:pt idx="16">
                  <c:v>0.79435914841497823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83-B343-BFCC-B0E4E3543EF4}"/>
            </c:ext>
          </c:extLst>
        </c:ser>
        <c:ser>
          <c:idx val="4"/>
          <c:order val="4"/>
          <c:tx>
            <c:strRef>
              <c:f>'Part 1 calls'!$H$59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calls'!$I$59:$Y$59</c:f>
              <c:numCache>
                <c:formatCode>General</c:formatCode>
                <c:ptCount val="17"/>
                <c:pt idx="0">
                  <c:v>3.6252613967393113E-2</c:v>
                </c:pt>
                <c:pt idx="1">
                  <c:v>0.24340934965576377</c:v>
                </c:pt>
                <c:pt idx="2">
                  <c:v>1.0665604474636925</c:v>
                </c:pt>
                <c:pt idx="3">
                  <c:v>3.2972479768503962</c:v>
                </c:pt>
                <c:pt idx="4">
                  <c:v>7.6401792301498688</c:v>
                </c:pt>
                <c:pt idx="5">
                  <c:v>13.91675164727925</c:v>
                </c:pt>
                <c:pt idx="6">
                  <c:v>20.700792345453848</c:v>
                </c:pt>
                <c:pt idx="7">
                  <c:v>25.930883920219031</c:v>
                </c:pt>
                <c:pt idx="8">
                  <c:v>28.051246304186257</c:v>
                </c:pt>
                <c:pt idx="9">
                  <c:v>26.754925856393442</c:v>
                </c:pt>
                <c:pt idx="10">
                  <c:v>22.89136689728651</c:v>
                </c:pt>
                <c:pt idx="11">
                  <c:v>17.82565184338004</c:v>
                </c:pt>
                <c:pt idx="12">
                  <c:v>12.788990708238194</c:v>
                </c:pt>
                <c:pt idx="13">
                  <c:v>8.5419800594485498</c:v>
                </c:pt>
                <c:pt idx="14">
                  <c:v>5.3588475727461455</c:v>
                </c:pt>
                <c:pt idx="15">
                  <c:v>3.1819367439192616</c:v>
                </c:pt>
                <c:pt idx="16">
                  <c:v>1.8000455519786447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83-B343-BFCC-B0E4E3543EF4}"/>
            </c:ext>
          </c:extLst>
        </c:ser>
        <c:ser>
          <c:idx val="5"/>
          <c:order val="5"/>
          <c:tx>
            <c:strRef>
              <c:f>'Part 1 calls'!$H$60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calls'!$I$60:$Y$60</c:f>
              <c:numCache>
                <c:formatCode>General</c:formatCode>
                <c:ptCount val="17"/>
                <c:pt idx="0">
                  <c:v>0.11766116464443557</c:v>
                </c:pt>
                <c:pt idx="1">
                  <c:v>0.57709392847973651</c:v>
                </c:pt>
                <c:pt idx="2">
                  <c:v>1.9828706392671911</c:v>
                </c:pt>
                <c:pt idx="3">
                  <c:v>5.0934802908825025</c:v>
                </c:pt>
                <c:pt idx="4">
                  <c:v>10.287482444006043</c:v>
                </c:pt>
                <c:pt idx="5">
                  <c:v>16.99944547238977</c:v>
                </c:pt>
                <c:pt idx="6">
                  <c:v>23.723384471393924</c:v>
                </c:pt>
                <c:pt idx="7">
                  <c:v>28.686682039024305</c:v>
                </c:pt>
                <c:pt idx="8">
                  <c:v>30.69405049619952</c:v>
                </c:pt>
                <c:pt idx="9">
                  <c:v>29.567419013929413</c:v>
                </c:pt>
                <c:pt idx="10">
                  <c:v>26.014283512817954</c:v>
                </c:pt>
                <c:pt idx="11">
                  <c:v>21.158960540408664</c:v>
                </c:pt>
                <c:pt idx="12">
                  <c:v>16.07274965988492</c:v>
                </c:pt>
                <c:pt idx="13">
                  <c:v>11.501755031066587</c:v>
                </c:pt>
                <c:pt idx="14">
                  <c:v>7.8115019427058492</c:v>
                </c:pt>
                <c:pt idx="15">
                  <c:v>5.0671947233936798</c:v>
                </c:pt>
                <c:pt idx="16">
                  <c:v>3.1568381504252203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83-B343-BFCC-B0E4E3543EF4}"/>
            </c:ext>
          </c:extLst>
        </c:ser>
        <c:ser>
          <c:idx val="6"/>
          <c:order val="6"/>
          <c:tx>
            <c:strRef>
              <c:f>'Part 1 calls'!$H$61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calls'!$I$61:$Y$61</c:f>
              <c:numCache>
                <c:formatCode>General</c:formatCode>
                <c:ptCount val="17"/>
                <c:pt idx="0">
                  <c:v>0.27599282724645069</c:v>
                </c:pt>
                <c:pt idx="1">
                  <c:v>1.0816670734477618</c:v>
                </c:pt>
                <c:pt idx="2">
                  <c:v>3.1240118425491601</c:v>
                </c:pt>
                <c:pt idx="3">
                  <c:v>7.0302629740001565</c:v>
                </c:pt>
                <c:pt idx="4">
                  <c:v>12.872223646374945</c:v>
                </c:pt>
                <c:pt idx="5">
                  <c:v>19.84077978526323</c:v>
                </c:pt>
                <c:pt idx="6">
                  <c:v>26.455122246358705</c:v>
                </c:pt>
                <c:pt idx="7">
                  <c:v>31.193622839956397</c:v>
                </c:pt>
                <c:pt idx="8">
                  <c:v>33.116087146110289</c:v>
                </c:pt>
                <c:pt idx="9">
                  <c:v>32.127364650068387</c:v>
                </c:pt>
                <c:pt idx="10">
                  <c:v>28.836210247206257</c:v>
                </c:pt>
                <c:pt idx="11">
                  <c:v>24.195071188978151</c:v>
                </c:pt>
                <c:pt idx="12">
                  <c:v>19.144349454685667</c:v>
                </c:pt>
                <c:pt idx="13">
                  <c:v>14.391583547437294</c:v>
                </c:pt>
                <c:pt idx="14">
                  <c:v>10.344072895213412</c:v>
                </c:pt>
                <c:pt idx="15">
                  <c:v>7.1476357882319848</c:v>
                </c:pt>
                <c:pt idx="16">
                  <c:v>4.7705729750376911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83-B343-BFCC-B0E4E3543EF4}"/>
            </c:ext>
          </c:extLst>
        </c:ser>
        <c:ser>
          <c:idx val="7"/>
          <c:order val="7"/>
          <c:tx>
            <c:strRef>
              <c:f>'Part 1 calls'!$H$62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calls'!$I$62:$Y$62</c:f>
              <c:numCache>
                <c:formatCode>General</c:formatCode>
                <c:ptCount val="17"/>
                <c:pt idx="0">
                  <c:v>0.52767323580423287</c:v>
                </c:pt>
                <c:pt idx="1">
                  <c:v>1.747824087361423</c:v>
                </c:pt>
                <c:pt idx="2">
                  <c:v>4.4314430319658937</c:v>
                </c:pt>
                <c:pt idx="3">
                  <c:v>9.0304222542602286</c:v>
                </c:pt>
                <c:pt idx="4">
                  <c:v>15.361396923011618</c:v>
                </c:pt>
                <c:pt idx="5">
                  <c:v>22.473489195639598</c:v>
                </c:pt>
                <c:pt idx="6">
                  <c:v>28.958655791598932</c:v>
                </c:pt>
                <c:pt idx="7">
                  <c:v>33.506087760385839</c:v>
                </c:pt>
                <c:pt idx="8">
                  <c:v>35.362780796997576</c:v>
                </c:pt>
                <c:pt idx="9">
                  <c:v>34.489758203526321</c:v>
                </c:pt>
                <c:pt idx="10">
                  <c:v>31.423293448931329</c:v>
                </c:pt>
                <c:pt idx="11">
                  <c:v>26.987963743602148</c:v>
                </c:pt>
                <c:pt idx="12">
                  <c:v>22.017713675499852</c:v>
                </c:pt>
                <c:pt idx="13">
                  <c:v>17.174563874605031</c:v>
                </c:pt>
                <c:pt idx="14">
                  <c:v>12.880363658795954</c:v>
                </c:pt>
                <c:pt idx="15">
                  <c:v>9.3320554875542943</c:v>
                </c:pt>
                <c:pt idx="16">
                  <c:v>6.5588544899120951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83-B343-BFCC-B0E4E3543EF4}"/>
            </c:ext>
          </c:extLst>
        </c:ser>
        <c:ser>
          <c:idx val="8"/>
          <c:order val="8"/>
          <c:tx>
            <c:strRef>
              <c:f>'Part 1 calls'!$H$63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calls'!$I$63:$Y$63</c:f>
              <c:numCache>
                <c:formatCode>General</c:formatCode>
                <c:ptCount val="17"/>
                <c:pt idx="0">
                  <c:v>0.87942603690305643</c:v>
                </c:pt>
                <c:pt idx="1">
                  <c:v>2.5556717355709897</c:v>
                </c:pt>
                <c:pt idx="2">
                  <c:v>5.855343505406033</c:v>
                </c:pt>
                <c:pt idx="3">
                  <c:v>11.045773801093519</c:v>
                </c:pt>
                <c:pt idx="4">
                  <c:v>17.744408367129644</c:v>
                </c:pt>
                <c:pt idx="5">
                  <c:v>24.927154208382696</c:v>
                </c:pt>
                <c:pt idx="6">
                  <c:v>31.27778048750498</c:v>
                </c:pt>
                <c:pt idx="7">
                  <c:v>35.661132714949467</c:v>
                </c:pt>
                <c:pt idx="8">
                  <c:v>37.465720501521851</c:v>
                </c:pt>
                <c:pt idx="9">
                  <c:v>36.692108772311308</c:v>
                </c:pt>
                <c:pt idx="10">
                  <c:v>33.821167077407694</c:v>
                </c:pt>
                <c:pt idx="11">
                  <c:v>29.5791479187344</c:v>
                </c:pt>
                <c:pt idx="12">
                  <c:v>24.712869597243461</c:v>
                </c:pt>
                <c:pt idx="13">
                  <c:v>19.838851664708947</c:v>
                </c:pt>
                <c:pt idx="14">
                  <c:v>15.378580943041786</c:v>
                </c:pt>
                <c:pt idx="15">
                  <c:v>11.560345928134989</c:v>
                </c:pt>
                <c:pt idx="16">
                  <c:v>8.4581782621465393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183-B343-BFCC-B0E4E3543EF4}"/>
            </c:ext>
          </c:extLst>
        </c:ser>
        <c:ser>
          <c:idx val="9"/>
          <c:order val="9"/>
          <c:tx>
            <c:strRef>
              <c:f>'Part 1 calls'!$H$64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calls'!$I$64:$Y$64</c:f>
              <c:numCache>
                <c:formatCode>General</c:formatCode>
                <c:ptCount val="17"/>
                <c:pt idx="0">
                  <c:v>1.3304138019690321</c:v>
                </c:pt>
                <c:pt idx="1">
                  <c:v>3.4820176623168373</c:v>
                </c:pt>
                <c:pt idx="2">
                  <c:v>7.3566173019582468</c:v>
                </c:pt>
                <c:pt idx="3">
                  <c:v>13.046879019121693</c:v>
                </c:pt>
                <c:pt idx="4">
                  <c:v>20.021019742744606</c:v>
                </c:pt>
                <c:pt idx="5">
                  <c:v>27.226666793458271</c:v>
                </c:pt>
                <c:pt idx="6">
                  <c:v>33.444289202725919</c:v>
                </c:pt>
                <c:pt idx="7">
                  <c:v>37.685326590063859</c:v>
                </c:pt>
                <c:pt idx="8">
                  <c:v>39.447933090788894</c:v>
                </c:pt>
                <c:pt idx="9">
                  <c:v>38.761333572648297</c:v>
                </c:pt>
                <c:pt idx="10">
                  <c:v>36.062690186445991</c:v>
                </c:pt>
                <c:pt idx="11">
                  <c:v>32.000599329500922</c:v>
                </c:pt>
                <c:pt idx="12">
                  <c:v>27.249840451049842</c:v>
                </c:pt>
                <c:pt idx="13">
                  <c:v>22.384180561821136</c:v>
                </c:pt>
                <c:pt idx="14">
                  <c:v>17.816680549913187</c:v>
                </c:pt>
                <c:pt idx="15">
                  <c:v>13.793855243276576</c:v>
                </c:pt>
                <c:pt idx="16">
                  <c:v>10.422116521119738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183-B343-BFCC-B0E4E3543EF4}"/>
            </c:ext>
          </c:extLst>
        </c:ser>
        <c:ser>
          <c:idx val="10"/>
          <c:order val="10"/>
          <c:tx>
            <c:strRef>
              <c:f>'Part 1 calls'!$H$65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calls'!$I$65:$Y$65</c:f>
              <c:numCache>
                <c:formatCode>General</c:formatCode>
                <c:ptCount val="17"/>
                <c:pt idx="0">
                  <c:v>9.5039378692490786</c:v>
                </c:pt>
                <c:pt idx="1">
                  <c:v>15.529982480581037</c:v>
                </c:pt>
                <c:pt idx="2">
                  <c:v>22.783353493544929</c:v>
                </c:pt>
                <c:pt idx="3">
                  <c:v>30.603936130050933</c:v>
                </c:pt>
                <c:pt idx="4">
                  <c:v>38.218237653015336</c:v>
                </c:pt>
                <c:pt idx="5">
                  <c:v>44.907193585775431</c:v>
                </c:pt>
                <c:pt idx="6">
                  <c:v>50.128257699490845</c:v>
                </c:pt>
                <c:pt idx="7">
                  <c:v>53.572622142458144</c:v>
                </c:pt>
                <c:pt idx="8">
                  <c:v>55.163706332541196</c:v>
                </c:pt>
                <c:pt idx="9">
                  <c:v>55.016040235427909</c:v>
                </c:pt>
                <c:pt idx="10">
                  <c:v>53.375807389774835</c:v>
                </c:pt>
                <c:pt idx="11">
                  <c:v>50.560061959578547</c:v>
                </c:pt>
                <c:pt idx="12">
                  <c:v>46.905195347320536</c:v>
                </c:pt>
                <c:pt idx="13">
                  <c:v>42.729288686192149</c:v>
                </c:pt>
                <c:pt idx="14">
                  <c:v>38.308718744736652</c:v>
                </c:pt>
                <c:pt idx="15">
                  <c:v>33.866932678137182</c:v>
                </c:pt>
                <c:pt idx="16">
                  <c:v>29.572311895113678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183-B343-BFCC-B0E4E3543EF4}"/>
            </c:ext>
          </c:extLst>
        </c:ser>
        <c:ser>
          <c:idx val="11"/>
          <c:order val="11"/>
          <c:tx>
            <c:strRef>
              <c:f>'Part 1 calls'!$H$66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calls'!$I$66:$Y$66</c:f>
              <c:numCache>
                <c:formatCode>General</c:formatCode>
                <c:ptCount val="17"/>
                <c:pt idx="0">
                  <c:v>19.822539521715424</c:v>
                </c:pt>
                <c:pt idx="1">
                  <c:v>27.684353502761887</c:v>
                </c:pt>
                <c:pt idx="2">
                  <c:v>35.965069029119618</c:v>
                </c:pt>
                <c:pt idx="3">
                  <c:v>44.036986538728897</c:v>
                </c:pt>
                <c:pt idx="4">
                  <c:v>51.343117209127108</c:v>
                </c:pt>
                <c:pt idx="5">
                  <c:v>57.460996039653594</c:v>
                </c:pt>
                <c:pt idx="6">
                  <c:v>62.127838620556737</c:v>
                </c:pt>
                <c:pt idx="7">
                  <c:v>65.235380338435675</c:v>
                </c:pt>
                <c:pt idx="8">
                  <c:v>66.805659306916709</c:v>
                </c:pt>
                <c:pt idx="9">
                  <c:v>66.958074580380099</c:v>
                </c:pt>
                <c:pt idx="10">
                  <c:v>65.875408995911101</c:v>
                </c:pt>
                <c:pt idx="11">
                  <c:v>63.773587385453709</c:v>
                </c:pt>
                <c:pt idx="12">
                  <c:v>60.877484538879074</c:v>
                </c:pt>
                <c:pt idx="13">
                  <c:v>57.403350128173741</c:v>
                </c:pt>
                <c:pt idx="14">
                  <c:v>53.547351271025079</c:v>
                </c:pt>
                <c:pt idx="15">
                  <c:v>49.479201943433772</c:v>
                </c:pt>
                <c:pt idx="16">
                  <c:v>45.339683503257291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183-B343-BFCC-B0E4E3543EF4}"/>
            </c:ext>
          </c:extLst>
        </c:ser>
        <c:ser>
          <c:idx val="12"/>
          <c:order val="12"/>
          <c:tx>
            <c:strRef>
              <c:f>'Part 1 calls'!$H$67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calls'!$I$67:$Y$67</c:f>
              <c:numCache>
                <c:formatCode>General</c:formatCode>
                <c:ptCount val="17"/>
                <c:pt idx="0">
                  <c:v>29.702348640212861</c:v>
                </c:pt>
                <c:pt idx="1">
                  <c:v>38.350386340459224</c:v>
                </c:pt>
                <c:pt idx="2">
                  <c:v>46.883083785060734</c:v>
                </c:pt>
                <c:pt idx="3">
                  <c:v>54.807676647351542</c:v>
                </c:pt>
                <c:pt idx="4">
                  <c:v>61.743560179207321</c:v>
                </c:pt>
                <c:pt idx="5">
                  <c:v>67.4381137049225</c:v>
                </c:pt>
                <c:pt idx="6">
                  <c:v>71.761533320686937</c:v>
                </c:pt>
                <c:pt idx="7">
                  <c:v>74.689059955632018</c:v>
                </c:pt>
                <c:pt idx="8">
                  <c:v>76.277563092104828</c:v>
                </c:pt>
                <c:pt idx="9">
                  <c:v>76.641397953105823</c:v>
                </c:pt>
                <c:pt idx="10">
                  <c:v>75.930525448770609</c:v>
                </c:pt>
                <c:pt idx="11">
                  <c:v>74.312371276717002</c:v>
                </c:pt>
                <c:pt idx="12">
                  <c:v>71.957857026067117</c:v>
                </c:pt>
                <c:pt idx="13">
                  <c:v>69.031398866778318</c:v>
                </c:pt>
                <c:pt idx="14">
                  <c:v>65.684337427013233</c:v>
                </c:pt>
                <c:pt idx="15">
                  <c:v>62.051137062691957</c:v>
                </c:pt>
                <c:pt idx="16">
                  <c:v>58.247693709726136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183-B343-BFCC-B0E4E3543EF4}"/>
            </c:ext>
          </c:extLst>
        </c:ser>
        <c:ser>
          <c:idx val="13"/>
          <c:order val="13"/>
          <c:tx>
            <c:strRef>
              <c:f>'Part 1 calls'!$H$68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calls'!$I$54:$Y$54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calls'!$I$68:$Y$68</c:f>
              <c:numCache>
                <c:formatCode>General</c:formatCode>
                <c:ptCount val="17"/>
                <c:pt idx="0">
                  <c:v>38.653493471867854</c:v>
                </c:pt>
                <c:pt idx="1">
                  <c:v>47.611297617669919</c:v>
                </c:pt>
                <c:pt idx="2">
                  <c:v>56.119836056730875</c:v>
                </c:pt>
                <c:pt idx="3">
                  <c:v>63.807941266216027</c:v>
                </c:pt>
                <c:pt idx="4">
                  <c:v>70.416816821210716</c:v>
                </c:pt>
                <c:pt idx="5">
                  <c:v>75.795571731518351</c:v>
                </c:pt>
                <c:pt idx="6">
                  <c:v>79.886620400360513</c:v>
                </c:pt>
                <c:pt idx="7">
                  <c:v>82.706631007195014</c:v>
                </c:pt>
                <c:pt idx="8">
                  <c:v>84.326874401380636</c:v>
                </c:pt>
                <c:pt idx="9">
                  <c:v>84.855257304543272</c:v>
                </c:pt>
                <c:pt idx="10">
                  <c:v>84.421159741338542</c:v>
                </c:pt>
                <c:pt idx="11">
                  <c:v>83.163420463033958</c:v>
                </c:pt>
                <c:pt idx="12">
                  <c:v>81.221348325030689</c:v>
                </c:pt>
                <c:pt idx="13">
                  <c:v>78.728394585688918</c:v>
                </c:pt>
                <c:pt idx="14">
                  <c:v>75.808024938338079</c:v>
                </c:pt>
                <c:pt idx="15">
                  <c:v>72.571322803396555</c:v>
                </c:pt>
                <c:pt idx="16">
                  <c:v>69.115896371880396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183-B343-BFCC-B0E4E354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953983"/>
        <c:axId val="1496952191"/>
        <c:axId val="1877264383"/>
      </c:line3DChart>
      <c:catAx>
        <c:axId val="14969539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6952191"/>
        <c:crosses val="autoZero"/>
        <c:auto val="1"/>
        <c:lblAlgn val="ctr"/>
        <c:lblOffset val="100"/>
        <c:noMultiLvlLbl val="0"/>
      </c:catAx>
      <c:valAx>
        <c:axId val="149695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6953983"/>
        <c:crosses val="autoZero"/>
        <c:crossBetween val="between"/>
      </c:valAx>
      <c:serAx>
        <c:axId val="18772643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69521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</a:t>
            </a:r>
            <a:r>
              <a:rPr lang="it-IT" baseline="0"/>
              <a:t>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calls'!$AC$55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calls'!$AD$55:$AT$55</c:f>
              <c:numCache>
                <c:formatCode>General</c:formatCode>
                <c:ptCount val="17"/>
                <c:pt idx="0">
                  <c:v>3.5345400505313539E-56</c:v>
                </c:pt>
                <c:pt idx="1">
                  <c:v>7.8904162138229805E-40</c:v>
                </c:pt>
                <c:pt idx="2">
                  <c:v>3.5731275340966639E-27</c:v>
                </c:pt>
                <c:pt idx="3">
                  <c:v>1.554438392994746E-17</c:v>
                </c:pt>
                <c:pt idx="4">
                  <c:v>2.1699726533395633E-10</c:v>
                </c:pt>
                <c:pt idx="5">
                  <c:v>2.5138056835713343E-5</c:v>
                </c:pt>
                <c:pt idx="6">
                  <c:v>5.161593864477456E-2</c:v>
                </c:pt>
                <c:pt idx="7">
                  <c:v>3.4693238841801244</c:v>
                </c:pt>
                <c:pt idx="8">
                  <c:v>12.60147797002052</c:v>
                </c:pt>
                <c:pt idx="9">
                  <c:v>3.7403491562746787</c:v>
                </c:pt>
                <c:pt idx="10">
                  <c:v>0.12798321316875713</c:v>
                </c:pt>
                <c:pt idx="11">
                  <c:v>6.7367205338682843E-4</c:v>
                </c:pt>
                <c:pt idx="12">
                  <c:v>6.9599615016725279E-7</c:v>
                </c:pt>
                <c:pt idx="13">
                  <c:v>1.735978122671637E-10</c:v>
                </c:pt>
                <c:pt idx="14">
                  <c:v>1.2477221902307329E-14</c:v>
                </c:pt>
                <c:pt idx="15">
                  <c:v>3.0086617304103603E-19</c:v>
                </c:pt>
                <c:pt idx="16">
                  <c:v>2.7755174863825501E-24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1-CA47-BC25-1B1C79A0270B}"/>
            </c:ext>
          </c:extLst>
        </c:ser>
        <c:ser>
          <c:idx val="1"/>
          <c:order val="1"/>
          <c:tx>
            <c:strRef>
              <c:f>'Part 1 calls'!$AC$56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calls'!$AD$56:$AT$56</c:f>
              <c:numCache>
                <c:formatCode>General</c:formatCode>
                <c:ptCount val="17"/>
                <c:pt idx="0">
                  <c:v>1.0711882489098269E-27</c:v>
                </c:pt>
                <c:pt idx="1">
                  <c:v>1.5687681949729762E-19</c:v>
                </c:pt>
                <c:pt idx="2">
                  <c:v>3.2770789744139771E-13</c:v>
                </c:pt>
                <c:pt idx="3">
                  <c:v>2.1245091218449445E-8</c:v>
                </c:pt>
                <c:pt idx="4">
                  <c:v>7.8107330033859321E-5</c:v>
                </c:pt>
                <c:pt idx="5">
                  <c:v>2.6184740803568276E-2</c:v>
                </c:pt>
                <c:pt idx="6">
                  <c:v>1.1696837223341143</c:v>
                </c:pt>
                <c:pt idx="7">
                  <c:v>9.4608178373498504</c:v>
                </c:pt>
                <c:pt idx="8">
                  <c:v>17.80114349570453</c:v>
                </c:pt>
                <c:pt idx="9">
                  <c:v>9.5806705523719593</c:v>
                </c:pt>
                <c:pt idx="10">
                  <c:v>1.7517232418946858</c:v>
                </c:pt>
                <c:pt idx="11">
                  <c:v>0.12568601723670414</c:v>
                </c:pt>
                <c:pt idx="12">
                  <c:v>3.9971023224294197E-3</c:v>
                </c:pt>
                <c:pt idx="13">
                  <c:v>6.2485864027086961E-5</c:v>
                </c:pt>
                <c:pt idx="14">
                  <c:v>5.2457823818334003E-7</c:v>
                </c:pt>
                <c:pt idx="15">
                  <c:v>2.5517633623765552E-9</c:v>
                </c:pt>
                <c:pt idx="16">
                  <c:v>7.680281421893489E-12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1-CA47-BC25-1B1C79A0270B}"/>
            </c:ext>
          </c:extLst>
        </c:ser>
        <c:ser>
          <c:idx val="2"/>
          <c:order val="2"/>
          <c:tx>
            <c:strRef>
              <c:f>'Part 1 calls'!$AC$57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calls'!$AD$57:$AT$57</c:f>
              <c:numCache>
                <c:formatCode>General</c:formatCode>
                <c:ptCount val="17"/>
                <c:pt idx="0">
                  <c:v>3.6413157535064409E-18</c:v>
                </c:pt>
                <c:pt idx="1">
                  <c:v>9.9829747601652223E-13</c:v>
                </c:pt>
                <c:pt idx="2">
                  <c:v>1.611318080490916E-8</c:v>
                </c:pt>
                <c:pt idx="3">
                  <c:v>2.5706041526295763E-5</c:v>
                </c:pt>
                <c:pt idx="4">
                  <c:v>6.0578597213752049E-3</c:v>
                </c:pt>
                <c:pt idx="5">
                  <c:v>0.28940234587731301</c:v>
                </c:pt>
                <c:pt idx="6">
                  <c:v>3.6089280836016511</c:v>
                </c:pt>
                <c:pt idx="7">
                  <c:v>14.411356711779723</c:v>
                </c:pt>
                <c:pt idx="8">
                  <c:v>21.777345900985232</c:v>
                </c:pt>
                <c:pt idx="9">
                  <c:v>14.292407924672718</c:v>
                </c:pt>
                <c:pt idx="10">
                  <c:v>4.5686150128548206</c:v>
                </c:pt>
                <c:pt idx="11">
                  <c:v>0.78303531906443402</c:v>
                </c:pt>
                <c:pt idx="12">
                  <c:v>7.8044023598122875E-2</c:v>
                </c:pt>
                <c:pt idx="13">
                  <c:v>4.8462877771001354E-3</c:v>
                </c:pt>
                <c:pt idx="14">
                  <c:v>1.9887917206308568E-4</c:v>
                </c:pt>
                <c:pt idx="15">
                  <c:v>5.6738474150032411E-6</c:v>
                </c:pt>
                <c:pt idx="16">
                  <c:v>1.1756275778131106E-7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1-CA47-BC25-1B1C79A0270B}"/>
            </c:ext>
          </c:extLst>
        </c:ser>
        <c:ser>
          <c:idx val="3"/>
          <c:order val="3"/>
          <c:tx>
            <c:strRef>
              <c:f>'Part 1 calls'!$AC$58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calls'!$AD$58:$AT$58</c:f>
              <c:numCache>
                <c:formatCode>General</c:formatCode>
                <c:ptCount val="17"/>
                <c:pt idx="0">
                  <c:v>2.213894253862579E-13</c:v>
                </c:pt>
                <c:pt idx="1">
                  <c:v>2.6261095230764713E-9</c:v>
                </c:pt>
                <c:pt idx="2">
                  <c:v>3.7258960102381547E-6</c:v>
                </c:pt>
                <c:pt idx="3">
                  <c:v>9.3245046528342434E-4</c:v>
                </c:pt>
                <c:pt idx="4">
                  <c:v>5.5633346565513969E-2</c:v>
                </c:pt>
                <c:pt idx="5">
                  <c:v>1.0033008819090716</c:v>
                </c:pt>
                <c:pt idx="6">
                  <c:v>6.6105163163659943</c:v>
                </c:pt>
                <c:pt idx="7">
                  <c:v>18.547920454659685</c:v>
                </c:pt>
                <c:pt idx="8">
                  <c:v>25.118039341108513</c:v>
                </c:pt>
                <c:pt idx="9">
                  <c:v>18.20381504187749</c:v>
                </c:pt>
                <c:pt idx="10">
                  <c:v>7.6938968689493707</c:v>
                </c:pt>
                <c:pt idx="11">
                  <c:v>2.0381249613524028</c:v>
                </c:pt>
                <c:pt idx="12">
                  <c:v>0.3596160837798813</c:v>
                </c:pt>
                <c:pt idx="13">
                  <c:v>4.4506677252410989E-2</c:v>
                </c:pt>
                <c:pt idx="14">
                  <c:v>4.0381373145575517E-3</c:v>
                </c:pt>
                <c:pt idx="15">
                  <c:v>2.7899636340967843E-4</c:v>
                </c:pt>
                <c:pt idx="16">
                  <c:v>1.5167651578010651E-5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1-CA47-BC25-1B1C79A0270B}"/>
            </c:ext>
          </c:extLst>
        </c:ser>
        <c:ser>
          <c:idx val="4"/>
          <c:order val="4"/>
          <c:tx>
            <c:strRef>
              <c:f>'Part 1 calls'!$AC$59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calls'!$AD$59:$AT$59</c:f>
              <c:numCache>
                <c:formatCode>General</c:formatCode>
                <c:ptCount val="17"/>
                <c:pt idx="0">
                  <c:v>1.6837357993007972E-10</c:v>
                </c:pt>
                <c:pt idx="1">
                  <c:v>3.0347470957467907E-7</c:v>
                </c:pt>
                <c:pt idx="2">
                  <c:v>1.0010098526373569E-4</c:v>
                </c:pt>
                <c:pt idx="3">
                  <c:v>8.2443811591708764E-3</c:v>
                </c:pt>
                <c:pt idx="4">
                  <c:v>0.21573604959593176</c:v>
                </c:pt>
                <c:pt idx="5">
                  <c:v>2.1685359940348929</c:v>
                </c:pt>
                <c:pt idx="6">
                  <c:v>9.7437835238203121</c:v>
                </c:pt>
                <c:pt idx="7">
                  <c:v>22.122153003014297</c:v>
                </c:pt>
                <c:pt idx="8">
                  <c:v>28.051246304186257</c:v>
                </c:pt>
                <c:pt idx="9">
                  <c:v>21.576180864022366</c:v>
                </c:pt>
                <c:pt idx="10">
                  <c:v>10.783044375026947</c:v>
                </c:pt>
                <c:pt idx="11">
                  <c:v>3.7091844871351078</c:v>
                </c:pt>
                <c:pt idx="12">
                  <c:v>0.92196988092317333</c:v>
                </c:pt>
                <c:pt idx="13">
                  <c:v>0.17258883967674513</c:v>
                </c:pt>
                <c:pt idx="14">
                  <c:v>2.5206590353609039E-2</c:v>
                </c:pt>
                <c:pt idx="15">
                  <c:v>2.9607997104108361E-3</c:v>
                </c:pt>
                <c:pt idx="16">
                  <c:v>2.8713454403848714E-4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1-CA47-BC25-1B1C79A0270B}"/>
            </c:ext>
          </c:extLst>
        </c:ser>
        <c:ser>
          <c:idx val="5"/>
          <c:order val="5"/>
          <c:tx>
            <c:strRef>
              <c:f>'Part 1 calls'!$AC$60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calls'!$AD$60:$AT$60</c:f>
              <c:numCache>
                <c:formatCode>General</c:formatCode>
                <c:ptCount val="17"/>
                <c:pt idx="0">
                  <c:v>1.4260773627185632E-8</c:v>
                </c:pt>
                <c:pt idx="1">
                  <c:v>7.3190274501949836E-6</c:v>
                </c:pt>
                <c:pt idx="2">
                  <c:v>9.1278366359241259E-4</c:v>
                </c:pt>
                <c:pt idx="3">
                  <c:v>3.5834719979831717E-2</c:v>
                </c:pt>
                <c:pt idx="4">
                  <c:v>0.54130101077600301</c:v>
                </c:pt>
                <c:pt idx="5">
                  <c:v>3.6850893362287711</c:v>
                </c:pt>
                <c:pt idx="6">
                  <c:v>12.828628098948194</c:v>
                </c:pt>
                <c:pt idx="7">
                  <c:v>25.291422770740372</c:v>
                </c:pt>
                <c:pt idx="8">
                  <c:v>30.69405049619952</c:v>
                </c:pt>
                <c:pt idx="9">
                  <c:v>24.564453432089618</c:v>
                </c:pt>
                <c:pt idx="10">
                  <c:v>13.727638643411783</c:v>
                </c:pt>
                <c:pt idx="11">
                  <c:v>5.6204093069575221</c:v>
                </c:pt>
                <c:pt idx="12">
                  <c:v>1.7556027112756616</c:v>
                </c:pt>
                <c:pt idx="13">
                  <c:v>0.43304080862080163</c:v>
                </c:pt>
                <c:pt idx="14">
                  <c:v>8.6868143918896579E-2</c:v>
                </c:pt>
                <c:pt idx="15">
                  <c:v>1.4534734818581415E-2</c:v>
                </c:pt>
                <c:pt idx="16">
                  <c:v>2.0732639788992959E-3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01-CA47-BC25-1B1C79A0270B}"/>
            </c:ext>
          </c:extLst>
        </c:ser>
        <c:ser>
          <c:idx val="6"/>
          <c:order val="6"/>
          <c:tx>
            <c:strRef>
              <c:f>'Part 1 calls'!$AC$61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calls'!$AD$61:$AT$61</c:f>
              <c:numCache>
                <c:formatCode>General</c:formatCode>
                <c:ptCount val="17"/>
                <c:pt idx="0">
                  <c:v>3.4375360039163328E-7</c:v>
                </c:pt>
                <c:pt idx="1">
                  <c:v>7.1926239310786806E-5</c:v>
                </c:pt>
                <c:pt idx="2">
                  <c:v>4.4780256387178217E-3</c:v>
                </c:pt>
                <c:pt idx="3">
                  <c:v>0.10355649356059844</c:v>
                </c:pt>
                <c:pt idx="4">
                  <c:v>1.0564824233400871</c:v>
                </c:pt>
                <c:pt idx="5">
                  <c:v>5.4448949916165592</c:v>
                </c:pt>
                <c:pt idx="6">
                  <c:v>15.796405593882865</c:v>
                </c:pt>
                <c:pt idx="7">
                  <c:v>28.155342127741203</c:v>
                </c:pt>
                <c:pt idx="8">
                  <c:v>33.116087146110289</c:v>
                </c:pt>
                <c:pt idx="9">
                  <c:v>27.264617640732549</c:v>
                </c:pt>
                <c:pt idx="10">
                  <c:v>16.502382731650936</c:v>
                </c:pt>
                <c:pt idx="11">
                  <c:v>7.6514510849957471</c:v>
                </c:pt>
                <c:pt idx="12">
                  <c:v>2.8136724172845171</c:v>
                </c:pt>
                <c:pt idx="13">
                  <c:v>0.84518593867206881</c:v>
                </c:pt>
                <c:pt idx="14">
                  <c:v>0.21268370180966031</c:v>
                </c:pt>
                <c:pt idx="15">
                  <c:v>4.5817559828766945E-2</c:v>
                </c:pt>
                <c:pt idx="16">
                  <c:v>8.6094036586961634E-3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01-CA47-BC25-1B1C79A0270B}"/>
            </c:ext>
          </c:extLst>
        </c:ser>
        <c:ser>
          <c:idx val="7"/>
          <c:order val="7"/>
          <c:tx>
            <c:strRef>
              <c:f>'Part 1 calls'!$AC$62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calls'!$AD$62:$AT$62</c:f>
              <c:numCache>
                <c:formatCode>General</c:formatCode>
                <c:ptCount val="17"/>
                <c:pt idx="0">
                  <c:v>3.7721952577593389E-6</c:v>
                </c:pt>
                <c:pt idx="1">
                  <c:v>4.0269999011754233E-4</c:v>
                </c:pt>
                <c:pt idx="2">
                  <c:v>1.4889989640669983E-2</c:v>
                </c:pt>
                <c:pt idx="3">
                  <c:v>0.23152671506102002</c:v>
                </c:pt>
                <c:pt idx="4">
                  <c:v>1.7597405298560351</c:v>
                </c:pt>
                <c:pt idx="5">
                  <c:v>7.3606201526075647</c:v>
                </c:pt>
                <c:pt idx="6">
                  <c:v>18.625614252560368</c:v>
                </c:pt>
                <c:pt idx="7">
                  <c:v>30.78011597429861</c:v>
                </c:pt>
                <c:pt idx="8">
                  <c:v>35.362780796997576</c:v>
                </c:pt>
                <c:pt idx="9">
                  <c:v>29.739757516778266</c:v>
                </c:pt>
                <c:pt idx="10">
                  <c:v>19.110786021475306</c:v>
                </c:pt>
                <c:pt idx="11">
                  <c:v>9.7273487048199261</c:v>
                </c:pt>
                <c:pt idx="12">
                  <c:v>4.0427583513910719</c:v>
                </c:pt>
                <c:pt idx="13">
                  <c:v>1.407792423884823</c:v>
                </c:pt>
                <c:pt idx="14">
                  <c:v>0.41991195969349704</c:v>
                </c:pt>
                <c:pt idx="15">
                  <c:v>0.10933755800638381</c:v>
                </c:pt>
                <c:pt idx="16">
                  <c:v>2.5262754622349386E-2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01-CA47-BC25-1B1C79A0270B}"/>
            </c:ext>
          </c:extLst>
        </c:ser>
        <c:ser>
          <c:idx val="8"/>
          <c:order val="8"/>
          <c:tx>
            <c:strRef>
              <c:f>'Part 1 calls'!$AC$63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calls'!$AD$63:$AT$63</c:f>
              <c:numCache>
                <c:formatCode>General</c:formatCode>
                <c:ptCount val="17"/>
                <c:pt idx="0">
                  <c:v>2.4471925152833628E-5</c:v>
                </c:pt>
                <c:pt idx="1">
                  <c:v>1.5479180979646758E-3</c:v>
                </c:pt>
                <c:pt idx="2">
                  <c:v>3.8164553510493977E-2</c:v>
                </c:pt>
                <c:pt idx="3">
                  <c:v>0.43580320477808066</c:v>
                </c:pt>
                <c:pt idx="4">
                  <c:v>2.6345645732472498</c:v>
                </c:pt>
                <c:pt idx="5">
                  <c:v>9.3682861219506979</c:v>
                </c:pt>
                <c:pt idx="6">
                  <c:v>21.314624132838873</c:v>
                </c:pt>
                <c:pt idx="7">
                  <c:v>33.21183411449131</c:v>
                </c:pt>
                <c:pt idx="8">
                  <c:v>37.465720501521851</c:v>
                </c:pt>
                <c:pt idx="9">
                  <c:v>32.03350599422987</c:v>
                </c:pt>
                <c:pt idx="10">
                  <c:v>21.56567544412437</c:v>
                </c:pt>
                <c:pt idx="11">
                  <c:v>11.803032678147579</c:v>
                </c:pt>
                <c:pt idx="12">
                  <c:v>5.3953369730765104</c:v>
                </c:pt>
                <c:pt idx="13">
                  <c:v>2.1076516585977934</c:v>
                </c:pt>
                <c:pt idx="14">
                  <c:v>0.71754270940931397</c:v>
                </c:pt>
                <c:pt idx="15">
                  <c:v>0.21651121661498729</c:v>
                </c:pt>
                <c:pt idx="16">
                  <c:v>5.8750695962987917E-2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01-CA47-BC25-1B1C79A0270B}"/>
            </c:ext>
          </c:extLst>
        </c:ser>
        <c:ser>
          <c:idx val="9"/>
          <c:order val="9"/>
          <c:tx>
            <c:strRef>
              <c:f>'Part 1 calls'!$AC$64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calls'!$AD$64:$AT$64</c:f>
              <c:numCache>
                <c:formatCode>General</c:formatCode>
                <c:ptCount val="17"/>
                <c:pt idx="0">
                  <c:v>1.0981137573304779E-4</c:v>
                </c:pt>
                <c:pt idx="1">
                  <c:v>4.5696305078151925E-3</c:v>
                </c:pt>
                <c:pt idx="2">
                  <c:v>8.1469084911896597E-2</c:v>
                </c:pt>
                <c:pt idx="3">
                  <c:v>0.7267112565693663</c:v>
                </c:pt>
                <c:pt idx="4">
                  <c:v>3.6579438640896007</c:v>
                </c:pt>
                <c:pt idx="5">
                  <c:v>11.422910084499065</c:v>
                </c:pt>
                <c:pt idx="6">
                  <c:v>23.869941692283714</c:v>
                </c:pt>
                <c:pt idx="7">
                  <c:v>35.483868952949422</c:v>
                </c:pt>
                <c:pt idx="8">
                  <c:v>39.447933090788894</c:v>
                </c:pt>
                <c:pt idx="9">
                  <c:v>34.177330202865697</c:v>
                </c:pt>
                <c:pt idx="10">
                  <c:v>23.882000168449917</c:v>
                </c:pt>
                <c:pt idx="11">
                  <c:v>13.852014243074295</c:v>
                </c:pt>
                <c:pt idx="12">
                  <c:v>6.8329969593104805</c:v>
                </c:pt>
                <c:pt idx="13">
                  <c:v>2.9263550912716783</c:v>
                </c:pt>
                <c:pt idx="14">
                  <c:v>1.1074379087941755</c:v>
                </c:pt>
                <c:pt idx="15">
                  <c:v>0.3759838968894918</c:v>
                </c:pt>
                <c:pt idx="16">
                  <c:v>0.11602695242521623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01-CA47-BC25-1B1C79A0270B}"/>
            </c:ext>
          </c:extLst>
        </c:ser>
        <c:ser>
          <c:idx val="10"/>
          <c:order val="10"/>
          <c:tx>
            <c:strRef>
              <c:f>'Part 1 calls'!$AC$65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calls'!$AD$65:$AT$65</c:f>
              <c:numCache>
                <c:formatCode>General</c:formatCode>
                <c:ptCount val="17"/>
                <c:pt idx="0">
                  <c:v>0.10457482945948283</c:v>
                </c:pt>
                <c:pt idx="1">
                  <c:v>0.66123147004512139</c:v>
                </c:pt>
                <c:pt idx="2">
                  <c:v>2.7407108585812279</c:v>
                </c:pt>
                <c:pt idx="3">
                  <c:v>8.0455722498671705</c:v>
                </c:pt>
                <c:pt idx="4">
                  <c:v>17.761814611091623</c:v>
                </c:pt>
                <c:pt idx="5">
                  <c:v>30.915406339357617</c:v>
                </c:pt>
                <c:pt idx="6">
                  <c:v>44.056131835136</c:v>
                </c:pt>
                <c:pt idx="7">
                  <c:v>52.993901401176288</c:v>
                </c:pt>
                <c:pt idx="8">
                  <c:v>55.163706332541196</c:v>
                </c:pt>
                <c:pt idx="9">
                  <c:v>50.723948597035537</c:v>
                </c:pt>
                <c:pt idx="10">
                  <c:v>41.911044907526822</c:v>
                </c:pt>
                <c:pt idx="11">
                  <c:v>31.566273567519072</c:v>
                </c:pt>
                <c:pt idx="12">
                  <c:v>21.93570584135686</c:v>
                </c:pt>
                <c:pt idx="13">
                  <c:v>14.209451688873289</c:v>
                </c:pt>
                <c:pt idx="14">
                  <c:v>8.655958511773111</c:v>
                </c:pt>
                <c:pt idx="15">
                  <c:v>4.9962307922047975</c:v>
                </c:pt>
                <c:pt idx="16">
                  <c:v>2.7503549451983313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01-CA47-BC25-1B1C79A0270B}"/>
            </c:ext>
          </c:extLst>
        </c:ser>
        <c:ser>
          <c:idx val="11"/>
          <c:order val="11"/>
          <c:tx>
            <c:strRef>
              <c:f>'Part 1 calls'!$AC$66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calls'!$AD$66:$AT$66</c:f>
              <c:numCache>
                <c:formatCode>General</c:formatCode>
                <c:ptCount val="17"/>
                <c:pt idx="0">
                  <c:v>1.1142189253647161</c:v>
                </c:pt>
                <c:pt idx="1">
                  <c:v>3.7594797189649576</c:v>
                </c:pt>
                <c:pt idx="2">
                  <c:v>9.5815720461128873</c:v>
                </c:pt>
                <c:pt idx="3">
                  <c:v>19.419529853530502</c:v>
                </c:pt>
                <c:pt idx="4">
                  <c:v>32.57273204061763</c:v>
                </c:pt>
                <c:pt idx="5">
                  <c:v>46.657820462206054</c:v>
                </c:pt>
                <c:pt idx="6">
                  <c:v>58.525004130384154</c:v>
                </c:pt>
                <c:pt idx="7">
                  <c:v>65.600571654605972</c:v>
                </c:pt>
                <c:pt idx="8">
                  <c:v>66.805659306916709</c:v>
                </c:pt>
                <c:pt idx="9">
                  <c:v>62.659671715556563</c:v>
                </c:pt>
                <c:pt idx="10">
                  <c:v>54.747527123167771</c:v>
                </c:pt>
                <c:pt idx="11">
                  <c:v>44.985946919602924</c:v>
                </c:pt>
                <c:pt idx="12">
                  <c:v>35.044120413266619</c:v>
                </c:pt>
                <c:pt idx="13">
                  <c:v>26.058185632494105</c:v>
                </c:pt>
                <c:pt idx="14">
                  <c:v>18.603608061799033</c:v>
                </c:pt>
                <c:pt idx="15">
                  <c:v>12.815935968047901</c:v>
                </c:pt>
                <c:pt idx="16">
                  <c:v>8.5562234911034327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01-CA47-BC25-1B1C79A0270B}"/>
            </c:ext>
          </c:extLst>
        </c:ser>
        <c:ser>
          <c:idx val="12"/>
          <c:order val="12"/>
          <c:tx>
            <c:strRef>
              <c:f>'Part 1 calls'!$AC$67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calls'!$AD$67:$AT$67</c:f>
              <c:numCache>
                <c:formatCode>General</c:formatCode>
                <c:ptCount val="17"/>
                <c:pt idx="0">
                  <c:v>3.7735130894815958</c:v>
                </c:pt>
                <c:pt idx="1">
                  <c:v>9.3007615269544957</c:v>
                </c:pt>
                <c:pt idx="2">
                  <c:v>18.587765767930996</c:v>
                </c:pt>
                <c:pt idx="3">
                  <c:v>31.302804195460354</c:v>
                </c:pt>
                <c:pt idx="4">
                  <c:v>45.765821306048551</c:v>
                </c:pt>
                <c:pt idx="5">
                  <c:v>59.470671051964629</c:v>
                </c:pt>
                <c:pt idx="6">
                  <c:v>69.986237314498325</c:v>
                </c:pt>
                <c:pt idx="7">
                  <c:v>75.727241342456978</c:v>
                </c:pt>
                <c:pt idx="8">
                  <c:v>76.277563092104828</c:v>
                </c:pt>
                <c:pt idx="9">
                  <c:v>72.256894624086897</c:v>
                </c:pt>
                <c:pt idx="10">
                  <c:v>64.921143972907117</c:v>
                </c:pt>
                <c:pt idx="11">
                  <c:v>55.719510030463624</c:v>
                </c:pt>
                <c:pt idx="12">
                  <c:v>45.956885215668855</c:v>
                </c:pt>
                <c:pt idx="13">
                  <c:v>36.612657044838834</c:v>
                </c:pt>
                <c:pt idx="14">
                  <c:v>28.297093897443343</c:v>
                </c:pt>
                <c:pt idx="15">
                  <c:v>21.296483325512209</c:v>
                </c:pt>
                <c:pt idx="16">
                  <c:v>15.657861761389583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01-CA47-BC25-1B1C79A0270B}"/>
            </c:ext>
          </c:extLst>
        </c:ser>
        <c:ser>
          <c:idx val="13"/>
          <c:order val="13"/>
          <c:tx>
            <c:strRef>
              <c:f>'Part 1 calls'!$AC$68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calls'!$AD$54:$AT$54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calls'!$AD$68:$AT$68</c:f>
              <c:numCache>
                <c:formatCode>General</c:formatCode>
                <c:ptCount val="17"/>
                <c:pt idx="0">
                  <c:v>8.0099557916829358</c:v>
                </c:pt>
                <c:pt idx="1">
                  <c:v>16.352043251983776</c:v>
                </c:pt>
                <c:pt idx="2">
                  <c:v>28.243629412307229</c:v>
                </c:pt>
                <c:pt idx="3">
                  <c:v>42.560725743199953</c:v>
                </c:pt>
                <c:pt idx="4">
                  <c:v>57.302367456033558</c:v>
                </c:pt>
                <c:pt idx="5">
                  <c:v>70.234247577560907</c:v>
                </c:pt>
                <c:pt idx="6">
                  <c:v>79.548944334653157</c:v>
                </c:pt>
                <c:pt idx="7">
                  <c:v>84.270952755154966</c:v>
                </c:pt>
                <c:pt idx="8">
                  <c:v>84.326874401380636</c:v>
                </c:pt>
                <c:pt idx="9">
                  <c:v>80.358729178703982</c:v>
                </c:pt>
                <c:pt idx="10">
                  <c:v>73.420648836426452</c:v>
                </c:pt>
                <c:pt idx="11">
                  <c:v>64.682173138278316</c:v>
                </c:pt>
                <c:pt idx="12">
                  <c:v>55.209129543356312</c:v>
                </c:pt>
                <c:pt idx="13">
                  <c:v>45.841893964826838</c:v>
                </c:pt>
                <c:pt idx="14">
                  <c:v>37.157602890379685</c:v>
                </c:pt>
                <c:pt idx="15">
                  <c:v>29.489098382107908</c:v>
                </c:pt>
                <c:pt idx="16">
                  <c:v>22.973211747964488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01-CA47-BC25-1B1C79A0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892095"/>
        <c:axId val="1884886719"/>
        <c:axId val="1877490687"/>
      </c:line3DChart>
      <c:catAx>
        <c:axId val="1884892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886719"/>
        <c:crosses val="autoZero"/>
        <c:auto val="1"/>
        <c:lblAlgn val="ctr"/>
        <c:lblOffset val="100"/>
        <c:noMultiLvlLbl val="0"/>
      </c:catAx>
      <c:valAx>
        <c:axId val="188488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892095"/>
        <c:crosses val="autoZero"/>
        <c:crossBetween val="between"/>
      </c:valAx>
      <c:serAx>
        <c:axId val="18774906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8867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</a:t>
            </a:r>
            <a:r>
              <a:rPr lang="it-IT" baseline="0"/>
              <a:t>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calls'!$H$142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calls'!$I$142:$Y$142</c:f>
              <c:numCache>
                <c:formatCode>General</c:formatCode>
                <c:ptCount val="17"/>
                <c:pt idx="0">
                  <c:v>5.2241467496489727E-6</c:v>
                </c:pt>
                <c:pt idx="1">
                  <c:v>3.5480919020595768E-4</c:v>
                </c:pt>
                <c:pt idx="2">
                  <c:v>9.3436309317573522E-3</c:v>
                </c:pt>
                <c:pt idx="3">
                  <c:v>0.11344357018572764</c:v>
                </c:pt>
                <c:pt idx="4">
                  <c:v>0.72629446543345488</c:v>
                </c:pt>
                <c:pt idx="5">
                  <c:v>2.7256339776935321</c:v>
                </c:pt>
                <c:pt idx="6">
                  <c:v>6.5245486618251372</c:v>
                </c:pt>
                <c:pt idx="7">
                  <c:v>10.666888149822517</c:v>
                </c:pt>
                <c:pt idx="8">
                  <c:v>12.594479093238515</c:v>
                </c:pt>
                <c:pt idx="9">
                  <c:v>11.245674973430274</c:v>
                </c:pt>
                <c:pt idx="10">
                  <c:v>7.8904665626496842</c:v>
                </c:pt>
                <c:pt idx="11">
                  <c:v>4.4925546239266927</c:v>
                </c:pt>
                <c:pt idx="12">
                  <c:v>2.1327896525065615</c:v>
                </c:pt>
                <c:pt idx="13">
                  <c:v>0.86394717581212621</c:v>
                </c:pt>
                <c:pt idx="14">
                  <c:v>0.30456280025937243</c:v>
                </c:pt>
                <c:pt idx="15">
                  <c:v>9.5033945464502889E-2</c:v>
                </c:pt>
                <c:pt idx="16">
                  <c:v>2.6634878733576301E-2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944F-A320-849C4AD4FD1B}"/>
            </c:ext>
          </c:extLst>
        </c:ser>
        <c:ser>
          <c:idx val="1"/>
          <c:order val="1"/>
          <c:tx>
            <c:strRef>
              <c:f>'Part 1 calls'!$H$143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calls'!$I$143:$Y$143</c:f>
              <c:numCache>
                <c:formatCode>General</c:formatCode>
                <c:ptCount val="17"/>
                <c:pt idx="0">
                  <c:v>1.0369210092575671E-2</c:v>
                </c:pt>
                <c:pt idx="1">
                  <c:v>8.6795002193490151E-2</c:v>
                </c:pt>
                <c:pt idx="2">
                  <c:v>0.45186973977930972</c:v>
                </c:pt>
                <c:pt idx="3">
                  <c:v>1.5957745936388483</c:v>
                </c:pt>
                <c:pt idx="4">
                  <c:v>4.0887259297741139</c:v>
                </c:pt>
                <c:pt idx="5">
                  <c:v>8.0146565468207562</c:v>
                </c:pt>
                <c:pt idx="6">
                  <c:v>12.538719707021434</c:v>
                </c:pt>
                <c:pt idx="7">
                  <c:v>16.201774980597236</c:v>
                </c:pt>
                <c:pt idx="8">
                  <c:v>17.78137543166752</c:v>
                </c:pt>
                <c:pt idx="9">
                  <c:v>16.962433257069016</c:v>
                </c:pt>
                <c:pt idx="10">
                  <c:v>14.337557290741064</c:v>
                </c:pt>
                <c:pt idx="11">
                  <c:v>10.912500779394538</c:v>
                </c:pt>
                <c:pt idx="12">
                  <c:v>7.5813336945485403</c:v>
                </c:pt>
                <c:pt idx="13">
                  <c:v>4.8636515735941721</c:v>
                </c:pt>
                <c:pt idx="14">
                  <c:v>2.9098414567491484</c:v>
                </c:pt>
                <c:pt idx="15">
                  <c:v>1.6374094930515455</c:v>
                </c:pt>
                <c:pt idx="16">
                  <c:v>0.87300030082944957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944F-A320-849C4AD4FD1B}"/>
            </c:ext>
          </c:extLst>
        </c:ser>
        <c:ser>
          <c:idx val="2"/>
          <c:order val="2"/>
          <c:tx>
            <c:strRef>
              <c:f>'Part 1 calls'!$H$144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calls'!$I$144:$Y$144</c:f>
              <c:numCache>
                <c:formatCode>General</c:formatCode>
                <c:ptCount val="17"/>
                <c:pt idx="0">
                  <c:v>0.14202882759273425</c:v>
                </c:pt>
                <c:pt idx="1">
                  <c:v>0.59162801509579999</c:v>
                </c:pt>
                <c:pt idx="2">
                  <c:v>1.7943197870953576</c:v>
                </c:pt>
                <c:pt idx="3">
                  <c:v>4.1984549048709416</c:v>
                </c:pt>
                <c:pt idx="4">
                  <c:v>7.9274555446936921</c:v>
                </c:pt>
                <c:pt idx="5">
                  <c:v>12.514440458799733</c:v>
                </c:pt>
                <c:pt idx="6">
                  <c:v>16.990578273325511</c:v>
                </c:pt>
                <c:pt idx="7">
                  <c:v>20.298234899889014</c:v>
                </c:pt>
                <c:pt idx="8">
                  <c:v>21.741080554000831</c:v>
                </c:pt>
                <c:pt idx="9">
                  <c:v>21.201979956829657</c:v>
                </c:pt>
                <c:pt idx="10">
                  <c:v>19.068654650481346</c:v>
                </c:pt>
                <c:pt idx="11">
                  <c:v>15.98779807314763</c:v>
                </c:pt>
                <c:pt idx="12">
                  <c:v>12.610496950196401</c:v>
                </c:pt>
                <c:pt idx="13">
                  <c:v>9.4299256777715623</c:v>
                </c:pt>
                <c:pt idx="14">
                  <c:v>6.7295735384344546</c:v>
                </c:pt>
                <c:pt idx="15">
                  <c:v>4.6093272696781771</c:v>
                </c:pt>
                <c:pt idx="16">
                  <c:v>3.0450166811718988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91-944F-A320-849C4AD4FD1B}"/>
            </c:ext>
          </c:extLst>
        </c:ser>
        <c:ser>
          <c:idx val="3"/>
          <c:order val="3"/>
          <c:tx>
            <c:strRef>
              <c:f>'Part 1 calls'!$H$145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calls'!$I$145:$Y$145</c:f>
              <c:numCache>
                <c:formatCode>General</c:formatCode>
                <c:ptCount val="17"/>
                <c:pt idx="0">
                  <c:v>0.54799114620321265</c:v>
                </c:pt>
                <c:pt idx="1">
                  <c:v>1.6103021116910758</c:v>
                </c:pt>
                <c:pt idx="2">
                  <c:v>3.7275610547584388</c:v>
                </c:pt>
                <c:pt idx="3">
                  <c:v>7.0995380577419693</c:v>
                </c:pt>
                <c:pt idx="4">
                  <c:v>11.507695143275125</c:v>
                </c:pt>
                <c:pt idx="5">
                  <c:v>16.302579321220414</c:v>
                </c:pt>
                <c:pt idx="6">
                  <c:v>20.61898434580019</c:v>
                </c:pt>
                <c:pt idx="7">
                  <c:v>23.685782585692991</c:v>
                </c:pt>
                <c:pt idx="8">
                  <c:v>25.062283449841154</c:v>
                </c:pt>
                <c:pt idx="9">
                  <c:v>24.711674739236781</c:v>
                </c:pt>
                <c:pt idx="10">
                  <c:v>22.925780102263243</c:v>
                </c:pt>
                <c:pt idx="11">
                  <c:v>20.174485287319666</c:v>
                </c:pt>
                <c:pt idx="12">
                  <c:v>16.955364143103456</c:v>
                </c:pt>
                <c:pt idx="13">
                  <c:v>13.688718821788127</c:v>
                </c:pt>
                <c:pt idx="14">
                  <c:v>10.669112068562891</c:v>
                </c:pt>
                <c:pt idx="15">
                  <c:v>8.0623062469021036</c:v>
                </c:pt>
                <c:pt idx="16">
                  <c:v>5.9286927376384888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91-944F-A320-849C4AD4FD1B}"/>
            </c:ext>
          </c:extLst>
        </c:ser>
        <c:ser>
          <c:idx val="4"/>
          <c:order val="4"/>
          <c:tx>
            <c:strRef>
              <c:f>'Part 1 calls'!$H$146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calls'!$I$146:$Y$146</c:f>
              <c:numCache>
                <c:formatCode>General</c:formatCode>
                <c:ptCount val="17"/>
                <c:pt idx="0">
                  <c:v>1.2626797297023513</c:v>
                </c:pt>
                <c:pt idx="1">
                  <c:v>3.0095667810257449</c:v>
                </c:pt>
                <c:pt idx="2">
                  <c:v>5.9240833497693499</c:v>
                </c:pt>
                <c:pt idx="3">
                  <c:v>9.9723128342838532</c:v>
                </c:pt>
                <c:pt idx="4">
                  <c:v>14.749677041710106</c:v>
                </c:pt>
                <c:pt idx="5">
                  <c:v>19.581443166314163</c:v>
                </c:pt>
                <c:pt idx="6">
                  <c:v>23.734723525071391</c:v>
                </c:pt>
                <c:pt idx="7">
                  <c:v>26.630962333356742</c:v>
                </c:pt>
                <c:pt idx="8">
                  <c:v>27.973434297828003</c:v>
                </c:pt>
                <c:pt idx="9">
                  <c:v>27.765089504983582</c:v>
                </c:pt>
                <c:pt idx="10">
                  <c:v>26.242669261937365</c:v>
                </c:pt>
                <c:pt idx="11">
                  <c:v>23.773448946649211</c:v>
                </c:pt>
                <c:pt idx="12">
                  <c:v>20.755515123786619</c:v>
                </c:pt>
                <c:pt idx="13">
                  <c:v>17.545145159162672</c:v>
                </c:pt>
                <c:pt idx="14">
                  <c:v>14.417639438153623</c:v>
                </c:pt>
                <c:pt idx="15">
                  <c:v>11.556698455080513</c:v>
                </c:pt>
                <c:pt idx="16">
                  <c:v>9.062790616267602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91-944F-A320-849C4AD4FD1B}"/>
            </c:ext>
          </c:extLst>
        </c:ser>
        <c:ser>
          <c:idx val="5"/>
          <c:order val="5"/>
          <c:tx>
            <c:strRef>
              <c:f>'Part 1 calls'!$H$147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calls'!$I$147:$Y$147</c:f>
              <c:numCache>
                <c:formatCode>General</c:formatCode>
                <c:ptCount val="17"/>
                <c:pt idx="0">
                  <c:v>2.2388087034633055</c:v>
                </c:pt>
                <c:pt idx="1">
                  <c:v>4.6410088796281217</c:v>
                </c:pt>
                <c:pt idx="2">
                  <c:v>8.1996646326998253</c:v>
                </c:pt>
                <c:pt idx="3">
                  <c:v>12.712093999325983</c:v>
                </c:pt>
                <c:pt idx="4">
                  <c:v>17.688429965289604</c:v>
                </c:pt>
                <c:pt idx="5">
                  <c:v>22.487833277913321</c:v>
                </c:pt>
                <c:pt idx="6">
                  <c:v>26.495540458839582</c:v>
                </c:pt>
                <c:pt idx="7">
                  <c:v>29.266016170947758</c:v>
                </c:pt>
                <c:pt idx="8">
                  <c:v>30.591907327736617</c:v>
                </c:pt>
                <c:pt idx="9">
                  <c:v>30.498209522504144</c:v>
                </c:pt>
                <c:pt idx="10">
                  <c:v>29.186001251802374</c:v>
                </c:pt>
                <c:pt idx="11">
                  <c:v>26.956448745123339</c:v>
                </c:pt>
                <c:pt idx="12">
                  <c:v>24.139509792774032</c:v>
                </c:pt>
                <c:pt idx="13">
                  <c:v>21.040872318835998</c:v>
                </c:pt>
                <c:pt idx="14">
                  <c:v>17.910817795815685</c:v>
                </c:pt>
                <c:pt idx="15">
                  <c:v>14.932325285649343</c:v>
                </c:pt>
                <c:pt idx="16">
                  <c:v>12.222910034137175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91-944F-A320-849C4AD4FD1B}"/>
            </c:ext>
          </c:extLst>
        </c:ser>
        <c:ser>
          <c:idx val="6"/>
          <c:order val="6"/>
          <c:tx>
            <c:strRef>
              <c:f>'Part 1 calls'!$H$148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calls'!$I$148:$Y$148</c:f>
              <c:numCache>
                <c:formatCode>General</c:formatCode>
                <c:ptCount val="17"/>
                <c:pt idx="0">
                  <c:v>3.4092800414934215</c:v>
                </c:pt>
                <c:pt idx="1">
                  <c:v>6.3967797976228562</c:v>
                </c:pt>
                <c:pt idx="2">
                  <c:v>10.462155572124116</c:v>
                </c:pt>
                <c:pt idx="3">
                  <c:v>15.293391347314351</c:v>
                </c:pt>
                <c:pt idx="4">
                  <c:v>20.372161802542724</c:v>
                </c:pt>
                <c:pt idx="5">
                  <c:v>25.111006208294913</c:v>
                </c:pt>
                <c:pt idx="6">
                  <c:v>28.993012918382313</c:v>
                </c:pt>
                <c:pt idx="7">
                  <c:v>31.667848744818325</c:v>
                </c:pt>
                <c:pt idx="8">
                  <c:v>32.987552453324305</c:v>
                </c:pt>
                <c:pt idx="9">
                  <c:v>32.9902329120264</c:v>
                </c:pt>
                <c:pt idx="10">
                  <c:v>31.851990708534011</c:v>
                </c:pt>
                <c:pt idx="11">
                  <c:v>29.828227300311028</c:v>
                </c:pt>
                <c:pt idx="12">
                  <c:v>27.199931861420886</c:v>
                </c:pt>
                <c:pt idx="13">
                  <c:v>24.233244905687769</c:v>
                </c:pt>
                <c:pt idx="14">
                  <c:v>21.154470571896187</c:v>
                </c:pt>
                <c:pt idx="15">
                  <c:v>18.138808755412679</c:v>
                </c:pt>
                <c:pt idx="16">
                  <c:v>15.309296235130819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91-944F-A320-849C4AD4FD1B}"/>
            </c:ext>
          </c:extLst>
        </c:ser>
        <c:ser>
          <c:idx val="7"/>
          <c:order val="7"/>
          <c:tx>
            <c:strRef>
              <c:f>'Part 1 calls'!$H$149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calls'!$I$149:$Y$149</c:f>
              <c:numCache>
                <c:formatCode>General</c:formatCode>
                <c:ptCount val="17"/>
                <c:pt idx="0">
                  <c:v>4.7136291023201071</c:v>
                </c:pt>
                <c:pt idx="1">
                  <c:v>8.2069467460122727</c:v>
                </c:pt>
                <c:pt idx="2">
                  <c:v>12.667719836424343</c:v>
                </c:pt>
                <c:pt idx="3">
                  <c:v>17.718513961379674</c:v>
                </c:pt>
                <c:pt idx="4">
                  <c:v>22.843174271570835</c:v>
                </c:pt>
                <c:pt idx="5">
                  <c:v>27.511226709398237</c:v>
                </c:pt>
                <c:pt idx="6">
                  <c:v>31.285437829864762</c:v>
                </c:pt>
                <c:pt idx="7">
                  <c:v>33.885838808772824</c:v>
                </c:pt>
                <c:pt idx="8">
                  <c:v>35.205961627525987</c:v>
                </c:pt>
                <c:pt idx="9">
                  <c:v>35.292069317520948</c:v>
                </c:pt>
                <c:pt idx="10">
                  <c:v>34.301770068622474</c:v>
                </c:pt>
                <c:pt idx="11">
                  <c:v>32.457082698947879</c:v>
                </c:pt>
                <c:pt idx="12">
                  <c:v>30.002386856514917</c:v>
                </c:pt>
                <c:pt idx="13">
                  <c:v>27.172581972973994</c:v>
                </c:pt>
                <c:pt idx="14">
                  <c:v>24.172728981926181</c:v>
                </c:pt>
                <c:pt idx="15">
                  <c:v>21.167921445105367</c:v>
                </c:pt>
                <c:pt idx="16">
                  <c:v>18.280966330758439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91-944F-A320-849C4AD4FD1B}"/>
            </c:ext>
          </c:extLst>
        </c:ser>
        <c:ser>
          <c:idx val="8"/>
          <c:order val="8"/>
          <c:tx>
            <c:strRef>
              <c:f>'Part 1 calls'!$H$150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calls'!$I$150:$Y$150</c:f>
              <c:numCache>
                <c:formatCode>General</c:formatCode>
                <c:ptCount val="17"/>
                <c:pt idx="0">
                  <c:v>6.1044245880699188</c:v>
                </c:pt>
                <c:pt idx="1">
                  <c:v>10.028004968425037</c:v>
                </c:pt>
                <c:pt idx="2">
                  <c:v>14.797070949272113</c:v>
                </c:pt>
                <c:pt idx="3">
                  <c:v>19.998950927794951</c:v>
                </c:pt>
                <c:pt idx="4">
                  <c:v>25.135567501845724</c:v>
                </c:pt>
                <c:pt idx="5">
                  <c:v>29.730845258588655</c:v>
                </c:pt>
                <c:pt idx="6">
                  <c:v>33.412469483092273</c:v>
                </c:pt>
                <c:pt idx="7">
                  <c:v>35.953924700853619</c:v>
                </c:pt>
                <c:pt idx="8">
                  <c:v>37.278859440959366</c:v>
                </c:pt>
                <c:pt idx="9">
                  <c:v>37.438741076876994</c:v>
                </c:pt>
                <c:pt idx="10">
                  <c:v>36.576911327852024</c:v>
                </c:pt>
                <c:pt idx="11">
                  <c:v>34.890050929444229</c:v>
                </c:pt>
                <c:pt idx="12">
                  <c:v>32.594284085625297</c:v>
                </c:pt>
                <c:pt idx="13">
                  <c:v>29.899446559453878</c:v>
                </c:pt>
                <c:pt idx="14">
                  <c:v>26.992241961759355</c:v>
                </c:pt>
                <c:pt idx="15">
                  <c:v>24.027301202528754</c:v>
                </c:pt>
                <c:pt idx="16">
                  <c:v>21.124373927845529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191-944F-A320-849C4AD4FD1B}"/>
            </c:ext>
          </c:extLst>
        </c:ser>
        <c:ser>
          <c:idx val="9"/>
          <c:order val="9"/>
          <c:tx>
            <c:strRef>
              <c:f>'Part 1 calls'!$H$151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calls'!$I$151:$Y$151</c:f>
              <c:numCache>
                <c:formatCode>General</c:formatCode>
                <c:ptCount val="17"/>
                <c:pt idx="0">
                  <c:v>7.5465414056779432</c:v>
                </c:pt>
                <c:pt idx="1">
                  <c:v>11.833484483505805</c:v>
                </c:pt>
                <c:pt idx="2">
                  <c:v>16.843384637940812</c:v>
                </c:pt>
                <c:pt idx="3">
                  <c:v>22.148428421066527</c:v>
                </c:pt>
                <c:pt idx="4">
                  <c:v>27.276349949898758</c:v>
                </c:pt>
                <c:pt idx="5">
                  <c:v>31.80071335789091</c:v>
                </c:pt>
                <c:pt idx="6">
                  <c:v>35.402457537592475</c:v>
                </c:pt>
                <c:pt idx="7">
                  <c:v>37.896623822327193</c:v>
                </c:pt>
                <c:pt idx="8">
                  <c:v>39.229385545573265</c:v>
                </c:pt>
                <c:pt idx="9">
                  <c:v>39.455567305177858</c:v>
                </c:pt>
                <c:pt idx="10">
                  <c:v>38.707149777283803</c:v>
                </c:pt>
                <c:pt idx="11">
                  <c:v>37.160972039984983</c:v>
                </c:pt>
                <c:pt idx="12">
                  <c:v>35.010774918133883</c:v>
                </c:pt>
                <c:pt idx="13">
                  <c:v>32.44596596452714</c:v>
                </c:pt>
                <c:pt idx="14">
                  <c:v>29.637484768584301</c:v>
                </c:pt>
                <c:pt idx="15">
                  <c:v>26.729952054680563</c:v>
                </c:pt>
                <c:pt idx="16">
                  <c:v>23.838743989858862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191-944F-A320-849C4AD4FD1B}"/>
            </c:ext>
          </c:extLst>
        </c:ser>
        <c:ser>
          <c:idx val="10"/>
          <c:order val="10"/>
          <c:tx>
            <c:strRef>
              <c:f>'Part 1 calls'!$H$152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calls'!$I$152:$Y$152</c:f>
              <c:numCache>
                <c:formatCode>General</c:formatCode>
                <c:ptCount val="17"/>
                <c:pt idx="0">
                  <c:v>21.665010977573697</c:v>
                </c:pt>
                <c:pt idx="1">
                  <c:v>27.555008864451608</c:v>
                </c:pt>
                <c:pt idx="2">
                  <c:v>33.351628785916162</c:v>
                </c:pt>
                <c:pt idx="3">
                  <c:v>38.761449136581973</c:v>
                </c:pt>
                <c:pt idx="4">
                  <c:v>43.558378451392819</c:v>
                </c:pt>
                <c:pt idx="5">
                  <c:v>47.590089770706882</c:v>
                </c:pt>
                <c:pt idx="6">
                  <c:v>50.774026590962563</c:v>
                </c:pt>
                <c:pt idx="7">
                  <c:v>53.087335695806651</c:v>
                </c:pt>
                <c:pt idx="8">
                  <c:v>54.554168852462226</c:v>
                </c:pt>
                <c:pt idx="9">
                  <c:v>55.232725998867295</c:v>
                </c:pt>
                <c:pt idx="10">
                  <c:v>55.203468373902709</c:v>
                </c:pt>
                <c:pt idx="11">
                  <c:v>54.559211011452071</c:v>
                </c:pt>
                <c:pt idx="12">
                  <c:v>53.39731328135862</c:v>
                </c:pt>
                <c:pt idx="13">
                  <c:v>51.813885189910813</c:v>
                </c:pt>
                <c:pt idx="14">
                  <c:v>49.899766616306842</c:v>
                </c:pt>
                <c:pt idx="15">
                  <c:v>47.737971160509765</c:v>
                </c:pt>
                <c:pt idx="16">
                  <c:v>45.402279742050034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91-944F-A320-849C4AD4FD1B}"/>
            </c:ext>
          </c:extLst>
        </c:ser>
        <c:ser>
          <c:idx val="11"/>
          <c:order val="11"/>
          <c:tx>
            <c:strRef>
              <c:f>'Part 1 calls'!$H$153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calls'!$I$153:$Y$153</c:f>
              <c:numCache>
                <c:formatCode>General</c:formatCode>
                <c:ptCount val="17"/>
                <c:pt idx="0">
                  <c:v>33.222896128746122</c:v>
                </c:pt>
                <c:pt idx="1">
                  <c:v>39.406825288577544</c:v>
                </c:pt>
                <c:pt idx="2">
                  <c:v>45.187800131882504</c:v>
                </c:pt>
                <c:pt idx="3">
                  <c:v>50.3996234832276</c:v>
                </c:pt>
                <c:pt idx="4">
                  <c:v>54.934070118221499</c:v>
                </c:pt>
                <c:pt idx="5">
                  <c:v>58.73333587773282</c:v>
                </c:pt>
                <c:pt idx="6">
                  <c:v>61.780667302057189</c:v>
                </c:pt>
                <c:pt idx="7">
                  <c:v>64.090843856534732</c:v>
                </c:pt>
                <c:pt idx="8">
                  <c:v>65.701458882085063</c:v>
                </c:pt>
                <c:pt idx="9">
                  <c:v>66.665447263519582</c:v>
                </c:pt>
                <c:pt idx="10">
                  <c:v>67.044992368410149</c:v>
                </c:pt>
                <c:pt idx="11">
                  <c:v>66.906761646336719</c:v>
                </c:pt>
                <c:pt idx="12">
                  <c:v>66.318326233497231</c:v>
                </c:pt>
                <c:pt idx="13">
                  <c:v>65.345582257987473</c:v>
                </c:pt>
                <c:pt idx="14">
                  <c:v>64.050987256156361</c:v>
                </c:pt>
                <c:pt idx="15">
                  <c:v>62.492438861032042</c:v>
                </c:pt>
                <c:pt idx="16">
                  <c:v>60.722645003921244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191-944F-A320-849C4AD4FD1B}"/>
            </c:ext>
          </c:extLst>
        </c:ser>
        <c:ser>
          <c:idx val="12"/>
          <c:order val="12"/>
          <c:tx>
            <c:strRef>
              <c:f>'Part 1 calls'!$H$154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calls'!$I$154:$Y$154</c:f>
              <c:numCache>
                <c:formatCode>General</c:formatCode>
                <c:ptCount val="17"/>
                <c:pt idx="0">
                  <c:v>42.567098596972329</c:v>
                </c:pt>
                <c:pt idx="1">
                  <c:v>48.758930229715283</c:v>
                </c:pt>
                <c:pt idx="2">
                  <c:v>54.421505040302272</c:v>
                </c:pt>
                <c:pt idx="3">
                  <c:v>59.461821507388336</c:v>
                </c:pt>
                <c:pt idx="4">
                  <c:v>63.829888800540957</c:v>
                </c:pt>
                <c:pt idx="5">
                  <c:v>67.509674458565584</c:v>
                </c:pt>
                <c:pt idx="6">
                  <c:v>70.51075464486027</c:v>
                </c:pt>
                <c:pt idx="7">
                  <c:v>72.861111689327814</c:v>
                </c:pt>
                <c:pt idx="8">
                  <c:v>74.601201361465712</c:v>
                </c:pt>
                <c:pt idx="9">
                  <c:v>75.77923734443003</c:v>
                </c:pt>
                <c:pt idx="10">
                  <c:v>76.447556683033994</c:v>
                </c:pt>
                <c:pt idx="11">
                  <c:v>76.659899934282535</c:v>
                </c:pt>
                <c:pt idx="12">
                  <c:v>76.469439302491622</c:v>
                </c:pt>
                <c:pt idx="13">
                  <c:v>75.927402432728769</c:v>
                </c:pt>
                <c:pt idx="14">
                  <c:v>75.082160077601486</c:v>
                </c:pt>
                <c:pt idx="15">
                  <c:v>73.978667680739463</c:v>
                </c:pt>
                <c:pt idx="16">
                  <c:v>72.65817150920924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191-944F-A320-849C4AD4FD1B}"/>
            </c:ext>
          </c:extLst>
        </c:ser>
        <c:ser>
          <c:idx val="13"/>
          <c:order val="13"/>
          <c:tx>
            <c:strRef>
              <c:f>'Part 1 calls'!$H$155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calls'!$I$141:$Y$141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calls'!$I$155:$Y$155</c:f>
              <c:numCache>
                <c:formatCode>General</c:formatCode>
                <c:ptCount val="17"/>
                <c:pt idx="0">
                  <c:v>50.316444779050272</c:v>
                </c:pt>
                <c:pt idx="1">
                  <c:v>56.441397997533322</c:v>
                </c:pt>
                <c:pt idx="2">
                  <c:v>61.983217876086933</c:v>
                </c:pt>
                <c:pt idx="3">
                  <c:v>66.892699193410792</c:v>
                </c:pt>
                <c:pt idx="4">
                  <c:v>71.152052988955774</c:v>
                </c:pt>
                <c:pt idx="5">
                  <c:v>74.766798153008267</c:v>
                </c:pt>
                <c:pt idx="6">
                  <c:v>77.759056969031704</c:v>
                </c:pt>
                <c:pt idx="7">
                  <c:v>80.162201705931693</c:v>
                </c:pt>
                <c:pt idx="8">
                  <c:v>82.016695584010805</c:v>
                </c:pt>
                <c:pt idx="9">
                  <c:v>83.36693817808883</c:v>
                </c:pt>
                <c:pt idx="10">
                  <c:v>84.258928010075778</c:v>
                </c:pt>
                <c:pt idx="11">
                  <c:v>84.73857418774125</c:v>
                </c:pt>
                <c:pt idx="12">
                  <c:v>84.85051385262075</c:v>
                </c:pt>
                <c:pt idx="13">
                  <c:v>84.637317449963987</c:v>
                </c:pt>
                <c:pt idx="14">
                  <c:v>84.138986871529852</c:v>
                </c:pt>
                <c:pt idx="15">
                  <c:v>83.392671372802994</c:v>
                </c:pt>
                <c:pt idx="16">
                  <c:v>82.432542675759592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191-944F-A320-849C4AD4F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824767"/>
        <c:axId val="1884982335"/>
        <c:axId val="1794606591"/>
      </c:line3DChart>
      <c:catAx>
        <c:axId val="179482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982335"/>
        <c:crosses val="autoZero"/>
        <c:auto val="1"/>
        <c:lblAlgn val="ctr"/>
        <c:lblOffset val="100"/>
        <c:noMultiLvlLbl val="0"/>
      </c:catAx>
      <c:valAx>
        <c:axId val="188498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94824767"/>
        <c:crosses val="autoZero"/>
        <c:crossBetween val="between"/>
      </c:valAx>
      <c:serAx>
        <c:axId val="17946065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9823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ThetaC</a:t>
            </a:r>
            <a:r>
              <a:rPr lang="it-IT" baseline="0"/>
              <a:t>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calls'!$H$71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calls'!$I$71:$Y$71</c:f>
              <c:numCache>
                <c:formatCode>General</c:formatCode>
                <c:ptCount val="17"/>
                <c:pt idx="0">
                  <c:v>-7.6010761094708108E-14</c:v>
                </c:pt>
                <c:pt idx="1">
                  <c:v>-9.5807637849778073E-10</c:v>
                </c:pt>
                <c:pt idx="2">
                  <c:v>-1.4382763141881702E-6</c:v>
                </c:pt>
                <c:pt idx="3">
                  <c:v>-3.795153436595248E-4</c:v>
                </c:pt>
                <c:pt idx="4">
                  <c:v>-2.3806429023180083E-2</c:v>
                </c:pt>
                <c:pt idx="5">
                  <c:v>-0.45044316854020067</c:v>
                </c:pt>
                <c:pt idx="6">
                  <c:v>-3.1107198362775765</c:v>
                </c:pt>
                <c:pt idx="7">
                  <c:v>-9.1580985691009307</c:v>
                </c:pt>
                <c:pt idx="8">
                  <c:v>-13.094676955864362</c:v>
                </c:pt>
                <c:pt idx="9">
                  <c:v>-10.247346144859719</c:v>
                </c:pt>
                <c:pt idx="10">
                  <c:v>-5.0770850918414965</c:v>
                </c:pt>
                <c:pt idx="11">
                  <c:v>-2.120404901462253</c:v>
                </c:pt>
                <c:pt idx="12">
                  <c:v>-1.203782807025447</c:v>
                </c:pt>
                <c:pt idx="13">
                  <c:v>-1.0251750032769935</c:v>
                </c:pt>
                <c:pt idx="14">
                  <c:v>-1.0014490398395373</c:v>
                </c:pt>
                <c:pt idx="15">
                  <c:v>-0.99917467534510218</c:v>
                </c:pt>
                <c:pt idx="16">
                  <c:v>-0.9990102371060936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2-0F42-8E79-FA93B68985B2}"/>
            </c:ext>
          </c:extLst>
        </c:ser>
        <c:ser>
          <c:idx val="1"/>
          <c:order val="1"/>
          <c:tx>
            <c:strRef>
              <c:f>'Part 1 calls'!$H$72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calls'!$I$72:$Y$72</c:f>
              <c:numCache>
                <c:formatCode>General</c:formatCode>
                <c:ptCount val="17"/>
                <c:pt idx="0">
                  <c:v>-6.5216774177186137E-7</c:v>
                </c:pt>
                <c:pt idx="1">
                  <c:v>-7.4025594654806079E-5</c:v>
                </c:pt>
                <c:pt idx="2">
                  <c:v>-2.8983527435579304E-3</c:v>
                </c:pt>
                <c:pt idx="3">
                  <c:v>-4.7563462701187005E-2</c:v>
                </c:pt>
                <c:pt idx="4">
                  <c:v>-0.38056333097459333</c:v>
                </c:pt>
                <c:pt idx="5">
                  <c:v>-1.6728876411574809</c:v>
                </c:pt>
                <c:pt idx="6">
                  <c:v>-4.4465323616872592</c:v>
                </c:pt>
                <c:pt idx="7">
                  <c:v>-7.7298647717854028</c:v>
                </c:pt>
                <c:pt idx="8">
                  <c:v>-9.3906706918611</c:v>
                </c:pt>
                <c:pt idx="9">
                  <c:v>-8.4624350940387636</c:v>
                </c:pt>
                <c:pt idx="10">
                  <c:v>-6.0163575646890362</c:v>
                </c:pt>
                <c:pt idx="11">
                  <c:v>-3.655248414122735</c:v>
                </c:pt>
                <c:pt idx="12">
                  <c:v>-2.1427842748222052</c:v>
                </c:pt>
                <c:pt idx="13">
                  <c:v>-1.4101889670878098</c:v>
                </c:pt>
                <c:pt idx="14">
                  <c:v>-1.1248769522380362</c:v>
                </c:pt>
                <c:pt idx="15">
                  <c:v>-1.0320391690967272</c:v>
                </c:pt>
                <c:pt idx="16">
                  <c:v>-1.0060936666418689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2-0F42-8E79-FA93B68985B2}"/>
            </c:ext>
          </c:extLst>
        </c:ser>
        <c:ser>
          <c:idx val="2"/>
          <c:order val="2"/>
          <c:tx>
            <c:strRef>
              <c:f>'Part 1 calls'!$H$73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calls'!$I$73:$Y$73</c:f>
              <c:numCache>
                <c:formatCode>General</c:formatCode>
                <c:ptCount val="17"/>
                <c:pt idx="0">
                  <c:v>-1.2255849783705767E-4</c:v>
                </c:pt>
                <c:pt idx="1">
                  <c:v>-2.8952351776097666E-3</c:v>
                </c:pt>
                <c:pt idx="2">
                  <c:v>-3.3631277102680164E-2</c:v>
                </c:pt>
                <c:pt idx="3">
                  <c:v>-0.21877299456996252</c:v>
                </c:pt>
                <c:pt idx="4">
                  <c:v>-0.88165736399349448</c:v>
                </c:pt>
                <c:pt idx="5">
                  <c:v>-2.3841445746413892</c:v>
                </c:pt>
                <c:pt idx="6">
                  <c:v>-4.6129327753105409</c:v>
                </c:pt>
                <c:pt idx="7">
                  <c:v>-6.7316632172013984</c:v>
                </c:pt>
                <c:pt idx="8">
                  <c:v>-7.7467261525529985</c:v>
                </c:pt>
                <c:pt idx="9">
                  <c:v>-7.3143822545279491</c:v>
                </c:pt>
                <c:pt idx="10">
                  <c:v>-5.8894568517543142</c:v>
                </c:pt>
                <c:pt idx="11">
                  <c:v>-4.2225044116496644</c:v>
                </c:pt>
                <c:pt idx="12">
                  <c:v>-2.8481190770658702</c:v>
                </c:pt>
                <c:pt idx="13">
                  <c:v>-1.9388334651870145</c:v>
                </c:pt>
                <c:pt idx="14">
                  <c:v>-1.4283908322854479</c:v>
                </c:pt>
                <c:pt idx="15">
                  <c:v>-1.1772108461100759</c:v>
                </c:pt>
                <c:pt idx="16">
                  <c:v>-1.0664321469380136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92-0F42-8E79-FA93B68985B2}"/>
            </c:ext>
          </c:extLst>
        </c:ser>
        <c:ser>
          <c:idx val="3"/>
          <c:order val="3"/>
          <c:tx>
            <c:strRef>
              <c:f>'Part 1 calls'!$H$74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calls'!$I$74:$Y$74</c:f>
              <c:numCache>
                <c:formatCode>General</c:formatCode>
                <c:ptCount val="17"/>
                <c:pt idx="0">
                  <c:v>-1.6120464147555819E-3</c:v>
                </c:pt>
                <c:pt idx="1">
                  <c:v>-1.7377053574853585E-2</c:v>
                </c:pt>
                <c:pt idx="2">
                  <c:v>-0.10997521374944369</c:v>
                </c:pt>
                <c:pt idx="3">
                  <c:v>-0.45054605116011914</c:v>
                </c:pt>
                <c:pt idx="4">
                  <c:v>-1.2890398543869555</c:v>
                </c:pt>
                <c:pt idx="5">
                  <c:v>-2.7349455814898369</c:v>
                </c:pt>
                <c:pt idx="6">
                  <c:v>-4.5163008294554041</c:v>
                </c:pt>
                <c:pt idx="7">
                  <c:v>-6.0398621370452883</c:v>
                </c:pt>
                <c:pt idx="8">
                  <c:v>-6.7649506231012921</c:v>
                </c:pt>
                <c:pt idx="9">
                  <c:v>-6.5366866891780706</c:v>
                </c:pt>
                <c:pt idx="10">
                  <c:v>-5.603351421330677</c:v>
                </c:pt>
                <c:pt idx="11">
                  <c:v>-4.3868243151952431</c:v>
                </c:pt>
                <c:pt idx="12">
                  <c:v>-3.2428705495129391</c:v>
                </c:pt>
                <c:pt idx="13">
                  <c:v>-2.3553824743454683</c:v>
                </c:pt>
                <c:pt idx="14">
                  <c:v>-1.7557367762866103</c:v>
                </c:pt>
                <c:pt idx="15">
                  <c:v>-1.3921272055382248</c:v>
                </c:pt>
                <c:pt idx="16">
                  <c:v>-1.190325820119684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92-0F42-8E79-FA93B68985B2}"/>
            </c:ext>
          </c:extLst>
        </c:ser>
        <c:ser>
          <c:idx val="4"/>
          <c:order val="4"/>
          <c:tx>
            <c:strRef>
              <c:f>'Part 1 calls'!$H$75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calls'!$I$75:$Y$75</c:f>
              <c:numCache>
                <c:formatCode>General</c:formatCode>
                <c:ptCount val="17"/>
                <c:pt idx="0">
                  <c:v>-7.3822963919489481E-3</c:v>
                </c:pt>
                <c:pt idx="1">
                  <c:v>-4.9706706360553618E-2</c:v>
                </c:pt>
                <c:pt idx="2">
                  <c:v>-0.21855826137194606</c:v>
                </c:pt>
                <c:pt idx="3">
                  <c:v>-0.6785996959283418</c:v>
                </c:pt>
                <c:pt idx="4">
                  <c:v>-1.5811182895522478</c:v>
                </c:pt>
                <c:pt idx="5">
                  <c:v>-2.9008614414784248</c:v>
                </c:pt>
                <c:pt idx="6">
                  <c:v>-4.3566607810537521</c:v>
                </c:pt>
                <c:pt idx="7">
                  <c:v>-5.5297499170138629</c:v>
                </c:pt>
                <c:pt idx="8">
                  <c:v>-6.0937240318105896</c:v>
                </c:pt>
                <c:pt idx="9">
                  <c:v>-5.9694688661480697</c:v>
                </c:pt>
                <c:pt idx="10">
                  <c:v>-5.3130452823452643</c:v>
                </c:pt>
                <c:pt idx="11">
                  <c:v>-4.3906746851454663</c:v>
                </c:pt>
                <c:pt idx="12">
                  <c:v>-3.4483862845644371</c:v>
                </c:pt>
                <c:pt idx="13">
                  <c:v>-2.6422399828692669</c:v>
                </c:pt>
                <c:pt idx="14">
                  <c:v>-2.03256184846426</c:v>
                </c:pt>
                <c:pt idx="15">
                  <c:v>-1.6130344614685526</c:v>
                </c:pt>
                <c:pt idx="16">
                  <c:v>-1.3455265847202833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92-0F42-8E79-FA93B68985B2}"/>
            </c:ext>
          </c:extLst>
        </c:ser>
        <c:ser>
          <c:idx val="5"/>
          <c:order val="5"/>
          <c:tx>
            <c:strRef>
              <c:f>'Part 1 calls'!$H$76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calls'!$I$76:$Y$76</c:f>
              <c:numCache>
                <c:formatCode>General</c:formatCode>
                <c:ptCount val="17"/>
                <c:pt idx="0">
                  <c:v>-2.0032473352245964E-2</c:v>
                </c:pt>
                <c:pt idx="1">
                  <c:v>-9.8573445641386703E-2</c:v>
                </c:pt>
                <c:pt idx="2">
                  <c:v>-0.34003554821793547</c:v>
                </c:pt>
                <c:pt idx="3">
                  <c:v>-0.87773913326975805</c:v>
                </c:pt>
                <c:pt idx="4">
                  <c:v>-1.7837190840052652</c:v>
                </c:pt>
                <c:pt idx="5">
                  <c:v>-2.9707583409544625</c:v>
                </c:pt>
                <c:pt idx="6">
                  <c:v>-4.1886080467823206</c:v>
                </c:pt>
                <c:pt idx="7">
                  <c:v>-5.1347413667888864</c:v>
                </c:pt>
                <c:pt idx="8">
                  <c:v>-5.5973293636636168</c:v>
                </c:pt>
                <c:pt idx="9">
                  <c:v>-5.5330676186549894</c:v>
                </c:pt>
                <c:pt idx="10">
                  <c:v>-5.0492792420675681</c:v>
                </c:pt>
                <c:pt idx="11">
                  <c:v>-4.3277209587638472</c:v>
                </c:pt>
                <c:pt idx="12">
                  <c:v>-3.5460436869198673</c:v>
                </c:pt>
                <c:pt idx="13">
                  <c:v>-2.8309496858580201</c:v>
                </c:pt>
                <c:pt idx="14">
                  <c:v>-2.247247874476404</c:v>
                </c:pt>
                <c:pt idx="15">
                  <c:v>-1.8099035448917213</c:v>
                </c:pt>
                <c:pt idx="16">
                  <c:v>-1.5038014799888173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92-0F42-8E79-FA93B68985B2}"/>
            </c:ext>
          </c:extLst>
        </c:ser>
        <c:ser>
          <c:idx val="6"/>
          <c:order val="6"/>
          <c:tx>
            <c:strRef>
              <c:f>'Part 1 calls'!$H$77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calls'!$I$77:$Y$77</c:f>
              <c:numCache>
                <c:formatCode>General</c:formatCode>
                <c:ptCount val="17"/>
                <c:pt idx="0">
                  <c:v>-4.0406065515891584E-2</c:v>
                </c:pt>
                <c:pt idx="1">
                  <c:v>-0.15893788971464368</c:v>
                </c:pt>
                <c:pt idx="2">
                  <c:v>-0.46105974622851981</c:v>
                </c:pt>
                <c:pt idx="3">
                  <c:v>-1.0431643769325487</c:v>
                </c:pt>
                <c:pt idx="4">
                  <c:v>-1.9228078610881789</c:v>
                </c:pt>
                <c:pt idx="5">
                  <c:v>-2.9888258321013366</c:v>
                </c:pt>
                <c:pt idx="6">
                  <c:v>-4.0285092134666716</c:v>
                </c:pt>
                <c:pt idx="7">
                  <c:v>-4.8174757710844407</c:v>
                </c:pt>
                <c:pt idx="8">
                  <c:v>-5.2108141079548362</c:v>
                </c:pt>
                <c:pt idx="9">
                  <c:v>-5.1840552369114281</c:v>
                </c:pt>
                <c:pt idx="10">
                  <c:v>-4.8157326385500134</c:v>
                </c:pt>
                <c:pt idx="11">
                  <c:v>-4.2371832209563971</c:v>
                </c:pt>
                <c:pt idx="12">
                  <c:v>-3.581581887146366</c:v>
                </c:pt>
                <c:pt idx="13">
                  <c:v>-2.9514204560701218</c:v>
                </c:pt>
                <c:pt idx="14">
                  <c:v>-2.4076987373616454</c:v>
                </c:pt>
                <c:pt idx="15">
                  <c:v>-1.9744754246605911</c:v>
                </c:pt>
                <c:pt idx="16">
                  <c:v>-1.6502275327719942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92-0F42-8E79-FA93B68985B2}"/>
            </c:ext>
          </c:extLst>
        </c:ser>
        <c:ser>
          <c:idx val="7"/>
          <c:order val="7"/>
          <c:tx>
            <c:strRef>
              <c:f>'Part 1 calls'!$H$78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calls'!$I$78:$Y$78</c:f>
              <c:numCache>
                <c:formatCode>General</c:formatCode>
                <c:ptCount val="17"/>
                <c:pt idx="0">
                  <c:v>-6.7808191954544517E-2</c:v>
                </c:pt>
                <c:pt idx="1">
                  <c:v>-0.22550760485640103</c:v>
                </c:pt>
                <c:pt idx="2">
                  <c:v>-0.57451031596985147</c:v>
                </c:pt>
                <c:pt idx="3">
                  <c:v>-1.1775852389200596</c:v>
                </c:pt>
                <c:pt idx="4">
                  <c:v>-2.0175482659103769</c:v>
                </c:pt>
                <c:pt idx="5">
                  <c:v>-2.978066514680576</c:v>
                </c:pt>
                <c:pt idx="6">
                  <c:v>-3.8808721056250692</c:v>
                </c:pt>
                <c:pt idx="7">
                  <c:v>-4.5554602729850719</c:v>
                </c:pt>
                <c:pt idx="8">
                  <c:v>-4.8986703743347455</c:v>
                </c:pt>
                <c:pt idx="9">
                  <c:v>-4.896703310758947</c:v>
                </c:pt>
                <c:pt idx="10">
                  <c:v>-4.6096885573617934</c:v>
                </c:pt>
                <c:pt idx="11">
                  <c:v>-4.1366741115505103</c:v>
                </c:pt>
                <c:pt idx="12">
                  <c:v>-3.5806527563858634</c:v>
                </c:pt>
                <c:pt idx="13">
                  <c:v>-3.025216786751137</c:v>
                </c:pt>
                <c:pt idx="14">
                  <c:v>-2.5251731609638335</c:v>
                </c:pt>
                <c:pt idx="15">
                  <c:v>-2.1077036537333607</c:v>
                </c:pt>
                <c:pt idx="16">
                  <c:v>-1.7789900844037503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F92-0F42-8E79-FA93B68985B2}"/>
            </c:ext>
          </c:extLst>
        </c:ser>
        <c:ser>
          <c:idx val="8"/>
          <c:order val="8"/>
          <c:tx>
            <c:strRef>
              <c:f>'Part 1 calls'!$H$79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calls'!$I$79:$Y$79</c:f>
              <c:numCache>
                <c:formatCode>General</c:formatCode>
                <c:ptCount val="17"/>
                <c:pt idx="0">
                  <c:v>-0.10076101954498543</c:v>
                </c:pt>
                <c:pt idx="1">
                  <c:v>-0.29410036236108139</c:v>
                </c:pt>
                <c:pt idx="2">
                  <c:v>-0.67732466889585341</c:v>
                </c:pt>
                <c:pt idx="3">
                  <c:v>-1.2857297128434393</c:v>
                </c:pt>
                <c:pt idx="4">
                  <c:v>-2.0811799747457029</c:v>
                </c:pt>
                <c:pt idx="5">
                  <c:v>-2.9510460809802979</c:v>
                </c:pt>
                <c:pt idx="6">
                  <c:v>-3.7462031069995496</c:v>
                </c:pt>
                <c:pt idx="7">
                  <c:v>-4.3343136323550571</c:v>
                </c:pt>
                <c:pt idx="8">
                  <c:v>-4.6396311066685483</c:v>
                </c:pt>
                <c:pt idx="9">
                  <c:v>-4.6547310280285252</c:v>
                </c:pt>
                <c:pt idx="10">
                  <c:v>-4.42726352008623</c:v>
                </c:pt>
                <c:pt idx="11">
                  <c:v>-4.0344543938715578</c:v>
                </c:pt>
                <c:pt idx="12">
                  <c:v>-3.5580381256162892</c:v>
                </c:pt>
                <c:pt idx="13">
                  <c:v>-3.0669919421480571</c:v>
                </c:pt>
                <c:pt idx="14">
                  <c:v>-2.6097044437216996</c:v>
                </c:pt>
                <c:pt idx="15">
                  <c:v>-2.21359973364024</c:v>
                </c:pt>
                <c:pt idx="16">
                  <c:v>-1.8890358974379682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F92-0F42-8E79-FA93B68985B2}"/>
            </c:ext>
          </c:extLst>
        </c:ser>
        <c:ser>
          <c:idx val="9"/>
          <c:order val="9"/>
          <c:tx>
            <c:strRef>
              <c:f>'Part 1 calls'!$H$80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calls'!$I$80:$Y$80</c:f>
              <c:numCache>
                <c:formatCode>General</c:formatCode>
                <c:ptCount val="17"/>
                <c:pt idx="0">
                  <c:v>-0.13760097145391417</c:v>
                </c:pt>
                <c:pt idx="1">
                  <c:v>-0.36182997641875553</c:v>
                </c:pt>
                <c:pt idx="2">
                  <c:v>-0.76870309122964575</c:v>
                </c:pt>
                <c:pt idx="3">
                  <c:v>-1.3723294458451327</c:v>
                </c:pt>
                <c:pt idx="4">
                  <c:v>-2.1227536936129181</c:v>
                </c:pt>
                <c:pt idx="5">
                  <c:v>-2.9149147413399148</c:v>
                </c:pt>
                <c:pt idx="6">
                  <c:v>-3.6236590248930369</c:v>
                </c:pt>
                <c:pt idx="7">
                  <c:v>-4.1443800816070882</c:v>
                </c:pt>
                <c:pt idx="8">
                  <c:v>-4.4200778145480362</c:v>
                </c:pt>
                <c:pt idx="9">
                  <c:v>-4.4472859830090457</c:v>
                </c:pt>
                <c:pt idx="10">
                  <c:v>-4.2647974639673336</c:v>
                </c:pt>
                <c:pt idx="11">
                  <c:v>-3.9344485153602449</c:v>
                </c:pt>
                <c:pt idx="12">
                  <c:v>-3.5225170124662251</c:v>
                </c:pt>
                <c:pt idx="13">
                  <c:v>-3.0866178820284627</c:v>
                </c:pt>
                <c:pt idx="14">
                  <c:v>-2.6692412521270028</c:v>
                </c:pt>
                <c:pt idx="15">
                  <c:v>-2.2967098908445056</c:v>
                </c:pt>
                <c:pt idx="16">
                  <c:v>-1.9814702357676792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F92-0F42-8E79-FA93B68985B2}"/>
            </c:ext>
          </c:extLst>
        </c:ser>
        <c:ser>
          <c:idx val="10"/>
          <c:order val="10"/>
          <c:tx>
            <c:strRef>
              <c:f>'Part 1 calls'!$H$81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calls'!$I$81:$Y$81</c:f>
              <c:numCache>
                <c:formatCode>General</c:formatCode>
                <c:ptCount val="17"/>
                <c:pt idx="0">
                  <c:v>-0.50487343419046049</c:v>
                </c:pt>
                <c:pt idx="1">
                  <c:v>-0.83089533972245266</c:v>
                </c:pt>
                <c:pt idx="2">
                  <c:v>-1.2288280781032317</c:v>
                </c:pt>
                <c:pt idx="3">
                  <c:v>-1.6657947474499215</c:v>
                </c:pt>
                <c:pt idx="4">
                  <c:v>-2.1020438933344709</c:v>
                </c:pt>
                <c:pt idx="5">
                  <c:v>-2.4995896850909696</c:v>
                </c:pt>
                <c:pt idx="6">
                  <c:v>-2.8287067427962778</c:v>
                </c:pt>
                <c:pt idx="7">
                  <c:v>-3.0711981252103762</c:v>
                </c:pt>
                <c:pt idx="8">
                  <c:v>-3.2206567843562808</c:v>
                </c:pt>
                <c:pt idx="9">
                  <c:v>-3.2806364102898713</c:v>
                </c:pt>
                <c:pt idx="10">
                  <c:v>-3.261792103740583</c:v>
                </c:pt>
                <c:pt idx="11">
                  <c:v>-3.1788613398903767</c:v>
                </c:pt>
                <c:pt idx="12">
                  <c:v>-3.0480426310709894</c:v>
                </c:pt>
                <c:pt idx="13">
                  <c:v>-2.885031827407516</c:v>
                </c:pt>
                <c:pt idx="14">
                  <c:v>-2.7037571441039283</c:v>
                </c:pt>
                <c:pt idx="15">
                  <c:v>-2.5157244578946338</c:v>
                </c:pt>
                <c:pt idx="16">
                  <c:v>-2.3298282001989383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F92-0F42-8E79-FA93B68985B2}"/>
            </c:ext>
          </c:extLst>
        </c:ser>
        <c:ser>
          <c:idx val="11"/>
          <c:order val="11"/>
          <c:tx>
            <c:strRef>
              <c:f>'Part 1 calls'!$H$82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calls'!$I$82:$Y$82</c:f>
              <c:numCache>
                <c:formatCode>General</c:formatCode>
                <c:ptCount val="17"/>
                <c:pt idx="0">
                  <c:v>-0.71823551587097556</c:v>
                </c:pt>
                <c:pt idx="1">
                  <c:v>-1.0118325385721587</c:v>
                </c:pt>
                <c:pt idx="2">
                  <c:v>-1.3270905927474668</c:v>
                </c:pt>
                <c:pt idx="3">
                  <c:v>-1.6421461549550194</c:v>
                </c:pt>
                <c:pt idx="4">
                  <c:v>-1.937029066470157</c:v>
                </c:pt>
                <c:pt idx="5">
                  <c:v>-2.1960091181107821</c:v>
                </c:pt>
                <c:pt idx="6">
                  <c:v>-2.4086335119519844</c:v>
                </c:pt>
                <c:pt idx="7">
                  <c:v>-2.5697082491994965</c:v>
                </c:pt>
                <c:pt idx="8">
                  <c:v>-2.6785916148822886</c:v>
                </c:pt>
                <c:pt idx="9">
                  <c:v>-2.7381483840361835</c:v>
                </c:pt>
                <c:pt idx="10">
                  <c:v>-2.7536309795173581</c:v>
                </c:pt>
                <c:pt idx="11">
                  <c:v>-2.7316580533040917</c:v>
                </c:pt>
                <c:pt idx="12">
                  <c:v>-2.6793781545001574</c:v>
                </c:pt>
                <c:pt idx="13">
                  <c:v>-2.6038458442816586</c:v>
                </c:pt>
                <c:pt idx="14">
                  <c:v>-2.5115997348664667</c:v>
                </c:pt>
                <c:pt idx="15">
                  <c:v>-2.4084120912359803</c:v>
                </c:pt>
                <c:pt idx="16">
                  <c:v>-2.2991724277172452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F92-0F42-8E79-FA93B68985B2}"/>
            </c:ext>
          </c:extLst>
        </c:ser>
        <c:ser>
          <c:idx val="12"/>
          <c:order val="12"/>
          <c:tx>
            <c:strRef>
              <c:f>'Part 1 calls'!$H$83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calls'!$I$83:$Y$83</c:f>
              <c:numCache>
                <c:formatCode>General</c:formatCode>
                <c:ptCount val="17"/>
                <c:pt idx="0">
                  <c:v>-0.82350159605647766</c:v>
                </c:pt>
                <c:pt idx="1">
                  <c:v>-1.0736761061365223</c:v>
                </c:pt>
                <c:pt idx="2">
                  <c:v>-1.3264519660887186</c:v>
                </c:pt>
                <c:pt idx="3">
                  <c:v>-1.5684360973535147</c:v>
                </c:pt>
                <c:pt idx="4">
                  <c:v>-1.7888923915920518</c:v>
                </c:pt>
                <c:pt idx="5">
                  <c:v>-1.9802656786724686</c:v>
                </c:pt>
                <c:pt idx="6">
                  <c:v>-2.1381475393542368</c:v>
                </c:pt>
                <c:pt idx="7">
                  <c:v>-2.2608931215641359</c:v>
                </c:pt>
                <c:pt idx="8">
                  <c:v>-2.3490676314387358</c:v>
                </c:pt>
                <c:pt idx="9">
                  <c:v>-2.4048521549857802</c:v>
                </c:pt>
                <c:pt idx="10">
                  <c:v>-2.4314903567491921</c:v>
                </c:pt>
                <c:pt idx="11">
                  <c:v>-2.4328188803790538</c:v>
                </c:pt>
                <c:pt idx="12">
                  <c:v>-2.412896913814671</c:v>
                </c:pt>
                <c:pt idx="13">
                  <c:v>-2.3757331666467798</c:v>
                </c:pt>
                <c:pt idx="14">
                  <c:v>-2.3250990933122937</c:v>
                </c:pt>
                <c:pt idx="15">
                  <c:v>-2.2644131784331818</c:v>
                </c:pt>
                <c:pt idx="16">
                  <c:v>-2.1966804739906904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F92-0F42-8E79-FA93B68985B2}"/>
            </c:ext>
          </c:extLst>
        </c:ser>
        <c:ser>
          <c:idx val="13"/>
          <c:order val="13"/>
          <c:tx>
            <c:strRef>
              <c:f>'Part 1 calls'!$H$84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calls'!$I$70:$Y$70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calls'!$I$84:$Y$84</c:f>
              <c:numCache>
                <c:formatCode>General</c:formatCode>
                <c:ptCount val="17"/>
                <c:pt idx="0">
                  <c:v>-0.87286617052590232</c:v>
                </c:pt>
                <c:pt idx="1">
                  <c:v>-1.0865140526166011</c:v>
                </c:pt>
                <c:pt idx="2">
                  <c:v>-1.295122823426228</c:v>
                </c:pt>
                <c:pt idx="3">
                  <c:v>-1.4902810165017013</c:v>
                </c:pt>
                <c:pt idx="4">
                  <c:v>-1.665812016068891</c:v>
                </c:pt>
                <c:pt idx="5">
                  <c:v>-1.8177553654206444</c:v>
                </c:pt>
                <c:pt idx="6">
                  <c:v>-1.9441194313891628</c:v>
                </c:pt>
                <c:pt idx="7">
                  <c:v>-2.0445236331417487</c:v>
                </c:pt>
                <c:pt idx="8">
                  <c:v>-2.1198126421010919</c:v>
                </c:pt>
                <c:pt idx="9">
                  <c:v>-2.1716932465298098</c:v>
                </c:pt>
                <c:pt idx="10">
                  <c:v>-2.2024204397098712</c:v>
                </c:pt>
                <c:pt idx="11">
                  <c:v>-2.2145427852973043</c:v>
                </c:pt>
                <c:pt idx="12">
                  <c:v>-2.2107068879361922</c:v>
                </c:pt>
                <c:pt idx="13">
                  <c:v>-2.1935151829262223</c:v>
                </c:pt>
                <c:pt idx="14">
                  <c:v>-2.1654287536019421</c:v>
                </c:pt>
                <c:pt idx="15">
                  <c:v>-2.1287063151543002</c:v>
                </c:pt>
                <c:pt idx="16">
                  <c:v>-2.0853710293053753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F92-0F42-8E79-FA93B6898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658623"/>
        <c:axId val="1888660415"/>
        <c:axId val="1526064639"/>
      </c:line3DChart>
      <c:catAx>
        <c:axId val="18886586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660415"/>
        <c:crosses val="autoZero"/>
        <c:auto val="1"/>
        <c:lblAlgn val="ctr"/>
        <c:lblOffset val="100"/>
        <c:noMultiLvlLbl val="0"/>
      </c:catAx>
      <c:valAx>
        <c:axId val="188866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658623"/>
        <c:crosses val="autoZero"/>
        <c:crossBetween val="between"/>
      </c:valAx>
      <c:serAx>
        <c:axId val="15260646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6604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ThetaC</a:t>
            </a:r>
            <a:r>
              <a:rPr lang="it-IT" baseline="0"/>
              <a:t>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calls'!$AC$71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calls'!$AD$71:$AT$71</c:f>
              <c:numCache>
                <c:formatCode>General</c:formatCode>
                <c:ptCount val="17"/>
                <c:pt idx="0">
                  <c:v>-1.7741697800085733E-56</c:v>
                </c:pt>
                <c:pt idx="1">
                  <c:v>-3.9634483638267011E-40</c:v>
                </c:pt>
                <c:pt idx="2">
                  <c:v>-1.7965184339350717E-27</c:v>
                </c:pt>
                <c:pt idx="3">
                  <c:v>-7.8256854812150232E-18</c:v>
                </c:pt>
                <c:pt idx="4">
                  <c:v>-1.0945469496445877E-10</c:v>
                </c:pt>
                <c:pt idx="5">
                  <c:v>-1.2718845568899485E-5</c:v>
                </c:pt>
                <c:pt idx="6">
                  <c:v>-2.6264123680401839E-2</c:v>
                </c:pt>
                <c:pt idx="7">
                  <c:v>-1.7887200978989348</c:v>
                </c:pt>
                <c:pt idx="8">
                  <c:v>-6.8065404989997935</c:v>
                </c:pt>
                <c:pt idx="9">
                  <c:v>-2.8096999170641368</c:v>
                </c:pt>
                <c:pt idx="10">
                  <c:v>-1.0617696856203676</c:v>
                </c:pt>
                <c:pt idx="11">
                  <c:v>-0.99933274691414908</c:v>
                </c:pt>
                <c:pt idx="12">
                  <c:v>-0.9990008441294318</c:v>
                </c:pt>
                <c:pt idx="13">
                  <c:v>-0.99900049991941242</c:v>
                </c:pt>
                <c:pt idx="14">
                  <c:v>-0.99900049983338124</c:v>
                </c:pt>
                <c:pt idx="15">
                  <c:v>-0.99900049983337502</c:v>
                </c:pt>
                <c:pt idx="16">
                  <c:v>-0.99900049983337502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A-BC4C-9A20-BF93A362FA82}"/>
            </c:ext>
          </c:extLst>
        </c:ser>
        <c:ser>
          <c:idx val="1"/>
          <c:order val="1"/>
          <c:tx>
            <c:strRef>
              <c:f>'Part 1 calls'!$AC$72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calls'!$AD$72:$AT$72</c:f>
              <c:numCache>
                <c:formatCode>General</c:formatCode>
                <c:ptCount val="17"/>
                <c:pt idx="0">
                  <c:v>-2.6988234224663945E-28</c:v>
                </c:pt>
                <c:pt idx="1">
                  <c:v>-3.9580388650882416E-20</c:v>
                </c:pt>
                <c:pt idx="2">
                  <c:v>-8.2834418456166403E-14</c:v>
                </c:pt>
                <c:pt idx="3">
                  <c:v>-5.3836941160189032E-9</c:v>
                </c:pt>
                <c:pt idx="4">
                  <c:v>-1.9865645367966133E-5</c:v>
                </c:pt>
                <c:pt idx="5">
                  <c:v>-6.6979952562465309E-3</c:v>
                </c:pt>
                <c:pt idx="6">
                  <c:v>-0.30221040224718798</c:v>
                </c:pt>
                <c:pt idx="7">
                  <c:v>-2.4953248875877767</c:v>
                </c:pt>
                <c:pt idx="8">
                  <c:v>-4.9581889285846295</c:v>
                </c:pt>
                <c:pt idx="9">
                  <c:v>-3.260654127826319</c:v>
                </c:pt>
                <c:pt idx="10">
                  <c:v>-1.4203267482624213</c:v>
                </c:pt>
                <c:pt idx="11">
                  <c:v>-1.028601874488156</c:v>
                </c:pt>
                <c:pt idx="12">
                  <c:v>-0.99898058615091334</c:v>
                </c:pt>
                <c:pt idx="13">
                  <c:v>-0.99801735133849157</c:v>
                </c:pt>
                <c:pt idx="14">
                  <c:v>-0.99800212787312359</c:v>
                </c:pt>
                <c:pt idx="15">
                  <c:v>-0.99800199929697497</c:v>
                </c:pt>
                <c:pt idx="16">
                  <c:v>-0.99800199866923067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A-BC4C-9A20-BF93A362FA82}"/>
            </c:ext>
          </c:extLst>
        </c:ser>
        <c:ser>
          <c:idx val="2"/>
          <c:order val="2"/>
          <c:tx>
            <c:strRef>
              <c:f>'Part 1 calls'!$AC$73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calls'!$AD$73:$AT$73</c:f>
              <c:numCache>
                <c:formatCode>General</c:formatCode>
                <c:ptCount val="17"/>
                <c:pt idx="0">
                  <c:v>-6.1395528345081252E-19</c:v>
                </c:pt>
                <c:pt idx="1">
                  <c:v>-1.6867226881517839E-13</c:v>
                </c:pt>
                <c:pt idx="2">
                  <c:v>-2.7298872158421394E-9</c:v>
                </c:pt>
                <c:pt idx="3">
                  <c:v>-4.3711823606206652E-6</c:v>
                </c:pt>
                <c:pt idx="4">
                  <c:v>-1.0355445943207977E-3</c:v>
                </c:pt>
                <c:pt idx="5">
                  <c:v>-4.9870979006304723E-2</c:v>
                </c:pt>
                <c:pt idx="6">
                  <c:v>-0.63036640408252664</c:v>
                </c:pt>
                <c:pt idx="7">
                  <c:v>-2.5829981117216718</c:v>
                </c:pt>
                <c:pt idx="8">
                  <c:v>-4.1389512934429913</c:v>
                </c:pt>
                <c:pt idx="9">
                  <c:v>-3.200344164763647</c:v>
                </c:pt>
                <c:pt idx="10">
                  <c:v>-1.7199839414945775</c:v>
                </c:pt>
                <c:pt idx="11">
                  <c:v>-1.1225720045313203</c:v>
                </c:pt>
                <c:pt idx="12">
                  <c:v>-1.0096177769693249</c:v>
                </c:pt>
                <c:pt idx="13">
                  <c:v>-0.99779173974481894</c:v>
                </c:pt>
                <c:pt idx="14">
                  <c:v>-0.99703691729741384</c:v>
                </c:pt>
                <c:pt idx="15">
                  <c:v>-0.99700542289973981</c:v>
                </c:pt>
                <c:pt idx="16">
                  <c:v>-0.99700451475781493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5A-BC4C-9A20-BF93A362FA82}"/>
            </c:ext>
          </c:extLst>
        </c:ser>
        <c:ser>
          <c:idx val="3"/>
          <c:order val="3"/>
          <c:tx>
            <c:strRef>
              <c:f>'Part 1 calls'!$AC$74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calls'!$AD$74:$AT$74</c:f>
              <c:numCache>
                <c:formatCode>General</c:formatCode>
                <c:ptCount val="17"/>
                <c:pt idx="0">
                  <c:v>-2.8102344602630784E-14</c:v>
                </c:pt>
                <c:pt idx="1">
                  <c:v>-3.3426288111375925E-10</c:v>
                </c:pt>
                <c:pt idx="2">
                  <c:v>-4.7593574640757318E-7</c:v>
                </c:pt>
                <c:pt idx="3">
                  <c:v>-1.1967943915051099E-4</c:v>
                </c:pt>
                <c:pt idx="4">
                  <c:v>-7.1888534884936945E-3</c:v>
                </c:pt>
                <c:pt idx="5">
                  <c:v>-0.13096432610230183</c:v>
                </c:pt>
                <c:pt idx="6">
                  <c:v>-0.87721128897693912</c:v>
                </c:pt>
                <c:pt idx="7">
                  <c:v>-2.535493714857286</c:v>
                </c:pt>
                <c:pt idx="8">
                  <c:v>-3.6503221191583921</c:v>
                </c:pt>
                <c:pt idx="9">
                  <c:v>-3.0613579018839219</c:v>
                </c:pt>
                <c:pt idx="10">
                  <c:v>-1.8960425172476052</c:v>
                </c:pt>
                <c:pt idx="11">
                  <c:v>-1.2383251335713354</c:v>
                </c:pt>
                <c:pt idx="12">
                  <c:v>-1.0391851328459318</c:v>
                </c:pt>
                <c:pt idx="13">
                  <c:v>-1.0013865187230782</c:v>
                </c:pt>
                <c:pt idx="14">
                  <c:v>-0.99649823707064344</c:v>
                </c:pt>
                <c:pt idx="15">
                  <c:v>-0.9960419764388363</c:v>
                </c:pt>
                <c:pt idx="16">
                  <c:v>-0.99600984191230002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5A-BC4C-9A20-BF93A362FA82}"/>
            </c:ext>
          </c:extLst>
        </c:ser>
        <c:ser>
          <c:idx val="4"/>
          <c:order val="4"/>
          <c:tx>
            <c:strRef>
              <c:f>'Part 1 calls'!$AC$75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calls'!$AD$75:$AT$75</c:f>
              <c:numCache>
                <c:formatCode>General</c:formatCode>
                <c:ptCount val="17"/>
                <c:pt idx="0">
                  <c:v>-1.7162520567190197E-11</c:v>
                </c:pt>
                <c:pt idx="1">
                  <c:v>-3.1038137892502407E-8</c:v>
                </c:pt>
                <c:pt idx="2">
                  <c:v>-1.0282598965756016E-5</c:v>
                </c:pt>
                <c:pt idx="3">
                  <c:v>-8.5182568362664841E-4</c:v>
                </c:pt>
                <c:pt idx="4">
                  <c:v>-2.2472217520036059E-2</c:v>
                </c:pt>
                <c:pt idx="5">
                  <c:v>-0.22861221391938027</c:v>
                </c:pt>
                <c:pt idx="6">
                  <c:v>-1.0468955445219887</c:v>
                </c:pt>
                <c:pt idx="7">
                  <c:v>-2.4560770189035495</c:v>
                </c:pt>
                <c:pt idx="8">
                  <c:v>-3.3166623386379701</c:v>
                </c:pt>
                <c:pt idx="9">
                  <c:v>-2.9196803178708119</c:v>
                </c:pt>
                <c:pt idx="10">
                  <c:v>-1.9904374474546116</c:v>
                </c:pt>
                <c:pt idx="11">
                  <c:v>-1.3439253423365596</c:v>
                </c:pt>
                <c:pt idx="12">
                  <c:v>-1.0827543537359843</c:v>
                </c:pt>
                <c:pt idx="13">
                  <c:v>-1.0115661918947982</c:v>
                </c:pt>
                <c:pt idx="14">
                  <c:v>-0.99744365762636944</c:v>
                </c:pt>
                <c:pt idx="15">
                  <c:v>-0.99529923915443264</c:v>
                </c:pt>
                <c:pt idx="16">
                  <c:v>-0.99504037843585647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5A-BC4C-9A20-BF93A362FA82}"/>
            </c:ext>
          </c:extLst>
        </c:ser>
        <c:ser>
          <c:idx val="5"/>
          <c:order val="5"/>
          <c:tx>
            <c:strRef>
              <c:f>'Part 1 calls'!$AC$76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calls'!$AD$76:$AT$76</c:f>
              <c:numCache>
                <c:formatCode>General</c:formatCode>
                <c:ptCount val="17"/>
                <c:pt idx="0">
                  <c:v>-1.2158674907426928E-9</c:v>
                </c:pt>
                <c:pt idx="1">
                  <c:v>-6.2651495243948387E-7</c:v>
                </c:pt>
                <c:pt idx="2">
                  <c:v>-7.8536926900978952E-5</c:v>
                </c:pt>
                <c:pt idx="3">
                  <c:v>-3.104333626753534E-3</c:v>
                </c:pt>
                <c:pt idx="4">
                  <c:v>-4.7336296245838107E-2</c:v>
                </c:pt>
                <c:pt idx="5">
                  <c:v>-0.32670165900473036</c:v>
                </c:pt>
                <c:pt idx="6">
                  <c:v>-1.1616675668261593</c:v>
                </c:pt>
                <c:pt idx="7">
                  <c:v>-2.3725143203716335</c:v>
                </c:pt>
                <c:pt idx="8">
                  <c:v>-3.0702012244401988</c:v>
                </c:pt>
                <c:pt idx="9">
                  <c:v>-2.7906897238971711</c:v>
                </c:pt>
                <c:pt idx="10">
                  <c:v>-2.0364105259898482</c:v>
                </c:pt>
                <c:pt idx="11">
                  <c:v>-1.429919838791941</c:v>
                </c:pt>
                <c:pt idx="12">
                  <c:v>-1.1320010239830693</c:v>
                </c:pt>
                <c:pt idx="13">
                  <c:v>-1.0283622213237376</c:v>
                </c:pt>
                <c:pt idx="14">
                  <c:v>-1.0009523562627152</c:v>
                </c:pt>
                <c:pt idx="15">
                  <c:v>-0.995183898248726</c:v>
                </c:pt>
                <c:pt idx="16">
                  <c:v>-0.99418490669914983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5A-BC4C-9A20-BF93A362FA82}"/>
            </c:ext>
          </c:extLst>
        </c:ser>
        <c:ser>
          <c:idx val="6"/>
          <c:order val="6"/>
          <c:tx>
            <c:strRef>
              <c:f>'Part 1 calls'!$AC$77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calls'!$AD$77:$AT$77</c:f>
              <c:numCache>
                <c:formatCode>General</c:formatCode>
                <c:ptCount val="17"/>
                <c:pt idx="0">
                  <c:v>-2.5214310778111725E-8</c:v>
                </c:pt>
                <c:pt idx="1">
                  <c:v>-5.3000972168500081E-6</c:v>
                </c:pt>
                <c:pt idx="2">
                  <c:v>-3.3192191194745917E-4</c:v>
                </c:pt>
                <c:pt idx="3">
                  <c:v>-7.7356243656453586E-3</c:v>
                </c:pt>
                <c:pt idx="4">
                  <c:v>-7.9762193439246287E-2</c:v>
                </c:pt>
                <c:pt idx="5">
                  <c:v>-0.4173956577474226</c:v>
                </c:pt>
                <c:pt idx="6">
                  <c:v>-1.2392488993142485</c:v>
                </c:pt>
                <c:pt idx="7">
                  <c:v>-2.2930341537550012</c:v>
                </c:pt>
                <c:pt idx="8">
                  <c:v>-2.8785147234306048</c:v>
                </c:pt>
                <c:pt idx="9">
                  <c:v>-2.6763627640522563</c:v>
                </c:pt>
                <c:pt idx="10">
                  <c:v>-2.0537948974504801</c:v>
                </c:pt>
                <c:pt idx="11">
                  <c:v>-1.496439554663743</c:v>
                </c:pt>
                <c:pt idx="12">
                  <c:v>-1.1809172145111855</c:v>
                </c:pt>
                <c:pt idx="13">
                  <c:v>-1.0500431643391011</c:v>
                </c:pt>
                <c:pt idx="14">
                  <c:v>-1.0074790359176999</c:v>
                </c:pt>
                <c:pt idx="15">
                  <c:v>-0.99615573102822086</c:v>
                </c:pt>
                <c:pt idx="16">
                  <c:v>-0.99361539216943362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5A-BC4C-9A20-BF93A362FA82}"/>
            </c:ext>
          </c:extLst>
        </c:ser>
        <c:ser>
          <c:idx val="7"/>
          <c:order val="7"/>
          <c:tx>
            <c:strRef>
              <c:f>'Part 1 calls'!$AC$78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calls'!$AD$78:$AT$78</c:f>
              <c:numCache>
                <c:formatCode>General</c:formatCode>
                <c:ptCount val="17"/>
                <c:pt idx="0">
                  <c:v>-2.4299205821700299E-7</c:v>
                </c:pt>
                <c:pt idx="1">
                  <c:v>-2.6075407589769726E-5</c:v>
                </c:pt>
                <c:pt idx="2">
                  <c:v>-9.7053380389574802E-4</c:v>
                </c:pt>
                <c:pt idx="3">
                  <c:v>-1.5222227650521194E-2</c:v>
                </c:pt>
                <c:pt idx="4">
                  <c:v>-0.11706772368302551</c:v>
                </c:pt>
                <c:pt idx="5">
                  <c:v>-0.49790735381044754</c:v>
                </c:pt>
                <c:pt idx="6">
                  <c:v>-1.2916322354704772</c:v>
                </c:pt>
                <c:pt idx="7">
                  <c:v>-2.2198665455734687</c:v>
                </c:pt>
                <c:pt idx="8">
                  <c:v>-2.723882939939362</c:v>
                </c:pt>
                <c:pt idx="9">
                  <c:v>-2.5754538253346819</c:v>
                </c:pt>
                <c:pt idx="10">
                  <c:v>-2.0540889827989868</c:v>
                </c:pt>
                <c:pt idx="11">
                  <c:v>-1.5464279552807736</c:v>
                </c:pt>
                <c:pt idx="12">
                  <c:v>-1.2262333639660803</c:v>
                </c:pt>
                <c:pt idx="13">
                  <c:v>-1.0745132791188534</c:v>
                </c:pt>
                <c:pt idx="14">
                  <c:v>-1.0168374934730982</c:v>
                </c:pt>
                <c:pt idx="15">
                  <c:v>-0.99853125871027337</c:v>
                </c:pt>
                <c:pt idx="16">
                  <c:v>-0.9935409518245053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5A-BC4C-9A20-BF93A362FA82}"/>
            </c:ext>
          </c:extLst>
        </c:ser>
        <c:ser>
          <c:idx val="8"/>
          <c:order val="8"/>
          <c:tx>
            <c:strRef>
              <c:f>'Part 1 calls'!$AC$79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calls'!$AD$79:$AT$79</c:f>
              <c:numCache>
                <c:formatCode>General</c:formatCode>
                <c:ptCount val="17"/>
                <c:pt idx="0">
                  <c:v>-1.4063402814141336E-6</c:v>
                </c:pt>
                <c:pt idx="1">
                  <c:v>-8.9468527081001923E-5</c:v>
                </c:pt>
                <c:pt idx="2">
                  <c:v>-2.2220452297081021E-3</c:v>
                </c:pt>
                <c:pt idx="3">
                  <c:v>-2.5616471772711976E-2</c:v>
                </c:pt>
                <c:pt idx="4">
                  <c:v>-0.15686134166460777</c:v>
                </c:pt>
                <c:pt idx="5">
                  <c:v>-0.56792126563834433</c:v>
                </c:pt>
                <c:pt idx="6">
                  <c:v>-1.3267108853063547</c:v>
                </c:pt>
                <c:pt idx="7">
                  <c:v>-2.1532360436750415</c:v>
                </c:pt>
                <c:pt idx="8">
                  <c:v>-2.5956960223579779</c:v>
                </c:pt>
                <c:pt idx="9">
                  <c:v>-2.4861015674692988</c:v>
                </c:pt>
                <c:pt idx="10">
                  <c:v>-2.0440662109919514</c:v>
                </c:pt>
                <c:pt idx="11">
                  <c:v>-1.5831660900795126</c:v>
                </c:pt>
                <c:pt idx="12">
                  <c:v>-1.2665395567741544</c:v>
                </c:pt>
                <c:pt idx="13">
                  <c:v>-1.0999985828858836</c:v>
                </c:pt>
                <c:pt idx="14">
                  <c:v>-1.0284717400341259</c:v>
                </c:pt>
                <c:pt idx="15">
                  <c:v>-1.0024129120202085</c:v>
                </c:pt>
                <c:pt idx="16">
                  <c:v>-0.99414304615918159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B5A-BC4C-9A20-BF93A362FA82}"/>
            </c:ext>
          </c:extLst>
        </c:ser>
        <c:ser>
          <c:idx val="9"/>
          <c:order val="9"/>
          <c:tx>
            <c:strRef>
              <c:f>'Part 1 calls'!$AC$80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calls'!$AD$80:$AT$80</c:f>
              <c:numCache>
                <c:formatCode>General</c:formatCode>
                <c:ptCount val="17"/>
                <c:pt idx="0">
                  <c:v>-5.7000176182014149E-6</c:v>
                </c:pt>
                <c:pt idx="1">
                  <c:v>-2.3869990869464263E-4</c:v>
                </c:pt>
                <c:pt idx="2">
                  <c:v>-4.2897137822304234E-3</c:v>
                </c:pt>
                <c:pt idx="3">
                  <c:v>-3.8662805619377225E-2</c:v>
                </c:pt>
                <c:pt idx="4">
                  <c:v>-0.1973277731270941</c:v>
                </c:pt>
                <c:pt idx="5">
                  <c:v>-0.62817868988970182</c:v>
                </c:pt>
                <c:pt idx="6">
                  <c:v>-1.3497115868103298</c:v>
                </c:pt>
                <c:pt idx="7">
                  <c:v>-2.0926986337310773</c:v>
                </c:pt>
                <c:pt idx="8">
                  <c:v>-2.4871619828194662</c:v>
                </c:pt>
                <c:pt idx="9">
                  <c:v>-2.4065323741515643</c:v>
                </c:pt>
                <c:pt idx="10">
                  <c:v>-2.0278151582380417</c:v>
                </c:pt>
                <c:pt idx="11">
                  <c:v>-1.6095237247485614</c:v>
                </c:pt>
                <c:pt idx="12">
                  <c:v>-1.3014840422351661</c:v>
                </c:pt>
                <c:pt idx="13">
                  <c:v>-1.1252182962653507</c:v>
                </c:pt>
                <c:pt idx="14">
                  <c:v>-1.0417074404828752</c:v>
                </c:pt>
                <c:pt idx="15">
                  <c:v>-1.0077201455991194</c:v>
                </c:pt>
                <c:pt idx="16">
                  <c:v>-0.9955351225434268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B5A-BC4C-9A20-BF93A362FA82}"/>
            </c:ext>
          </c:extLst>
        </c:ser>
        <c:ser>
          <c:idx val="10"/>
          <c:order val="10"/>
          <c:tx>
            <c:strRef>
              <c:f>'Part 1 calls'!$AC$81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calls'!$AD$81:$AT$81</c:f>
              <c:numCache>
                <c:formatCode>General</c:formatCode>
                <c:ptCount val="17"/>
                <c:pt idx="0">
                  <c:v>-2.8094557668136805E-3</c:v>
                </c:pt>
                <c:pt idx="1">
                  <c:v>-1.7964922720805208E-2</c:v>
                </c:pt>
                <c:pt idx="2">
                  <c:v>-7.5492705019145762E-2</c:v>
                </c:pt>
                <c:pt idx="3">
                  <c:v>-0.2254419047382171</c:v>
                </c:pt>
                <c:pt idx="4">
                  <c:v>-0.50862652486936444</c:v>
                </c:pt>
                <c:pt idx="5">
                  <c:v>-0.91051647528102519</c:v>
                </c:pt>
                <c:pt idx="6">
                  <c:v>-1.3465118625798755</c:v>
                </c:pt>
                <c:pt idx="7">
                  <c:v>-1.702369113260277</c:v>
                </c:pt>
                <c:pt idx="8">
                  <c:v>-1.8968198638910643</c:v>
                </c:pt>
                <c:pt idx="9">
                  <c:v>-1.9161949128158462</c:v>
                </c:pt>
                <c:pt idx="10">
                  <c:v>-1.8042542243457567</c:v>
                </c:pt>
                <c:pt idx="11">
                  <c:v>-1.627417685412567</c:v>
                </c:pt>
                <c:pt idx="12">
                  <c:v>-1.4433847901174373</c:v>
                </c:pt>
                <c:pt idx="13">
                  <c:v>-1.2867999738466063</c:v>
                </c:pt>
                <c:pt idx="14">
                  <c:v>-1.1700753766787488</c:v>
                </c:pt>
                <c:pt idx="15">
                  <c:v>-1.0912229131042803</c:v>
                </c:pt>
                <c:pt idx="16">
                  <c:v>-1.0419547864254615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B5A-BC4C-9A20-BF93A362FA82}"/>
            </c:ext>
          </c:extLst>
        </c:ser>
        <c:ser>
          <c:idx val="11"/>
          <c:order val="11"/>
          <c:tx>
            <c:strRef>
              <c:f>'Part 1 calls'!$AC$82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calls'!$AD$82:$AT$82</c:f>
              <c:numCache>
                <c:formatCode>General</c:formatCode>
                <c:ptCount val="17"/>
                <c:pt idx="0">
                  <c:v>-2.0608802214615154E-2</c:v>
                </c:pt>
                <c:pt idx="1">
                  <c:v>-7.0601881338426944E-2</c:v>
                </c:pt>
                <c:pt idx="2">
                  <c:v>-0.18324275378839761</c:v>
                </c:pt>
                <c:pt idx="3">
                  <c:v>-0.37965888564532541</c:v>
                </c:pt>
                <c:pt idx="4">
                  <c:v>-0.65422441810309706</c:v>
                </c:pt>
                <c:pt idx="5">
                  <c:v>-0.96899254465018148</c:v>
                </c:pt>
                <c:pt idx="6">
                  <c:v>-1.2674633598458167</c:v>
                </c:pt>
                <c:pt idx="7">
                  <c:v>-1.4980318249102007</c:v>
                </c:pt>
                <c:pt idx="8">
                  <c:v>-1.6321368840120556</c:v>
                </c:pt>
                <c:pt idx="9">
                  <c:v>-1.6689769613820471</c:v>
                </c:pt>
                <c:pt idx="10">
                  <c:v>-1.628547857138261</c:v>
                </c:pt>
                <c:pt idx="11">
                  <c:v>-1.539912446389601</c:v>
                </c:pt>
                <c:pt idx="12">
                  <c:v>-1.4309743027329573</c:v>
                </c:pt>
                <c:pt idx="13">
                  <c:v>-1.3226705310119193</c:v>
                </c:pt>
                <c:pt idx="14">
                  <c:v>-1.2274725322142057</c:v>
                </c:pt>
                <c:pt idx="15">
                  <c:v>-1.1506261079389193</c:v>
                </c:pt>
                <c:pt idx="16">
                  <c:v>-1.0924586913900254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B5A-BC4C-9A20-BF93A362FA82}"/>
            </c:ext>
          </c:extLst>
        </c:ser>
        <c:ser>
          <c:idx val="12"/>
          <c:order val="12"/>
          <c:tx>
            <c:strRef>
              <c:f>'Part 1 calls'!$AC$83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calls'!$AD$83:$AT$83</c:f>
              <c:numCache>
                <c:formatCode>General</c:formatCode>
                <c:ptCount val="17"/>
                <c:pt idx="0">
                  <c:v>-5.3953367537049227E-2</c:v>
                </c:pt>
                <c:pt idx="1">
                  <c:v>-0.13546760228116439</c:v>
                </c:pt>
                <c:pt idx="2">
                  <c:v>-0.27668874124441334</c:v>
                </c:pt>
                <c:pt idx="3">
                  <c:v>-0.47812250038049475</c:v>
                </c:pt>
                <c:pt idx="4">
                  <c:v>-0.72088166490353678</c:v>
                </c:pt>
                <c:pt idx="5">
                  <c:v>-0.97209769273009516</c:v>
                </c:pt>
                <c:pt idx="6">
                  <c:v>-1.1964633419513619</c:v>
                </c:pt>
                <c:pt idx="7">
                  <c:v>-1.3672555247453544</c:v>
                </c:pt>
                <c:pt idx="8">
                  <c:v>-1.4721304236675186</c:v>
                </c:pt>
                <c:pt idx="9">
                  <c:v>-1.5128881577790412</c:v>
                </c:pt>
                <c:pt idx="10">
                  <c:v>-1.5012444403505649</c:v>
                </c:pt>
                <c:pt idx="11">
                  <c:v>-1.4534034312700119</c:v>
                </c:pt>
                <c:pt idx="12">
                  <c:v>-1.3854991612799537</c:v>
                </c:pt>
                <c:pt idx="13">
                  <c:v>-1.3107948188691811</c:v>
                </c:pt>
                <c:pt idx="14">
                  <c:v>-1.2385995084565897</c:v>
                </c:pt>
                <c:pt idx="15">
                  <c:v>-1.1744006095766661</c:v>
                </c:pt>
                <c:pt idx="16">
                  <c:v>-1.1206318608312233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B5A-BC4C-9A20-BF93A362FA82}"/>
            </c:ext>
          </c:extLst>
        </c:ser>
        <c:ser>
          <c:idx val="13"/>
          <c:order val="13"/>
          <c:tx>
            <c:strRef>
              <c:f>'Part 1 calls'!$AC$84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calls'!$AD$70:$AT$70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calls'!$AD$84:$AT$84</c:f>
              <c:numCache>
                <c:formatCode>General</c:formatCode>
                <c:ptCount val="17"/>
                <c:pt idx="0">
                  <c:v>-9.427503688995878E-2</c:v>
                </c:pt>
                <c:pt idx="1">
                  <c:v>-0.19660776291550636</c:v>
                </c:pt>
                <c:pt idx="2">
                  <c:v>-0.34806918998601771</c:v>
                </c:pt>
                <c:pt idx="3">
                  <c:v>-0.53979986371556854</c:v>
                </c:pt>
                <c:pt idx="4">
                  <c:v>-0.7516408875146191</c:v>
                </c:pt>
                <c:pt idx="5">
                  <c:v>-0.95848597221824339</c:v>
                </c:pt>
                <c:pt idx="6">
                  <c:v>-1.1376031377479858</c:v>
                </c:pt>
                <c:pt idx="7">
                  <c:v>-1.2738042093903825</c:v>
                </c:pt>
                <c:pt idx="8">
                  <c:v>-1.3612230144410415</c:v>
                </c:pt>
                <c:pt idx="9">
                  <c:v>-1.4021958595339319</c:v>
                </c:pt>
                <c:pt idx="10">
                  <c:v>-1.404563056818029</c:v>
                </c:pt>
                <c:pt idx="11">
                  <c:v>-1.378687667880929</c:v>
                </c:pt>
                <c:pt idx="12">
                  <c:v>-1.3350300764661558</c:v>
                </c:pt>
                <c:pt idx="13">
                  <c:v>-1.282604702240145</c:v>
                </c:pt>
                <c:pt idx="14">
                  <c:v>-1.228278865103833</c:v>
                </c:pt>
                <c:pt idx="15">
                  <c:v>-1.1766945849622656</c:v>
                </c:pt>
                <c:pt idx="16">
                  <c:v>-1.130558364559004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5A-BC4C-9A20-BF93A362F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767487"/>
        <c:axId val="1807818623"/>
        <c:axId val="1893384703"/>
      </c:line3DChart>
      <c:catAx>
        <c:axId val="1888767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818623"/>
        <c:crosses val="autoZero"/>
        <c:auto val="1"/>
        <c:lblAlgn val="ctr"/>
        <c:lblOffset val="100"/>
        <c:noMultiLvlLbl val="0"/>
      </c:catAx>
      <c:valAx>
        <c:axId val="180781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767487"/>
        <c:crosses val="autoZero"/>
        <c:crossBetween val="between"/>
      </c:valAx>
      <c:serAx>
        <c:axId val="18933847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078186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</a:t>
            </a:r>
            <a:r>
              <a:rPr lang="it-IT" baseline="0"/>
              <a:t>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calls'!$H$158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calls'!$I$158:$Y$158</c:f>
              <c:numCache>
                <c:formatCode>General</c:formatCode>
                <c:ptCount val="17"/>
                <c:pt idx="0">
                  <c:v>-7.86574635674896E-6</c:v>
                </c:pt>
                <c:pt idx="1">
                  <c:v>-5.3456152474156966E-4</c:v>
                </c:pt>
                <c:pt idx="2">
                  <c:v>-1.4088726906542936E-2</c:v>
                </c:pt>
                <c:pt idx="3">
                  <c:v>-0.17123698568076551</c:v>
                </c:pt>
                <c:pt idx="4">
                  <c:v>-1.0978796531062129</c:v>
                </c:pt>
                <c:pt idx="5">
                  <c:v>-4.1284706726956406</c:v>
                </c:pt>
                <c:pt idx="6">
                  <c:v>-9.9122869262396929</c:v>
                </c:pt>
                <c:pt idx="7">
                  <c:v>-16.281827134620691</c:v>
                </c:pt>
                <c:pt idx="8">
                  <c:v>-19.376518662495105</c:v>
                </c:pt>
                <c:pt idx="9">
                  <c:v>-17.551290771483384</c:v>
                </c:pt>
                <c:pt idx="10">
                  <c:v>-12.668285785275069</c:v>
                </c:pt>
                <c:pt idx="11">
                  <c:v>-7.6624531936093607</c:v>
                </c:pt>
                <c:pt idx="12">
                  <c:v>-4.1684960311975683</c:v>
                </c:pt>
                <c:pt idx="13">
                  <c:v>-2.2846318302699427</c:v>
                </c:pt>
                <c:pt idx="14">
                  <c:v>-1.4526683526875774</c:v>
                </c:pt>
                <c:pt idx="15">
                  <c:v>-1.1406677602666562</c:v>
                </c:pt>
                <c:pt idx="16">
                  <c:v>-1.0387288500578733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F-0B4B-B36D-7A971AD84602}"/>
            </c:ext>
          </c:extLst>
        </c:ser>
        <c:ser>
          <c:idx val="1"/>
          <c:order val="1"/>
          <c:tx>
            <c:strRef>
              <c:f>'Part 1 calls'!$H$159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calls'!$I$159:$Y$159</c:f>
              <c:numCache>
                <c:formatCode>General</c:formatCode>
                <c:ptCount val="17"/>
                <c:pt idx="0">
                  <c:v>-7.8335702211474924E-3</c:v>
                </c:pt>
                <c:pt idx="1">
                  <c:v>-6.5646267986270448E-2</c:v>
                </c:pt>
                <c:pt idx="2">
                  <c:v>-0.34225293749200414</c:v>
                </c:pt>
                <c:pt idx="3">
                  <c:v>-1.2108334849312246</c:v>
                </c:pt>
                <c:pt idx="4">
                  <c:v>-3.1095952477789739</c:v>
                </c:pt>
                <c:pt idx="5">
                  <c:v>-6.1139874855477672</c:v>
                </c:pt>
                <c:pt idx="6">
                  <c:v>-9.6047976302199629</c:v>
                </c:pt>
                <c:pt idx="7">
                  <c:v>-12.482633365255644</c:v>
                </c:pt>
                <c:pt idx="8">
                  <c:v>-13.814268800717613</c:v>
                </c:pt>
                <c:pt idx="9">
                  <c:v>-13.342865833248622</c:v>
                </c:pt>
                <c:pt idx="10">
                  <c:v>-11.496483138494906</c:v>
                </c:pt>
                <c:pt idx="11">
                  <c:v>-9.0215023742313356</c:v>
                </c:pt>
                <c:pt idx="12">
                  <c:v>-6.5885479050464948</c:v>
                </c:pt>
                <c:pt idx="13">
                  <c:v>-4.5922621222575026</c:v>
                </c:pt>
                <c:pt idx="14">
                  <c:v>-3.1519440704995945</c:v>
                </c:pt>
                <c:pt idx="15">
                  <c:v>-2.21163157374898</c:v>
                </c:pt>
                <c:pt idx="16">
                  <c:v>-1.645736548549674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3F-0B4B-B36D-7A971AD84602}"/>
            </c:ext>
          </c:extLst>
        </c:ser>
        <c:ser>
          <c:idx val="2"/>
          <c:order val="2"/>
          <c:tx>
            <c:strRef>
              <c:f>'Part 1 calls'!$H$160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calls'!$I$160:$Y$160</c:f>
              <c:numCache>
                <c:formatCode>General</c:formatCode>
                <c:ptCount val="17"/>
                <c:pt idx="0">
                  <c:v>-7.1767328703131336E-2</c:v>
                </c:pt>
                <c:pt idx="1">
                  <c:v>-0.29942355631593942</c:v>
                </c:pt>
                <c:pt idx="2">
                  <c:v>-0.90984505188189913</c:v>
                </c:pt>
                <c:pt idx="3">
                  <c:v>-2.1339099293665682</c:v>
                </c:pt>
                <c:pt idx="4">
                  <c:v>-4.0410218231046038</c:v>
                </c:pt>
                <c:pt idx="5">
                  <c:v>-6.4029620848560018</c:v>
                </c:pt>
                <c:pt idx="6">
                  <c:v>-8.734941657971337</c:v>
                </c:pt>
                <c:pt idx="7">
                  <c:v>-10.501494129426368</c:v>
                </c:pt>
                <c:pt idx="8">
                  <c:v>-11.343643378530663</c:v>
                </c:pt>
                <c:pt idx="9">
                  <c:v>-11.191345844601329</c:v>
                </c:pt>
                <c:pt idx="10">
                  <c:v>-10.229360192159604</c:v>
                </c:pt>
                <c:pt idx="11">
                  <c:v>-8.7758102343217406</c:v>
                </c:pt>
                <c:pt idx="12">
                  <c:v>-7.1548397873240326</c:v>
                </c:pt>
                <c:pt idx="13">
                  <c:v>-5.614446181432398</c:v>
                </c:pt>
                <c:pt idx="14">
                  <c:v>-4.2993160442064573</c:v>
                </c:pt>
                <c:pt idx="15">
                  <c:v>-3.2627906042027806</c:v>
                </c:pt>
                <c:pt idx="16">
                  <c:v>-2.4959447913756074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3F-0B4B-B36D-7A971AD84602}"/>
            </c:ext>
          </c:extLst>
        </c:ser>
        <c:ser>
          <c:idx val="3"/>
          <c:order val="3"/>
          <c:tx>
            <c:strRef>
              <c:f>'Part 1 calls'!$H$161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calls'!$I$161:$Y$161</c:f>
              <c:numCache>
                <c:formatCode>General</c:formatCode>
                <c:ptCount val="17"/>
                <c:pt idx="0">
                  <c:v>-0.20832213907689659</c:v>
                </c:pt>
                <c:pt idx="1">
                  <c:v>-0.61335890348349875</c:v>
                </c:pt>
                <c:pt idx="2">
                  <c:v>-1.4231066922699669</c:v>
                </c:pt>
                <c:pt idx="3">
                  <c:v>-2.7180204876622058</c:v>
                </c:pt>
                <c:pt idx="4">
                  <c:v>-4.4206398493278041</c:v>
                </c:pt>
                <c:pt idx="5">
                  <c:v>-6.2888627151985368</c:v>
                </c:pt>
                <c:pt idx="6">
                  <c:v>-7.9957093121645491</c:v>
                </c:pt>
                <c:pt idx="7">
                  <c:v>-9.246085696999307</c:v>
                </c:pt>
                <c:pt idx="8">
                  <c:v>-9.8670678358746962</c:v>
                </c:pt>
                <c:pt idx="9">
                  <c:v>-9.8373339581211461</c:v>
                </c:pt>
                <c:pt idx="10">
                  <c:v>-9.2603811900169628</c:v>
                </c:pt>
                <c:pt idx="11">
                  <c:v>-8.3087310746844558</c:v>
                </c:pt>
                <c:pt idx="12">
                  <c:v>-7.1675142754295438</c:v>
                </c:pt>
                <c:pt idx="13">
                  <c:v>-5.9946478810384027</c:v>
                </c:pt>
                <c:pt idx="14">
                  <c:v>-4.9020372377619381</c:v>
                </c:pt>
                <c:pt idx="15">
                  <c:v>-3.9538458643931604</c:v>
                </c:pt>
                <c:pt idx="16">
                  <c:v>-3.1748406567188363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3F-0B4B-B36D-7A971AD84602}"/>
            </c:ext>
          </c:extLst>
        </c:ser>
        <c:ser>
          <c:idx val="4"/>
          <c:order val="4"/>
          <c:tx>
            <c:strRef>
              <c:f>'Part 1 calls'!$H$162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calls'!$I$162:$Y$162</c:f>
              <c:numCache>
                <c:formatCode>General</c:formatCode>
                <c:ptCount val="17"/>
                <c:pt idx="0">
                  <c:v>-0.3851493738906861</c:v>
                </c:pt>
                <c:pt idx="1">
                  <c:v>-0.92007451386040462</c:v>
                </c:pt>
                <c:pt idx="2">
                  <c:v>-1.8159074029449049</c:v>
                </c:pt>
                <c:pt idx="3">
                  <c:v>-3.0664451357531393</c:v>
                </c:pt>
                <c:pt idx="4">
                  <c:v>-4.5525755909735093</c:v>
                </c:pt>
                <c:pt idx="5">
                  <c:v>-6.0714923044142068</c:v>
                </c:pt>
                <c:pt idx="6">
                  <c:v>-7.400251608132125</c:v>
                </c:pt>
                <c:pt idx="7">
                  <c:v>-8.3602865316580477</c:v>
                </c:pt>
                <c:pt idx="8">
                  <c:v>-8.8568267201005213</c:v>
                </c:pt>
                <c:pt idx="9">
                  <c:v>-8.8853732518794875</c:v>
                </c:pt>
                <c:pt idx="10">
                  <c:v>-8.5127093825797768</c:v>
                </c:pt>
                <c:pt idx="11">
                  <c:v>-7.8462647080660783</c:v>
                </c:pt>
                <c:pt idx="12">
                  <c:v>-7.004170835045791</c:v>
                </c:pt>
                <c:pt idx="13">
                  <c:v>-6.0932152162630704</c:v>
                </c:pt>
                <c:pt idx="14">
                  <c:v>-5.196735352822385</c:v>
                </c:pt>
                <c:pt idx="15">
                  <c:v>-4.3710823922366622</c:v>
                </c:pt>
                <c:pt idx="16">
                  <c:v>-3.6478447016672115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3F-0B4B-B36D-7A971AD84602}"/>
            </c:ext>
          </c:extLst>
        </c:ser>
        <c:ser>
          <c:idx val="5"/>
          <c:order val="5"/>
          <c:tx>
            <c:strRef>
              <c:f>'Part 1 calls'!$H$163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calls'!$I$163:$Y$163</c:f>
              <c:numCache>
                <c:formatCode>General</c:formatCode>
                <c:ptCount val="17"/>
                <c:pt idx="0">
                  <c:v>-0.57068699009448409</c:v>
                </c:pt>
                <c:pt idx="1">
                  <c:v>-1.1860348902420679</c:v>
                </c:pt>
                <c:pt idx="2">
                  <c:v>-2.1016589724352737</c:v>
                </c:pt>
                <c:pt idx="3">
                  <c:v>-3.2695032124569399</c:v>
                </c:pt>
                <c:pt idx="4">
                  <c:v>-4.5679449042102078</c:v>
                </c:pt>
                <c:pt idx="5">
                  <c:v>-5.8355130311107528</c:v>
                </c:pt>
                <c:pt idx="6">
                  <c:v>-6.9154307764610223</c:v>
                </c:pt>
                <c:pt idx="7">
                  <c:v>-7.6921056530042433</c:v>
                </c:pt>
                <c:pt idx="8">
                  <c:v>-8.1091979389043836</c:v>
                </c:pt>
                <c:pt idx="9">
                  <c:v>-8.1688726019623541</c:v>
                </c:pt>
                <c:pt idx="10">
                  <c:v>-7.9181914358468681</c:v>
                </c:pt>
                <c:pt idx="11">
                  <c:v>-7.4303015724449573</c:v>
                </c:pt>
                <c:pt idx="12">
                  <c:v>-6.7865807444678898</c:v>
                </c:pt>
                <c:pt idx="13">
                  <c:v>-6.0632046905455992</c:v>
                </c:pt>
                <c:pt idx="14">
                  <c:v>-5.3231366553033439</c:v>
                </c:pt>
                <c:pt idx="15">
                  <c:v>-4.6129253203942397</c:v>
                </c:pt>
                <c:pt idx="16">
                  <c:v>-3.962968623645323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3F-0B4B-B36D-7A971AD84602}"/>
            </c:ext>
          </c:extLst>
        </c:ser>
        <c:ser>
          <c:idx val="6"/>
          <c:order val="6"/>
          <c:tx>
            <c:strRef>
              <c:f>'Part 1 calls'!$H$164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calls'!$I$164:$Y$164</c:f>
              <c:numCache>
                <c:formatCode>General</c:formatCode>
                <c:ptCount val="17"/>
                <c:pt idx="0">
                  <c:v>-0.74691616091774726</c:v>
                </c:pt>
                <c:pt idx="1">
                  <c:v>-1.4053427373410059</c:v>
                </c:pt>
                <c:pt idx="2">
                  <c:v>-2.3058679712017018</c:v>
                </c:pt>
                <c:pt idx="3">
                  <c:v>-3.3832037190680788</c:v>
                </c:pt>
                <c:pt idx="4">
                  <c:v>-4.5262445003803577</c:v>
                </c:pt>
                <c:pt idx="5">
                  <c:v>-5.6074439972799262</c:v>
                </c:pt>
                <c:pt idx="6">
                  <c:v>-6.513125367110411</c:v>
                </c:pt>
                <c:pt idx="7">
                  <c:v>-7.1646458788959393</c:v>
                </c:pt>
                <c:pt idx="8">
                  <c:v>-7.5266655233478144</c:v>
                </c:pt>
                <c:pt idx="9">
                  <c:v>-7.6041261525370034</c:v>
                </c:pt>
                <c:pt idx="10">
                  <c:v>-7.432236157652147</c:v>
                </c:pt>
                <c:pt idx="11">
                  <c:v>-7.0640007758825725</c:v>
                </c:pt>
                <c:pt idx="12">
                  <c:v>-6.5586802201493235</c:v>
                </c:pt>
                <c:pt idx="13">
                  <c:v>-5.9730068814691473</c:v>
                </c:pt>
                <c:pt idx="14">
                  <c:v>-5.3556748758271633</c:v>
                </c:pt>
                <c:pt idx="15">
                  <c:v>-4.7447667613619569</c:v>
                </c:pt>
                <c:pt idx="16">
                  <c:v>-4.1673865977185898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3F-0B4B-B36D-7A971AD84602}"/>
            </c:ext>
          </c:extLst>
        </c:ser>
        <c:ser>
          <c:idx val="7"/>
          <c:order val="7"/>
          <c:tx>
            <c:strRef>
              <c:f>'Part 1 calls'!$H$165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calls'!$I$165:$Y$165</c:f>
              <c:numCache>
                <c:formatCode>General</c:formatCode>
                <c:ptCount val="17"/>
                <c:pt idx="0">
                  <c:v>-0.90594478621964269</c:v>
                </c:pt>
                <c:pt idx="1">
                  <c:v>-1.5821076898460016</c:v>
                </c:pt>
                <c:pt idx="2">
                  <c:v>-2.4504365254330298</c:v>
                </c:pt>
                <c:pt idx="3">
                  <c:v>-3.4409696065436042</c:v>
                </c:pt>
                <c:pt idx="4">
                  <c:v>-4.4563512948974298</c:v>
                </c:pt>
                <c:pt idx="5">
                  <c:v>-5.395297075905094</c:v>
                </c:pt>
                <c:pt idx="6">
                  <c:v>-6.1731453902301494</c:v>
                </c:pt>
                <c:pt idx="7">
                  <c:v>-6.7343392729607903</c:v>
                </c:pt>
                <c:pt idx="8">
                  <c:v>-7.055910733472639</c:v>
                </c:pt>
                <c:pt idx="9">
                  <c:v>-7.1439122011034444</c:v>
                </c:pt>
                <c:pt idx="10">
                  <c:v>-7.0258437728884617</c:v>
                </c:pt>
                <c:pt idx="11">
                  <c:v>-6.7419146253309883</c:v>
                </c:pt>
                <c:pt idx="12">
                  <c:v>-6.3371270341833643</c:v>
                </c:pt>
                <c:pt idx="13">
                  <c:v>-5.855217611913174</c:v>
                </c:pt>
                <c:pt idx="14">
                  <c:v>-5.3347262293524453</c:v>
                </c:pt>
                <c:pt idx="15">
                  <c:v>-4.8069806848652092</c:v>
                </c:pt>
                <c:pt idx="16">
                  <c:v>-4.2955576789681027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3F-0B4B-B36D-7A971AD84602}"/>
            </c:ext>
          </c:extLst>
        </c:ser>
        <c:ser>
          <c:idx val="8"/>
          <c:order val="8"/>
          <c:tx>
            <c:strRef>
              <c:f>'Part 1 calls'!$H$166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calls'!$I$166:$Y$166</c:f>
              <c:numCache>
                <c:formatCode>General</c:formatCode>
                <c:ptCount val="17"/>
                <c:pt idx="0">
                  <c:v>-1.0455051332204088</c:v>
                </c:pt>
                <c:pt idx="1">
                  <c:v>-1.7230231225374042</c:v>
                </c:pt>
                <c:pt idx="2">
                  <c:v>-2.5517035958736147</c:v>
                </c:pt>
                <c:pt idx="3">
                  <c:v>-3.4630237817918452</c:v>
                </c:pt>
                <c:pt idx="4">
                  <c:v>-4.3730662634783366</c:v>
                </c:pt>
                <c:pt idx="5">
                  <c:v>-5.2006317002732176</c:v>
                </c:pt>
                <c:pt idx="6">
                  <c:v>-5.8812212416849832</c:v>
                </c:pt>
                <c:pt idx="7">
                  <c:v>-6.3744279099051768</c:v>
                </c:pt>
                <c:pt idx="8">
                  <c:v>-6.6649933986572272</c:v>
                </c:pt>
                <c:pt idx="9">
                  <c:v>-6.7593147737894457</c:v>
                </c:pt>
                <c:pt idx="10">
                  <c:v>-6.6795788835399268</c:v>
                </c:pt>
                <c:pt idx="11">
                  <c:v>-6.4573745014743302</c:v>
                </c:pt>
                <c:pt idx="12">
                  <c:v>-6.1280125208154255</c:v>
                </c:pt>
                <c:pt idx="13">
                  <c:v>-5.7261675937466023</c:v>
                </c:pt>
                <c:pt idx="14">
                  <c:v>-5.2829838634877619</c:v>
                </c:pt>
                <c:pt idx="15">
                  <c:v>-4.824496421099818</c:v>
                </c:pt>
                <c:pt idx="16">
                  <c:v>-4.3710831256771003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43F-0B4B-B36D-7A971AD84602}"/>
            </c:ext>
          </c:extLst>
        </c:ser>
        <c:ser>
          <c:idx val="9"/>
          <c:order val="9"/>
          <c:tx>
            <c:strRef>
              <c:f>'Part 1 calls'!$H$167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calls'!$I$167:$Y$167</c:f>
              <c:numCache>
                <c:formatCode>General</c:formatCode>
                <c:ptCount val="17"/>
                <c:pt idx="0">
                  <c:v>-1.1660624729262905</c:v>
                </c:pt>
                <c:pt idx="1">
                  <c:v>-1.8346812944218083</c:v>
                </c:pt>
                <c:pt idx="2">
                  <c:v>-2.6214011777202777</c:v>
                </c:pt>
                <c:pt idx="3">
                  <c:v>-3.4619123250811352</c:v>
                </c:pt>
                <c:pt idx="4">
                  <c:v>-4.2842772354506504</c:v>
                </c:pt>
                <c:pt idx="5">
                  <c:v>-5.0227100150735122</c:v>
                </c:pt>
                <c:pt idx="6">
                  <c:v>-5.6271245372996592</c:v>
                </c:pt>
                <c:pt idx="7">
                  <c:v>-6.0674542642235005</c:v>
                </c:pt>
                <c:pt idx="8">
                  <c:v>-6.3334569165011896</c:v>
                </c:pt>
                <c:pt idx="9">
                  <c:v>-6.4315094172064686</c:v>
                </c:pt>
                <c:pt idx="10">
                  <c:v>-6.379968693015881</c:v>
                </c:pt>
                <c:pt idx="11">
                  <c:v>-6.2043450454461784</c:v>
                </c:pt>
                <c:pt idx="12">
                  <c:v>-5.9330796038718976</c:v>
                </c:pt>
                <c:pt idx="13">
                  <c:v>-5.5943022889480218</c:v>
                </c:pt>
                <c:pt idx="14">
                  <c:v>-5.2136428364706564</c:v>
                </c:pt>
                <c:pt idx="15">
                  <c:v>-4.8129836344761809</c:v>
                </c:pt>
                <c:pt idx="16">
                  <c:v>-4.409957584858196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43F-0B4B-B36D-7A971AD84602}"/>
            </c:ext>
          </c:extLst>
        </c:ser>
        <c:ser>
          <c:idx val="10"/>
          <c:order val="10"/>
          <c:tx>
            <c:strRef>
              <c:f>'Part 1 calls'!$H$168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calls'!$I$168:$Y$168</c:f>
              <c:numCache>
                <c:formatCode>General</c:formatCode>
                <c:ptCount val="17"/>
                <c:pt idx="0">
                  <c:v>-1.7086795247581006</c:v>
                </c:pt>
                <c:pt idx="1">
                  <c:v>-2.1831999062152785</c:v>
                </c:pt>
                <c:pt idx="2">
                  <c:v>-2.6555418888221998</c:v>
                </c:pt>
                <c:pt idx="3">
                  <c:v>-3.1027525387801438</c:v>
                </c:pt>
                <c:pt idx="4">
                  <c:v>-3.5068307698804109</c:v>
                </c:pt>
                <c:pt idx="5">
                  <c:v>-3.8553061228667658</c:v>
                </c:pt>
                <c:pt idx="6">
                  <c:v>-4.1410087251173353</c:v>
                </c:pt>
                <c:pt idx="7">
                  <c:v>-4.3613583330502772</c:v>
                </c:pt>
                <c:pt idx="8">
                  <c:v>-4.5174347803161865</c:v>
                </c:pt>
                <c:pt idx="9">
                  <c:v>-4.6130128955711456</c:v>
                </c:pt>
                <c:pt idx="10">
                  <c:v>-4.6536739381781427</c:v>
                </c:pt>
                <c:pt idx="11">
                  <c:v>-4.6460509221782083</c:v>
                </c:pt>
                <c:pt idx="12">
                  <c:v>-4.5972274699475442</c:v>
                </c:pt>
                <c:pt idx="13">
                  <c:v>-4.5142863750966313</c:v>
                </c:pt>
                <c:pt idx="14">
                  <c:v>-4.4039912554693021</c:v>
                </c:pt>
                <c:pt idx="15">
                  <c:v>-4.2725791660675387</c:v>
                </c:pt>
                <c:pt idx="16">
                  <c:v>-4.1256411069645518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43F-0B4B-B36D-7A971AD84602}"/>
            </c:ext>
          </c:extLst>
        </c:ser>
        <c:ser>
          <c:idx val="11"/>
          <c:order val="11"/>
          <c:tx>
            <c:strRef>
              <c:f>'Part 1 calls'!$H$169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calls'!$I$169:$Y$169</c:f>
              <c:numCache>
                <c:formatCode>General</c:formatCode>
                <c:ptCount val="17"/>
                <c:pt idx="0">
                  <c:v>-1.7756357342870821</c:v>
                </c:pt>
                <c:pt idx="1">
                  <c:v>-2.1171148598811622</c:v>
                </c:pt>
                <c:pt idx="2">
                  <c:v>-2.4409968380917202</c:v>
                </c:pt>
                <c:pt idx="3">
                  <c:v>-2.7382435399524416</c:v>
                </c:pt>
                <c:pt idx="4">
                  <c:v>-3.0027581996199002</c:v>
                </c:pt>
                <c:pt idx="5">
                  <c:v>-3.2310342393826827</c:v>
                </c:pt>
                <c:pt idx="6">
                  <c:v>-3.4217000844737417</c:v>
                </c:pt>
                <c:pt idx="7">
                  <c:v>-3.5750472530785147</c:v>
                </c:pt>
                <c:pt idx="8">
                  <c:v>-3.6925921236830623</c:v>
                </c:pt>
                <c:pt idx="9">
                  <c:v>-3.7766961863163413</c:v>
                </c:pt>
                <c:pt idx="10">
                  <c:v>-3.8302531715045656</c:v>
                </c:pt>
                <c:pt idx="11">
                  <c:v>-3.8564417584460164</c:v>
                </c:pt>
                <c:pt idx="12">
                  <c:v>-3.8585374453286305</c:v>
                </c:pt>
                <c:pt idx="13">
                  <c:v>-3.8397749730685664</c:v>
                </c:pt>
                <c:pt idx="14">
                  <c:v>-3.8032522589449216</c:v>
                </c:pt>
                <c:pt idx="15">
                  <c:v>-3.7518673326293195</c:v>
                </c:pt>
                <c:pt idx="16">
                  <c:v>-3.688280771221792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43F-0B4B-B36D-7A971AD84602}"/>
            </c:ext>
          </c:extLst>
        </c:ser>
        <c:ser>
          <c:idx val="12"/>
          <c:order val="12"/>
          <c:tx>
            <c:strRef>
              <c:f>'Part 1 calls'!$H$170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calls'!$I$170:$Y$170</c:f>
              <c:numCache>
                <c:formatCode>General</c:formatCode>
                <c:ptCount val="17"/>
                <c:pt idx="0">
                  <c:v>-1.7298401390361418</c:v>
                </c:pt>
                <c:pt idx="1">
                  <c:v>-1.9924904879133494</c:v>
                </c:pt>
                <c:pt idx="2">
                  <c:v>-2.2367059040872883</c:v>
                </c:pt>
                <c:pt idx="3">
                  <c:v>-2.4584705263847519</c:v>
                </c:pt>
                <c:pt idx="4">
                  <c:v>-2.6554455785266864</c:v>
                </c:pt>
                <c:pt idx="5">
                  <c:v>-2.8266338033648197</c:v>
                </c:pt>
                <c:pt idx="6">
                  <c:v>-2.9720649485766923</c:v>
                </c:pt>
                <c:pt idx="7">
                  <c:v>-3.0925211334589857</c:v>
                </c:pt>
                <c:pt idx="8">
                  <c:v>-3.1893081826513754</c:v>
                </c:pt>
                <c:pt idx="9">
                  <c:v>-3.2640719505512328</c:v>
                </c:pt>
                <c:pt idx="10">
                  <c:v>-3.3186551587305373</c:v>
                </c:pt>
                <c:pt idx="11">
                  <c:v>-3.3549888881562855</c:v>
                </c:pt>
                <c:pt idx="12">
                  <c:v>-3.375012679075664</c:v>
                </c:pt>
                <c:pt idx="13">
                  <c:v>-3.3806176179061036</c:v>
                </c:pt>
                <c:pt idx="14">
                  <c:v>-3.3736074890087524</c:v>
                </c:pt>
                <c:pt idx="15">
                  <c:v>-3.3556738444770193</c:v>
                </c:pt>
                <c:pt idx="16">
                  <c:v>-3.3283815929388019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43F-0B4B-B36D-7A971AD84602}"/>
            </c:ext>
          </c:extLst>
        </c:ser>
        <c:ser>
          <c:idx val="13"/>
          <c:order val="13"/>
          <c:tx>
            <c:strRef>
              <c:f>'Part 1 calls'!$H$171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calls'!$I$157:$Y$157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calls'!$I$171:$Y$171</c:f>
              <c:numCache>
                <c:formatCode>General</c:formatCode>
                <c:ptCount val="17"/>
                <c:pt idx="0">
                  <c:v>-1.6553199220081252</c:v>
                </c:pt>
                <c:pt idx="1">
                  <c:v>-1.8675549688865178</c:v>
                </c:pt>
                <c:pt idx="2">
                  <c:v>-2.0630719700342928</c:v>
                </c:pt>
                <c:pt idx="3">
                  <c:v>-2.2400065899523129</c:v>
                </c:pt>
                <c:pt idx="4">
                  <c:v>-2.3974980329667264</c:v>
                </c:pt>
                <c:pt idx="5">
                  <c:v>-2.5354420120298613</c:v>
                </c:pt>
                <c:pt idx="6">
                  <c:v>-2.6542840868503306</c:v>
                </c:pt>
                <c:pt idx="7">
                  <c:v>-2.754852854959454</c:v>
                </c:pt>
                <c:pt idx="8">
                  <c:v>-2.8382289425117961</c:v>
                </c:pt>
                <c:pt idx="9">
                  <c:v>-2.905644464657811</c:v>
                </c:pt>
                <c:pt idx="10">
                  <c:v>-2.958407526781262</c:v>
                </c:pt>
                <c:pt idx="11">
                  <c:v>-2.9978467992173403</c:v>
                </c:pt>
                <c:pt idx="12">
                  <c:v>-3.0252718779929104</c:v>
                </c:pt>
                <c:pt idx="13">
                  <c:v>-3.0419458632825318</c:v>
                </c:pt>
                <c:pt idx="14">
                  <c:v>-3.0490672584689782</c:v>
                </c:pt>
                <c:pt idx="15">
                  <c:v>-3.0477588797204018</c:v>
                </c:pt>
                <c:pt idx="16">
                  <c:v>-3.0390619596721145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43F-0B4B-B36D-7A971AD84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386623"/>
        <c:axId val="1895388415"/>
        <c:axId val="1893393407"/>
      </c:line3DChart>
      <c:catAx>
        <c:axId val="18953866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5388415"/>
        <c:crosses val="autoZero"/>
        <c:auto val="1"/>
        <c:lblAlgn val="ctr"/>
        <c:lblOffset val="100"/>
        <c:noMultiLvlLbl val="0"/>
      </c:catAx>
      <c:valAx>
        <c:axId val="189538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5386623"/>
        <c:crosses val="autoZero"/>
        <c:crossBetween val="between"/>
      </c:valAx>
      <c:serAx>
        <c:axId val="1893393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53884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</a:t>
            </a:r>
            <a:r>
              <a:rPr lang="it-IT" baseline="0"/>
              <a:t>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calls'!$H$87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calls'!$I$87:$Y$87</c:f>
              <c:numCache>
                <c:formatCode>General</c:formatCode>
                <c:ptCount val="17"/>
                <c:pt idx="0">
                  <c:v>2.9155373317769574E-15</c:v>
                </c:pt>
                <c:pt idx="1">
                  <c:v>4.3284662987202277E-11</c:v>
                </c:pt>
                <c:pt idx="2">
                  <c:v>7.7692467200589755E-8</c:v>
                </c:pt>
                <c:pt idx="3">
                  <c:v>2.5013539023405381E-5</c:v>
                </c:pt>
                <c:pt idx="4">
                  <c:v>1.9684019476440403E-3</c:v>
                </c:pt>
                <c:pt idx="5">
                  <c:v>4.8575796157643812E-2</c:v>
                </c:pt>
                <c:pt idx="6">
                  <c:v>0.46266505291057575</c:v>
                </c:pt>
                <c:pt idx="7">
                  <c:v>2.0396276517295933</c:v>
                </c:pt>
                <c:pt idx="8">
                  <c:v>4.9319898584384116</c:v>
                </c:pt>
                <c:pt idx="9">
                  <c:v>7.7428944428213189</c:v>
                </c:pt>
                <c:pt idx="10">
                  <c:v>9.3111062933054924</c:v>
                </c:pt>
                <c:pt idx="11">
                  <c:v>9.8489758625579285</c:v>
                </c:pt>
                <c:pt idx="12">
                  <c:v>9.9693029945287854</c:v>
                </c:pt>
                <c:pt idx="13">
                  <c:v>9.9877868050641503</c:v>
                </c:pt>
                <c:pt idx="14">
                  <c:v>9.989825783141761</c:v>
                </c:pt>
                <c:pt idx="15">
                  <c:v>9.9899937425487071</c:v>
                </c:pt>
                <c:pt idx="16">
                  <c:v>9.9900044333117659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E-4649-8BD4-2DC744235F18}"/>
            </c:ext>
          </c:extLst>
        </c:ser>
        <c:ser>
          <c:idx val="1"/>
          <c:order val="1"/>
          <c:tx>
            <c:strRef>
              <c:f>'Part 1 calls'!$H$88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calls'!$I$88:$Y$88</c:f>
              <c:numCache>
                <c:formatCode>General</c:formatCode>
                <c:ptCount val="17"/>
                <c:pt idx="0">
                  <c:v>9.8144996773923596E-8</c:v>
                </c:pt>
                <c:pt idx="1">
                  <c:v>1.3045620291245922E-5</c:v>
                </c:pt>
                <c:pt idx="2">
                  <c:v>6.0569776566511083E-4</c:v>
                </c:pt>
                <c:pt idx="3">
                  <c:v>1.1981739309242229E-2</c:v>
                </c:pt>
                <c:pt idx="4">
                  <c:v>0.11806153679816479</c:v>
                </c:pt>
                <c:pt idx="5">
                  <c:v>0.65728086131009644</c:v>
                </c:pt>
                <c:pt idx="6">
                  <c:v>2.2955278113909654</c:v>
                </c:pt>
                <c:pt idx="7">
                  <c:v>5.5018256030450017</c:v>
                </c:pt>
                <c:pt idx="8">
                  <c:v>9.8019788801767227</c:v>
                </c:pt>
                <c:pt idx="9">
                  <c:v>13.963207315360485</c:v>
                </c:pt>
                <c:pt idx="10">
                  <c:v>16.997597069863819</c:v>
                </c:pt>
                <c:pt idx="11">
                  <c:v>18.727453260072849</c:v>
                </c:pt>
                <c:pt idx="12">
                  <c:v>19.522974084010123</c:v>
                </c:pt>
                <c:pt idx="13">
                  <c:v>19.826121374631196</c:v>
                </c:pt>
                <c:pt idx="14">
                  <c:v>19.924080062887658</c:v>
                </c:pt>
                <c:pt idx="15">
                  <c:v>19.95146289139338</c:v>
                </c:pt>
                <c:pt idx="16">
                  <c:v>19.958199888181856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6E-4649-8BD4-2DC744235F18}"/>
            </c:ext>
          </c:extLst>
        </c:ser>
        <c:ser>
          <c:idx val="2"/>
          <c:order val="2"/>
          <c:tx>
            <c:strRef>
              <c:f>'Part 1 calls'!$H$89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calls'!$I$89:$Y$89</c:f>
              <c:numCache>
                <c:formatCode>General</c:formatCode>
                <c:ptCount val="17"/>
                <c:pt idx="0">
                  <c:v>4.0745379654174123E-5</c:v>
                </c:pt>
                <c:pt idx="1">
                  <c:v>1.1214508890306986E-3</c:v>
                </c:pt>
                <c:pt idx="2">
                  <c:v>1.5340110803905882E-2</c:v>
                </c:pt>
                <c:pt idx="3">
                  <c:v>0.11911631216126904</c:v>
                </c:pt>
                <c:pt idx="4">
                  <c:v>0.58294742224800944</c:v>
                </c:pt>
                <c:pt idx="5">
                  <c:v>1.9560484482833893</c:v>
                </c:pt>
                <c:pt idx="6">
                  <c:v>4.8240469025865851</c:v>
                </c:pt>
                <c:pt idx="7">
                  <c:v>9.2744913252504038</c:v>
                </c:pt>
                <c:pt idx="8">
                  <c:v>14.628325566737619</c:v>
                </c:pt>
                <c:pt idx="9">
                  <c:v>19.801355879149483</c:v>
                </c:pt>
                <c:pt idx="10">
                  <c:v>23.936909463006028</c:v>
                </c:pt>
                <c:pt idx="11">
                  <c:v>26.741714753531923</c:v>
                </c:pt>
                <c:pt idx="12">
                  <c:v>28.39016422301777</c:v>
                </c:pt>
                <c:pt idx="13">
                  <c:v>29.245072006046918</c:v>
                </c:pt>
                <c:pt idx="14">
                  <c:v>29.642425234579132</c:v>
                </c:pt>
                <c:pt idx="15">
                  <c:v>29.81017221563636</c:v>
                </c:pt>
                <c:pt idx="16">
                  <c:v>29.875241343482667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6E-4649-8BD4-2DC744235F18}"/>
            </c:ext>
          </c:extLst>
        </c:ser>
        <c:ser>
          <c:idx val="3"/>
          <c:order val="3"/>
          <c:tx>
            <c:strRef>
              <c:f>'Part 1 calls'!$H$90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calls'!$I$90:$Y$90</c:f>
              <c:numCache>
                <c:formatCode>General</c:formatCode>
                <c:ptCount val="17"/>
                <c:pt idx="0">
                  <c:v>9.3629247971002423E-4</c:v>
                </c:pt>
                <c:pt idx="1">
                  <c:v>1.1705675325644333E-2</c:v>
                </c:pt>
                <c:pt idx="2">
                  <c:v>8.6710702538517648E-2</c:v>
                </c:pt>
                <c:pt idx="3">
                  <c:v>0.42058365657656555</c:v>
                </c:pt>
                <c:pt idx="4">
                  <c:v>1.4449660567580991</c:v>
                </c:pt>
                <c:pt idx="5">
                  <c:v>3.7454643863001102</c:v>
                </c:pt>
                <c:pt idx="6">
                  <c:v>7.7145681524544081</c:v>
                </c:pt>
                <c:pt idx="7">
                  <c:v>13.18745877873687</c:v>
                </c:pt>
                <c:pt idx="8">
                  <c:v>19.417631512966548</c:v>
                </c:pt>
                <c:pt idx="9">
                  <c:v>25.432746553601696</c:v>
                </c:pt>
                <c:pt idx="10">
                  <c:v>30.47039056162674</c:v>
                </c:pt>
                <c:pt idx="11">
                  <c:v>34.200126589648207</c:v>
                </c:pt>
                <c:pt idx="12">
                  <c:v>36.680746478076991</c:v>
                </c:pt>
                <c:pt idx="13">
                  <c:v>38.183205335550987</c:v>
                </c:pt>
                <c:pt idx="14">
                  <c:v>39.021658405667154</c:v>
                </c:pt>
                <c:pt idx="15">
                  <c:v>39.457121776080648</c:v>
                </c:pt>
                <c:pt idx="16">
                  <c:v>39.669441320637574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6E-4649-8BD4-2DC744235F18}"/>
            </c:ext>
          </c:extLst>
        </c:ser>
        <c:ser>
          <c:idx val="4"/>
          <c:order val="4"/>
          <c:tx>
            <c:strRef>
              <c:f>'Part 1 calls'!$H$91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calls'!$I$91:$Y$91</c:f>
              <c:numCache>
                <c:formatCode>General</c:formatCode>
                <c:ptCount val="17"/>
                <c:pt idx="0">
                  <c:v>6.5886799235162358E-3</c:v>
                </c:pt>
                <c:pt idx="1">
                  <c:v>5.1241821470043636E-2</c:v>
                </c:pt>
                <c:pt idx="2">
                  <c:v>0.26230859396038009</c:v>
                </c:pt>
                <c:pt idx="3">
                  <c:v>0.95750502791312742</c:v>
                </c:pt>
                <c:pt idx="4">
                  <c:v>2.6541221761137002</c:v>
                </c:pt>
                <c:pt idx="5">
                  <c:v>5.8755556011287497</c:v>
                </c:pt>
                <c:pt idx="6">
                  <c:v>10.82511559814913</c:v>
                </c:pt>
                <c:pt idx="7">
                  <c:v>17.178656648502809</c:v>
                </c:pt>
                <c:pt idx="8">
                  <c:v>24.173738548666901</c:v>
                </c:pt>
                <c:pt idx="9">
                  <c:v>30.924184743469112</c:v>
                </c:pt>
                <c:pt idx="10">
                  <c:v>36.738595144398111</c:v>
                </c:pt>
                <c:pt idx="11">
                  <c:v>41.277215823472964</c:v>
                </c:pt>
                <c:pt idx="12">
                  <c:v>44.52940714583994</c:v>
                </c:pt>
                <c:pt idx="13">
                  <c:v>46.692198548977835</c:v>
                </c:pt>
                <c:pt idx="14">
                  <c:v>48.039616695751533</c:v>
                </c:pt>
                <c:pt idx="15">
                  <c:v>48.832355634235022</c:v>
                </c:pt>
                <c:pt idx="16">
                  <c:v>49.275873716227721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6E-4649-8BD4-2DC744235F18}"/>
            </c:ext>
          </c:extLst>
        </c:ser>
        <c:ser>
          <c:idx val="5"/>
          <c:order val="5"/>
          <c:tx>
            <c:strRef>
              <c:f>'Part 1 calls'!$H$92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calls'!$I$92:$Y$92</c:f>
              <c:numCache>
                <c:formatCode>General</c:formatCode>
                <c:ptCount val="17"/>
                <c:pt idx="0">
                  <c:v>2.5336754690401989E-2</c:v>
                </c:pt>
                <c:pt idx="1">
                  <c:v>0.14346745368583744</c:v>
                </c:pt>
                <c:pt idx="2">
                  <c:v>0.57342650040421816</c:v>
                </c:pt>
                <c:pt idx="3">
                  <c:v>1.7295450873604499</c:v>
                </c:pt>
                <c:pt idx="4">
                  <c:v>4.1483206002554978</c:v>
                </c:pt>
                <c:pt idx="5">
                  <c:v>8.2510457333700931</c:v>
                </c:pt>
                <c:pt idx="6">
                  <c:v>14.082638092999998</c:v>
                </c:pt>
                <c:pt idx="7">
                  <c:v>21.217661617090137</c:v>
                </c:pt>
                <c:pt idx="8">
                  <c:v>28.899256857821801</c:v>
                </c:pt>
                <c:pt idx="9">
                  <c:v>36.309866980005239</c:v>
                </c:pt>
                <c:pt idx="10">
                  <c:v>42.813919395874585</c:v>
                </c:pt>
                <c:pt idx="11">
                  <c:v>48.073652121744175</c:v>
                </c:pt>
                <c:pt idx="12">
                  <c:v>52.035124616342841</c:v>
                </c:pt>
                <c:pt idx="13">
                  <c:v>54.839430840815325</c:v>
                </c:pt>
                <c:pt idx="14">
                  <c:v>56.719853041525752</c:v>
                </c:pt>
                <c:pt idx="15">
                  <c:v>57.922265459566475</c:v>
                </c:pt>
                <c:pt idx="16">
                  <c:v>58.659707295076835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6E-4649-8BD4-2DC744235F18}"/>
            </c:ext>
          </c:extLst>
        </c:ser>
        <c:ser>
          <c:idx val="6"/>
          <c:order val="6"/>
          <c:tx>
            <c:strRef>
              <c:f>'Part 1 calls'!$H$93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calls'!$I$93:$Y$93</c:f>
              <c:numCache>
                <c:formatCode>General</c:formatCode>
                <c:ptCount val="17"/>
                <c:pt idx="0">
                  <c:v>6.8496313647904108E-2</c:v>
                </c:pt>
                <c:pt idx="1">
                  <c:v>0.30898154554743779</c:v>
                </c:pt>
                <c:pt idx="2">
                  <c:v>1.0340638105047844</c:v>
                </c:pt>
                <c:pt idx="3">
                  <c:v>2.7188766452768531</c:v>
                </c:pt>
                <c:pt idx="4">
                  <c:v>5.8743138124230629</c:v>
                </c:pt>
                <c:pt idx="5">
                  <c:v>10.810010394461257</c:v>
                </c:pt>
                <c:pt idx="6">
                  <c:v>17.444422479079943</c:v>
                </c:pt>
                <c:pt idx="7">
                  <c:v>25.287075576346904</c:v>
                </c:pt>
                <c:pt idx="8">
                  <c:v>33.596116095735589</c:v>
                </c:pt>
                <c:pt idx="9">
                  <c:v>41.610220083116076</c:v>
                </c:pt>
                <c:pt idx="10">
                  <c:v>48.739182226438395</c:v>
                </c:pt>
                <c:pt idx="11">
                  <c:v>54.652113577166304</c:v>
                </c:pt>
                <c:pt idx="12">
                  <c:v>59.267237553388959</c:v>
                </c:pt>
                <c:pt idx="13">
                  <c:v>62.68359645053561</c:v>
                </c:pt>
                <c:pt idx="14">
                  <c:v>65.098182663181063</c:v>
                </c:pt>
                <c:pt idx="15">
                  <c:v>66.73692184392155</c:v>
                </c:pt>
                <c:pt idx="16">
                  <c:v>67.810197543662682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6E-4649-8BD4-2DC744235F18}"/>
            </c:ext>
          </c:extLst>
        </c:ser>
        <c:ser>
          <c:idx val="7"/>
          <c:order val="7"/>
          <c:tx>
            <c:strRef>
              <c:f>'Part 1 calls'!$H$94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calls'!$I$94:$Y$94</c:f>
              <c:numCache>
                <c:formatCode>General</c:formatCode>
                <c:ptCount val="17"/>
                <c:pt idx="0">
                  <c:v>0.1479229983212314</c:v>
                </c:pt>
                <c:pt idx="1">
                  <c:v>0.56236751489784886</c:v>
                </c:pt>
                <c:pt idx="2">
                  <c:v>1.6463949579291828</c:v>
                </c:pt>
                <c:pt idx="3">
                  <c:v>3.902596571002467</c:v>
                </c:pt>
                <c:pt idx="4">
                  <c:v>7.7898920427139711</c:v>
                </c:pt>
                <c:pt idx="5">
                  <c:v>13.510429218050067</c:v>
                </c:pt>
                <c:pt idx="6">
                  <c:v>20.883210534016246</c:v>
                </c:pt>
                <c:pt idx="7">
                  <c:v>29.375944234947266</c:v>
                </c:pt>
                <c:pt idx="8">
                  <c:v>38.265821976803807</c:v>
                </c:pt>
                <c:pt idx="9">
                  <c:v>46.838682825452466</c:v>
                </c:pt>
                <c:pt idx="10">
                  <c:v>54.542150099630135</c:v>
                </c:pt>
                <c:pt idx="11">
                  <c:v>61.054291488019338</c:v>
                </c:pt>
                <c:pt idx="12">
                  <c:v>66.275083755870497</c:v>
                </c:pt>
                <c:pt idx="13">
                  <c:v>70.271704194040638</c:v>
                </c:pt>
                <c:pt idx="14">
                  <c:v>73.210216289147127</c:v>
                </c:pt>
                <c:pt idx="15">
                  <c:v>75.2957374231259</c:v>
                </c:pt>
                <c:pt idx="16">
                  <c:v>76.730661853179058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6E-4649-8BD4-2DC744235F18}"/>
            </c:ext>
          </c:extLst>
        </c:ser>
        <c:ser>
          <c:idx val="8"/>
          <c:order val="8"/>
          <c:tx>
            <c:strRef>
              <c:f>'Part 1 calls'!$H$95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calls'!$I$95:$Y$95</c:f>
              <c:numCache>
                <c:formatCode>General</c:formatCode>
                <c:ptCount val="17"/>
                <c:pt idx="0">
                  <c:v>0.27423139001812402</c:v>
                </c:pt>
                <c:pt idx="1">
                  <c:v>0.91231525678742309</c:v>
                </c:pt>
                <c:pt idx="2">
                  <c:v>2.405785146566469</c:v>
                </c:pt>
                <c:pt idx="3">
                  <c:v>5.2579361449743294</c:v>
                </c:pt>
                <c:pt idx="4">
                  <c:v>9.8621140558168054</c:v>
                </c:pt>
                <c:pt idx="5">
                  <c:v>16.322605204399807</c:v>
                </c:pt>
                <c:pt idx="6">
                  <c:v>24.380474754909535</c:v>
                </c:pt>
                <c:pt idx="7">
                  <c:v>33.476899762460484</c:v>
                </c:pt>
                <c:pt idx="8">
                  <c:v>42.909594584950781</c:v>
                </c:pt>
                <c:pt idx="9">
                  <c:v>52.004704799454153</c:v>
                </c:pt>
                <c:pt idx="10">
                  <c:v>60.242046033683735</c:v>
                </c:pt>
                <c:pt idx="11">
                  <c:v>67.309416261096175</c:v>
                </c:pt>
                <c:pt idx="12">
                  <c:v>73.094735333031409</c:v>
                </c:pt>
                <c:pt idx="13">
                  <c:v>77.640758146235598</c:v>
                </c:pt>
                <c:pt idx="14">
                  <c:v>81.087590504535044</c:v>
                </c:pt>
                <c:pt idx="15">
                  <c:v>83.62051674627169</c:v>
                </c:pt>
                <c:pt idx="16">
                  <c:v>85.431448147951741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6E-4649-8BD4-2DC744235F18}"/>
            </c:ext>
          </c:extLst>
        </c:ser>
        <c:ser>
          <c:idx val="9"/>
          <c:order val="9"/>
          <c:tx>
            <c:strRef>
              <c:f>'Part 1 calls'!$H$96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calls'!$I$96:$Y$96</c:f>
              <c:numCache>
                <c:formatCode>General</c:formatCode>
                <c:ptCount val="17"/>
                <c:pt idx="0">
                  <c:v>0.45595912570109309</c:v>
                </c:pt>
                <c:pt idx="1">
                  <c:v>1.3628210187071796</c:v>
                </c:pt>
                <c:pt idx="2">
                  <c:v>3.3041361033821035</c:v>
                </c:pt>
                <c:pt idx="3">
                  <c:v>6.7641543932963435</c:v>
                </c:pt>
                <c:pt idx="4">
                  <c:v>12.065171933845738</c:v>
                </c:pt>
                <c:pt idx="5">
                  <c:v>19.224806199408722</c:v>
                </c:pt>
                <c:pt idx="6">
                  <c:v>27.923010462044491</c:v>
                </c:pt>
                <c:pt idx="7">
                  <c:v>37.584742260070186</c:v>
                </c:pt>
                <c:pt idx="8">
                  <c:v>47.528450546914641</c:v>
                </c:pt>
                <c:pt idx="9">
                  <c:v>57.1152625744216</c:v>
                </c:pt>
                <c:pt idx="10">
                  <c:v>65.852844532273394</c:v>
                </c:pt>
                <c:pt idx="11">
                  <c:v>73.43885824101524</c:v>
                </c:pt>
                <c:pt idx="12">
                  <c:v>79.753296736124057</c:v>
                </c:pt>
                <c:pt idx="13">
                  <c:v>84.819982584634872</c:v>
                </c:pt>
                <c:pt idx="14">
                  <c:v>88.757319713568378</c:v>
                </c:pt>
                <c:pt idx="15">
                  <c:v>91.732436651684779</c:v>
                </c:pt>
                <c:pt idx="16">
                  <c:v>93.925858365570519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6E-4649-8BD4-2DC744235F18}"/>
            </c:ext>
          </c:extLst>
        </c:ser>
        <c:ser>
          <c:idx val="10"/>
          <c:order val="10"/>
          <c:tx>
            <c:strRef>
              <c:f>'Part 1 calls'!$H$97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calls'!$I$97:$Y$97</c:f>
              <c:numCache>
                <c:formatCode>General</c:formatCode>
                <c:ptCount val="17"/>
                <c:pt idx="0">
                  <c:v>5.9353081456012937</c:v>
                </c:pt>
                <c:pt idx="1">
                  <c:v>10.87924313868019</c:v>
                </c:pt>
                <c:pt idx="2">
                  <c:v>17.932080685197075</c:v>
                </c:pt>
                <c:pt idx="3">
                  <c:v>27.119588189475021</c:v>
                </c:pt>
                <c:pt idx="4">
                  <c:v>38.22640213674083</c:v>
                </c:pt>
                <c:pt idx="5">
                  <c:v>50.84600116043957</c:v>
                </c:pt>
                <c:pt idx="6">
                  <c:v>64.458771564347103</c:v>
                </c:pt>
                <c:pt idx="7">
                  <c:v>78.513403617493836</c:v>
                </c:pt>
                <c:pt idx="8">
                  <c:v>92.494293545844172</c:v>
                </c:pt>
                <c:pt idx="9">
                  <c:v>105.96687970369521</c:v>
                </c:pt>
                <c:pt idx="10">
                  <c:v>118.60034685036835</c:v>
                </c:pt>
                <c:pt idx="11">
                  <c:v>130.1716483822899</c:v>
                </c:pt>
                <c:pt idx="12">
                  <c:v>140.55657274099252</c:v>
                </c:pt>
                <c:pt idx="13">
                  <c:v>149.71347861958171</c:v>
                </c:pt>
                <c:pt idx="14">
                  <c:v>157.6642413734192</c:v>
                </c:pt>
                <c:pt idx="15">
                  <c:v>164.47556479755494</c:v>
                </c:pt>
                <c:pt idx="16">
                  <c:v>170.24252108865093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6E-4649-8BD4-2DC744235F18}"/>
            </c:ext>
          </c:extLst>
        </c:ser>
        <c:ser>
          <c:idx val="11"/>
          <c:order val="11"/>
          <c:tx>
            <c:strRef>
              <c:f>'Part 1 calls'!$H$98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calls'!$I$98:$Y$98</c:f>
              <c:numCache>
                <c:formatCode>General</c:formatCode>
                <c:ptCount val="17"/>
                <c:pt idx="0">
                  <c:v>17.245259544138367</c:v>
                </c:pt>
                <c:pt idx="1">
                  <c:v>26.706226544028677</c:v>
                </c:pt>
                <c:pt idx="2">
                  <c:v>38.476487533043759</c:v>
                </c:pt>
                <c:pt idx="3">
                  <c:v>52.273981099216769</c:v>
                </c:pt>
                <c:pt idx="4">
                  <c:v>67.677547849775834</c:v>
                </c:pt>
                <c:pt idx="5">
                  <c:v>84.192775036698535</c:v>
                </c:pt>
                <c:pt idx="6">
                  <c:v>101.31166738002779</c:v>
                </c:pt>
                <c:pt idx="7">
                  <c:v>118.55867137549207</c:v>
                </c:pt>
                <c:pt idx="8">
                  <c:v>135.52089139551933</c:v>
                </c:pt>
                <c:pt idx="9">
                  <c:v>151.86376940705389</c:v>
                </c:pt>
                <c:pt idx="10">
                  <c:v>167.33520389609637</c:v>
                </c:pt>
                <c:pt idx="11">
                  <c:v>181.76154213669028</c:v>
                </c:pt>
                <c:pt idx="12">
                  <c:v>195.03860096125629</c:v>
                </c:pt>
                <c:pt idx="13">
                  <c:v>207.12025200276011</c:v>
                </c:pt>
                <c:pt idx="14">
                  <c:v>218.00640774968917</c:v>
                </c:pt>
                <c:pt idx="15">
                  <c:v>227.73160793645627</c:v>
                </c:pt>
                <c:pt idx="16">
                  <c:v>236.35489328260059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6E-4649-8BD4-2DC744235F18}"/>
            </c:ext>
          </c:extLst>
        </c:ser>
        <c:ser>
          <c:idx val="12"/>
          <c:order val="12"/>
          <c:tx>
            <c:strRef>
              <c:f>'Part 1 calls'!$H$99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calls'!$I$99:$Y$99</c:f>
              <c:numCache>
                <c:formatCode>General</c:formatCode>
                <c:ptCount val="17"/>
                <c:pt idx="0">
                  <c:v>32.377152020462432</c:v>
                </c:pt>
                <c:pt idx="1">
                  <c:v>45.966579050016691</c:v>
                </c:pt>
                <c:pt idx="2">
                  <c:v>61.749948584880109</c:v>
                </c:pt>
                <c:pt idx="3">
                  <c:v>79.297672467890507</c:v>
                </c:pt>
                <c:pt idx="4">
                  <c:v>98.121354844747401</c:v>
                </c:pt>
                <c:pt idx="5">
                  <c:v>117.72513441976243</c:v>
                </c:pt>
                <c:pt idx="6">
                  <c:v>137.64368253482539</c:v>
                </c:pt>
                <c:pt idx="7">
                  <c:v>157.46664906933412</c:v>
                </c:pt>
                <c:pt idx="8">
                  <c:v>176.85142165444597</c:v>
                </c:pt>
                <c:pt idx="9">
                  <c:v>195.52688246325391</c:v>
                </c:pt>
                <c:pt idx="10">
                  <c:v>213.29088821197067</c:v>
                </c:pt>
                <c:pt idx="11">
                  <c:v>230.00383938445142</c:v>
                </c:pt>
                <c:pt idx="12">
                  <c:v>245.58019526519709</c:v>
                </c:pt>
                <c:pt idx="13">
                  <c:v>259.97927799092867</c:v>
                </c:pt>
                <c:pt idx="14">
                  <c:v>273.19626305478522</c:v>
                </c:pt>
                <c:pt idx="15">
                  <c:v>285.25390074635311</c:v>
                </c:pt>
                <c:pt idx="16">
                  <c:v>296.19525249901477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6E-4649-8BD4-2DC744235F18}"/>
            </c:ext>
          </c:extLst>
        </c:ser>
        <c:ser>
          <c:idx val="13"/>
          <c:order val="13"/>
          <c:tx>
            <c:strRef>
              <c:f>'Part 1 calls'!$H$100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calls'!$I$86:$Y$86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calls'!$I$100:$Y$100</c:f>
              <c:numCache>
                <c:formatCode>General</c:formatCode>
                <c:ptCount val="17"/>
                <c:pt idx="0">
                  <c:v>49.898150544272639</c:v>
                </c:pt>
                <c:pt idx="1">
                  <c:v>67.144050131601432</c:v>
                </c:pt>
                <c:pt idx="2">
                  <c:v>86.363051145805372</c:v>
                </c:pt>
                <c:pt idx="3">
                  <c:v>107.06109558869031</c:v>
                </c:pt>
                <c:pt idx="4">
                  <c:v>128.73783982233832</c:v>
                </c:pt>
                <c:pt idx="5">
                  <c:v>150.92196539513881</c:v>
                </c:pt>
                <c:pt idx="6">
                  <c:v>173.19351169097621</c:v>
                </c:pt>
                <c:pt idx="7">
                  <c:v>195.1955064989242</c:v>
                </c:pt>
                <c:pt idx="8">
                  <c:v>216.63757703673949</c:v>
                </c:pt>
                <c:pt idx="9">
                  <c:v>237.29405021947213</c:v>
                </c:pt>
                <c:pt idx="10">
                  <c:v>256.9986224415502</c:v>
                </c:pt>
                <c:pt idx="11">
                  <c:v>275.63718801831254</c:v>
                </c:pt>
                <c:pt idx="12">
                  <c:v>293.13996071778939</c:v>
                </c:pt>
                <c:pt idx="13">
                  <c:v>309.47364560622191</c:v>
                </c:pt>
                <c:pt idx="14">
                  <c:v>324.63412741759055</c:v>
                </c:pt>
                <c:pt idx="15">
                  <c:v>338.63992954318462</c:v>
                </c:pt>
                <c:pt idx="16">
                  <c:v>351.52655093388364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6E-4649-8BD4-2DC744235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064575"/>
        <c:axId val="1893062335"/>
        <c:axId val="1877324799"/>
      </c:line3DChart>
      <c:catAx>
        <c:axId val="1893064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3062335"/>
        <c:crosses val="autoZero"/>
        <c:auto val="1"/>
        <c:lblAlgn val="ctr"/>
        <c:lblOffset val="100"/>
        <c:noMultiLvlLbl val="0"/>
      </c:catAx>
      <c:valAx>
        <c:axId val="189306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3064575"/>
        <c:crosses val="autoZero"/>
        <c:crossBetween val="between"/>
      </c:valAx>
      <c:serAx>
        <c:axId val="18773247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30623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</a:t>
            </a:r>
            <a:r>
              <a:rPr lang="it-IT" baseline="0"/>
              <a:t>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calls'!$H$174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calls'!$I$174:$Y$174</c:f>
              <c:numCache>
                <c:formatCode>General</c:formatCode>
                <c:ptCount val="17"/>
                <c:pt idx="0">
                  <c:v>2.9526232275500813E-7</c:v>
                </c:pt>
                <c:pt idx="1">
                  <c:v>2.3477394326331545E-5</c:v>
                </c:pt>
                <c:pt idx="2">
                  <c:v>7.3280508906908512E-4</c:v>
                </c:pt>
                <c:pt idx="3">
                  <c:v>1.0716304021740694E-2</c:v>
                </c:pt>
                <c:pt idx="4">
                  <c:v>8.4379549560306411E-2</c:v>
                </c:pt>
                <c:pt idx="5">
                  <c:v>0.40019706155343387</c:v>
                </c:pt>
                <c:pt idx="6">
                  <c:v>1.2546393350198692</c:v>
                </c:pt>
                <c:pt idx="7">
                  <c:v>2.8149490988691559</c:v>
                </c:pt>
                <c:pt idx="8">
                  <c:v>4.8480002263733493</c:v>
                </c:pt>
                <c:pt idx="9">
                  <c:v>6.8277831133797173</c:v>
                </c:pt>
                <c:pt idx="10">
                  <c:v>8.3258594130054373</c:v>
                </c:pt>
                <c:pt idx="11">
                  <c:v>9.2362125771932124</c:v>
                </c:pt>
                <c:pt idx="12">
                  <c:v>9.693115524377264</c:v>
                </c:pt>
                <c:pt idx="13">
                  <c:v>9.8871106655175343</c:v>
                </c:pt>
                <c:pt idx="14">
                  <c:v>9.9582415229851868</c:v>
                </c:pt>
                <c:pt idx="15">
                  <c:v>9.981168420699019</c:v>
                </c:pt>
                <c:pt idx="16">
                  <c:v>9.9877653195750877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4-744B-8418-9CBCBAFAA9A7}"/>
            </c:ext>
          </c:extLst>
        </c:ser>
        <c:ser>
          <c:idx val="1"/>
          <c:order val="1"/>
          <c:tx>
            <c:strRef>
              <c:f>'Part 1 calls'!$H$175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calls'!$I$175:$Y$175</c:f>
              <c:numCache>
                <c:formatCode>General</c:formatCode>
                <c:ptCount val="17"/>
                <c:pt idx="0">
                  <c:v>1.1332530343148011E-3</c:v>
                </c:pt>
                <c:pt idx="1">
                  <c:v>1.1000326823056614E-2</c:v>
                </c:pt>
                <c:pt idx="2">
                  <c:v>6.7012653150436682E-2</c:v>
                </c:pt>
                <c:pt idx="3">
                  <c:v>0.28005079404176503</c:v>
                </c:pt>
                <c:pt idx="4">
                  <c:v>0.86101600896775732</c:v>
                </c:pt>
                <c:pt idx="5">
                  <c:v>2.0599015086440065</c:v>
                </c:pt>
                <c:pt idx="6">
                  <c:v>4.0151569990777833</c:v>
                </c:pt>
                <c:pt idx="7">
                  <c:v>6.6260425961542984</c:v>
                </c:pt>
                <c:pt idx="8">
                  <c:v>9.5647445393394914</c:v>
                </c:pt>
                <c:pt idx="9">
                  <c:v>12.420817808937203</c:v>
                </c:pt>
                <c:pt idx="10">
                  <c:v>14.866303408782125</c:v>
                </c:pt>
                <c:pt idx="11">
                  <c:v>16.742535793708608</c:v>
                </c:pt>
                <c:pt idx="12">
                  <c:v>18.050952682701794</c:v>
                </c:pt>
                <c:pt idx="13">
                  <c:v>18.890468841237468</c:v>
                </c:pt>
                <c:pt idx="14">
                  <c:v>19.391259558754662</c:v>
                </c:pt>
                <c:pt idx="15">
                  <c:v>19.671489079206417</c:v>
                </c:pt>
                <c:pt idx="16">
                  <c:v>19.819726458551735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C4-744B-8418-9CBCBAFAA9A7}"/>
            </c:ext>
          </c:extLst>
        </c:ser>
        <c:ser>
          <c:idx val="2"/>
          <c:order val="2"/>
          <c:tx>
            <c:strRef>
              <c:f>'Part 1 calls'!$H$176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calls'!$I$176:$Y$176</c:f>
              <c:numCache>
                <c:formatCode>General</c:formatCode>
                <c:ptCount val="17"/>
                <c:pt idx="0">
                  <c:v>2.2587447202926818E-2</c:v>
                </c:pt>
                <c:pt idx="1">
                  <c:v>0.10828646304118206</c:v>
                </c:pt>
                <c:pt idx="2">
                  <c:v>0.38055475002660877</c:v>
                </c:pt>
                <c:pt idx="3">
                  <c:v>1.0404743079329288</c:v>
                </c:pt>
                <c:pt idx="4">
                  <c:v>2.3188215227327134</c:v>
                </c:pt>
                <c:pt idx="5">
                  <c:v>4.3722556636840153</c:v>
                </c:pt>
                <c:pt idx="6">
                  <c:v>7.1895756392573711</c:v>
                </c:pt>
                <c:pt idx="7">
                  <c:v>10.571300384455705</c:v>
                </c:pt>
                <c:pt idx="8">
                  <c:v>14.193093045907348</c:v>
                </c:pt>
                <c:pt idx="9">
                  <c:v>17.710675985594914</c:v>
                </c:pt>
                <c:pt idx="10">
                  <c:v>20.850986007567908</c:v>
                </c:pt>
                <c:pt idx="11">
                  <c:v>23.45733593243779</c:v>
                </c:pt>
                <c:pt idx="12">
                  <c:v>25.487739366774992</c:v>
                </c:pt>
                <c:pt idx="13">
                  <c:v>26.984500276398514</c:v>
                </c:pt>
                <c:pt idx="14">
                  <c:v>28.035878249676891</c:v>
                </c:pt>
                <c:pt idx="15">
                  <c:v>28.743809080910765</c:v>
                </c:pt>
                <c:pt idx="16">
                  <c:v>29.203093523689748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C4-744B-8418-9CBCBAFAA9A7}"/>
            </c:ext>
          </c:extLst>
        </c:ser>
        <c:ser>
          <c:idx val="3"/>
          <c:order val="3"/>
          <c:tx>
            <c:strRef>
              <c:f>'Part 1 calls'!$H$177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calls'!$I$177:$Y$177</c:f>
              <c:numCache>
                <c:formatCode>General</c:formatCode>
                <c:ptCount val="17"/>
                <c:pt idx="0">
                  <c:v>0.11301837002767318</c:v>
                </c:pt>
                <c:pt idx="1">
                  <c:v>0.37982446397381536</c:v>
                </c:pt>
                <c:pt idx="2">
                  <c:v>1.0108518694220894</c:v>
                </c:pt>
                <c:pt idx="3">
                  <c:v>2.2277486403587079</c:v>
                </c:pt>
                <c:pt idx="4">
                  <c:v>4.2101668239852943</c:v>
                </c:pt>
                <c:pt idx="5">
                  <c:v>7.015818789635345</c:v>
                </c:pt>
                <c:pt idx="6">
                  <c:v>10.543607299579147</c:v>
                </c:pt>
                <c:pt idx="7">
                  <c:v>14.556689094577388</c:v>
                </c:pt>
                <c:pt idx="8">
                  <c:v>18.748461687370579</c:v>
                </c:pt>
                <c:pt idx="9">
                  <c:v>22.818237236294163</c:v>
                </c:pt>
                <c:pt idx="10">
                  <c:v>26.528546066729881</c:v>
                </c:pt>
                <c:pt idx="11">
                  <c:v>29.731963677583227</c:v>
                </c:pt>
                <c:pt idx="12">
                  <c:v>32.370108870629927</c:v>
                </c:pt>
                <c:pt idx="13">
                  <c:v>34.455132914714234</c:v>
                </c:pt>
                <c:pt idx="14">
                  <c:v>36.044808482034149</c:v>
                </c:pt>
                <c:pt idx="15">
                  <c:v>37.219240872194902</c:v>
                </c:pt>
                <c:pt idx="16">
                  <c:v>38.063235204176131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C4-744B-8418-9CBCBAFAA9A7}"/>
            </c:ext>
          </c:extLst>
        </c:ser>
        <c:ser>
          <c:idx val="4"/>
          <c:order val="4"/>
          <c:tx>
            <c:strRef>
              <c:f>'Part 1 calls'!$H$178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calls'!$I$178:$Y$178</c:f>
              <c:numCache>
                <c:formatCode>General</c:formatCode>
                <c:ptCount val="17"/>
                <c:pt idx="0">
                  <c:v>0.31727274899903907</c:v>
                </c:pt>
                <c:pt idx="1">
                  <c:v>0.86022397763405956</c:v>
                </c:pt>
                <c:pt idx="2">
                  <c:v>1.9341199007049987</c:v>
                </c:pt>
                <c:pt idx="3">
                  <c:v>3.7375642733991832</c:v>
                </c:pt>
                <c:pt idx="4">
                  <c:v>6.3836239230238867</c:v>
                </c:pt>
                <c:pt idx="5">
                  <c:v>9.852967725997944</c:v>
                </c:pt>
                <c:pt idx="6">
                  <c:v>13.991727530535455</c:v>
                </c:pt>
                <c:pt idx="7">
                  <c:v>18.549891582551311</c:v>
                </c:pt>
                <c:pt idx="8">
                  <c:v>23.239821537606058</c:v>
                </c:pt>
                <c:pt idx="9">
                  <c:v>27.792320019220721</c:v>
                </c:pt>
                <c:pt idx="10">
                  <c:v>31.995430199928425</c:v>
                </c:pt>
                <c:pt idx="11">
                  <c:v>35.711501203565795</c:v>
                </c:pt>
                <c:pt idx="12">
                  <c:v>38.875814895490308</c:v>
                </c:pt>
                <c:pt idx="13">
                  <c:v>41.483583425713469</c:v>
                </c:pt>
                <c:pt idx="14">
                  <c:v>43.572176068814954</c:v>
                </c:pt>
                <c:pt idx="15">
                  <c:v>45.203642785625419</c:v>
                </c:pt>
                <c:pt idx="16">
                  <c:v>46.450375839346556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C4-744B-8418-9CBCBAFAA9A7}"/>
            </c:ext>
          </c:extLst>
        </c:ser>
        <c:ser>
          <c:idx val="5"/>
          <c:order val="5"/>
          <c:tx>
            <c:strRef>
              <c:f>'Part 1 calls'!$H$179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calls'!$I$179:$Y$179</c:f>
              <c:numCache>
                <c:formatCode>General</c:formatCode>
                <c:ptCount val="17"/>
                <c:pt idx="0">
                  <c:v>0.65908885371946324</c:v>
                </c:pt>
                <c:pt idx="1">
                  <c:v>1.5469602201022621</c:v>
                </c:pt>
                <c:pt idx="2">
                  <c:v>3.1045688556190534</c:v>
                </c:pt>
                <c:pt idx="3">
                  <c:v>5.488782757526657</c:v>
                </c:pt>
                <c:pt idx="4">
                  <c:v>8.7502447732684363</c:v>
                </c:pt>
                <c:pt idx="5">
                  <c:v>12.81328269794542</c:v>
                </c:pt>
                <c:pt idx="6">
                  <c:v>17.49273970506767</c:v>
                </c:pt>
                <c:pt idx="7">
                  <c:v>22.536096616038257</c:v>
                </c:pt>
                <c:pt idx="8">
                  <c:v>27.673266418213814</c:v>
                </c:pt>
                <c:pt idx="9">
                  <c:v>32.659213280179173</c:v>
                </c:pt>
                <c:pt idx="10">
                  <c:v>37.301467373776582</c:v>
                </c:pt>
                <c:pt idx="11">
                  <c:v>41.471363169847443</c:v>
                </c:pt>
                <c:pt idx="12">
                  <c:v>45.102197776462987</c:v>
                </c:pt>
                <c:pt idx="13">
                  <c:v>48.179196650195983</c:v>
                </c:pt>
                <c:pt idx="14">
                  <c:v>50.725932380965368</c:v>
                </c:pt>
                <c:pt idx="15">
                  <c:v>52.790639938914232</c:v>
                </c:pt>
                <c:pt idx="16">
                  <c:v>54.434466906661761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C4-744B-8418-9CBCBAFAA9A7}"/>
            </c:ext>
          </c:extLst>
        </c:ser>
        <c:ser>
          <c:idx val="6"/>
          <c:order val="6"/>
          <c:tx>
            <c:strRef>
              <c:f>'Part 1 calls'!$H$180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calls'!$I$180:$Y$180</c:f>
              <c:numCache>
                <c:formatCode>General</c:formatCode>
                <c:ptCount val="17"/>
                <c:pt idx="0">
                  <c:v>1.1449306418409966</c:v>
                </c:pt>
                <c:pt idx="1">
                  <c:v>2.4222946495275677</c:v>
                </c:pt>
                <c:pt idx="2">
                  <c:v>4.4784244022574073</c:v>
                </c:pt>
                <c:pt idx="3">
                  <c:v>7.423390125050302</c:v>
                </c:pt>
                <c:pt idx="4">
                  <c:v>11.254687988484211</c:v>
                </c:pt>
                <c:pt idx="5">
                  <c:v>15.855986685171217</c:v>
                </c:pt>
                <c:pt idx="6">
                  <c:v>21.023581921994065</c:v>
                </c:pt>
                <c:pt idx="7">
                  <c:v>26.507480350440918</c:v>
                </c:pt>
                <c:pt idx="8">
                  <c:v>32.053299834482402</c:v>
                </c:pt>
                <c:pt idx="9">
                  <c:v>37.435336997194241</c:v>
                </c:pt>
                <c:pt idx="10">
                  <c:v>42.476670407640107</c:v>
                </c:pt>
                <c:pt idx="11">
                  <c:v>47.056644807114715</c:v>
                </c:pt>
                <c:pt idx="12">
                  <c:v>51.108637489139326</c:v>
                </c:pt>
                <c:pt idx="13">
                  <c:v>54.6118081175238</c:v>
                </c:pt>
                <c:pt idx="14">
                  <c:v>57.580182729458606</c:v>
                </c:pt>
                <c:pt idx="15">
                  <c:v>60.051541964146772</c:v>
                </c:pt>
                <c:pt idx="16">
                  <c:v>62.077618313338995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C4-744B-8418-9CBCBAFAA9A7}"/>
            </c:ext>
          </c:extLst>
        </c:ser>
        <c:ser>
          <c:idx val="7"/>
          <c:order val="7"/>
          <c:tx>
            <c:strRef>
              <c:f>'Part 1 calls'!$H$181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calls'!$I$181:$Y$181</c:f>
              <c:numCache>
                <c:formatCode>General</c:formatCode>
                <c:ptCount val="17"/>
                <c:pt idx="0">
                  <c:v>1.7711463627698014</c:v>
                </c:pt>
                <c:pt idx="1">
                  <c:v>3.4644139974960209</c:v>
                </c:pt>
                <c:pt idx="2">
                  <c:v>6.0191244882771686</c:v>
                </c:pt>
                <c:pt idx="3">
                  <c:v>9.4998591027931845</c:v>
                </c:pt>
                <c:pt idx="4">
                  <c:v>13.860489518231892</c:v>
                </c:pt>
                <c:pt idx="5">
                  <c:v>18.95536543143395</c:v>
                </c:pt>
                <c:pt idx="6">
                  <c:v>24.570063770440541</c:v>
                </c:pt>
                <c:pt idx="7">
                  <c:v>30.459559705270866</c:v>
                </c:pt>
                <c:pt idx="8">
                  <c:v>36.383434264921355</c:v>
                </c:pt>
                <c:pt idx="9">
                  <c:v>42.131936325461389</c:v>
                </c:pt>
                <c:pt idx="10">
                  <c:v>47.540950801739896</c:v>
                </c:pt>
                <c:pt idx="11">
                  <c:v>52.496929542260922</c:v>
                </c:pt>
                <c:pt idx="12">
                  <c:v>56.934359886945309</c:v>
                </c:pt>
                <c:pt idx="13">
                  <c:v>60.828679358443949</c:v>
                </c:pt>
                <c:pt idx="14">
                  <c:v>64.187163619302936</c:v>
                </c:pt>
                <c:pt idx="15">
                  <c:v>67.039633112636224</c:v>
                </c:pt>
                <c:pt idx="16">
                  <c:v>69.430119356071586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C4-744B-8418-9CBCBAFAA9A7}"/>
            </c:ext>
          </c:extLst>
        </c:ser>
        <c:ser>
          <c:idx val="8"/>
          <c:order val="8"/>
          <c:tx>
            <c:strRef>
              <c:f>'Part 1 calls'!$H$182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calls'!$I$182:$Y$182</c:f>
              <c:numCache>
                <c:formatCode>General</c:formatCode>
                <c:ptCount val="17"/>
                <c:pt idx="0">
                  <c:v>2.5290931687880014</c:v>
                </c:pt>
                <c:pt idx="1">
                  <c:v>4.652006501990833</c:v>
                </c:pt>
                <c:pt idx="2">
                  <c:v>7.6972593895436292</c:v>
                </c:pt>
                <c:pt idx="3">
                  <c:v>11.687876444341773</c:v>
                </c:pt>
                <c:pt idx="4">
                  <c:v>16.542451185364438</c:v>
                </c:pt>
                <c:pt idx="5">
                  <c:v>22.094174145759741</c:v>
                </c:pt>
                <c:pt idx="6">
                  <c:v>28.122869505264237</c:v>
                </c:pt>
                <c:pt idx="7">
                  <c:v>34.389641378661537</c:v>
                </c:pt>
                <c:pt idx="8">
                  <c:v>40.666514264759975</c:v>
                </c:pt>
                <c:pt idx="9">
                  <c:v>46.757213487895108</c:v>
                </c:pt>
                <c:pt idx="10">
                  <c:v>52.50842960081301</c:v>
                </c:pt>
                <c:pt idx="11">
                  <c:v>57.812941191026347</c:v>
                </c:pt>
                <c:pt idx="12">
                  <c:v>62.606865589008969</c:v>
                </c:pt>
                <c:pt idx="13">
                  <c:v>66.863385045386053</c:v>
                </c:pt>
                <c:pt idx="14">
                  <c:v>70.584918287508259</c:v>
                </c:pt>
                <c:pt idx="15">
                  <c:v>73.795159861052298</c:v>
                </c:pt>
                <c:pt idx="16">
                  <c:v>76.53187239325608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C4-744B-8418-9CBCBAFAA9A7}"/>
            </c:ext>
          </c:extLst>
        </c:ser>
        <c:ser>
          <c:idx val="9"/>
          <c:order val="9"/>
          <c:tx>
            <c:strRef>
              <c:f>'Part 1 calls'!$H$183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calls'!$I$183:$Y$183</c:f>
              <c:numCache>
                <c:formatCode>General</c:formatCode>
                <c:ptCount val="17"/>
                <c:pt idx="0">
                  <c:v>3.4081262074599135</c:v>
                </c:pt>
                <c:pt idx="1">
                  <c:v>5.9658621895937705</c:v>
                </c:pt>
                <c:pt idx="2">
                  <c:v>9.4893482029156058</c:v>
                </c:pt>
                <c:pt idx="3">
                  <c:v>13.964806192115638</c:v>
                </c:pt>
                <c:pt idx="4">
                  <c:v>19.282474296583743</c:v>
                </c:pt>
                <c:pt idx="5">
                  <c:v>25.26030113898759</c:v>
                </c:pt>
                <c:pt idx="6">
                  <c:v>31.675590666078804</c:v>
                </c:pt>
                <c:pt idx="7">
                  <c:v>38.296069087442106</c:v>
                </c:pt>
                <c:pt idx="8">
                  <c:v>44.904908466519977</c:v>
                </c:pt>
                <c:pt idx="9">
                  <c:v>51.317432142978923</c:v>
                </c:pt>
                <c:pt idx="10">
                  <c:v>57.389622642331112</c:v>
                </c:pt>
                <c:pt idx="11">
                  <c:v>63.019923944843072</c:v>
                </c:pt>
                <c:pt idx="12">
                  <c:v>68.146336615181539</c:v>
                </c:pt>
                <c:pt idx="13">
                  <c:v>72.740739426895161</c:v>
                </c:pt>
                <c:pt idx="14">
                  <c:v>76.802012118301121</c:v>
                </c:pt>
                <c:pt idx="15">
                  <c:v>80.349082627409643</c:v>
                </c:pt>
                <c:pt idx="16">
                  <c:v>83.414598637936621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C4-744B-8418-9CBCBAFAA9A7}"/>
            </c:ext>
          </c:extLst>
        </c:ser>
        <c:ser>
          <c:idx val="10"/>
          <c:order val="10"/>
          <c:tx>
            <c:strRef>
              <c:f>'Part 1 calls'!$H$184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calls'!$I$184:$Y$184</c:f>
              <c:numCache>
                <c:formatCode>General</c:formatCode>
                <c:ptCount val="17"/>
                <c:pt idx="0">
                  <c:v>16.760740288014706</c:v>
                </c:pt>
                <c:pt idx="1">
                  <c:v>23.314848276281694</c:v>
                </c:pt>
                <c:pt idx="2">
                  <c:v>30.833945975697684</c:v>
                </c:pt>
                <c:pt idx="3">
                  <c:v>39.12877070729931</c:v>
                </c:pt>
                <c:pt idx="4">
                  <c:v>47.990477205189997</c:v>
                </c:pt>
                <c:pt idx="5">
                  <c:v>57.209878012749975</c:v>
                </c:pt>
                <c:pt idx="6">
                  <c:v>66.591346159028802</c:v>
                </c:pt>
                <c:pt idx="7">
                  <c:v>75.961631172955663</c:v>
                </c:pt>
                <c:pt idx="8">
                  <c:v>85.174423276303955</c:v>
                </c:pt>
                <c:pt idx="9">
                  <c:v>94.111689131219805</c:v>
                </c:pt>
                <c:pt idx="10">
                  <c:v>102.68276202708793</c:v>
                </c:pt>
                <c:pt idx="11">
                  <c:v>110.8220192638607</c:v>
                </c:pt>
                <c:pt idx="12">
                  <c:v>118.48579476912981</c:v>
                </c:pt>
                <c:pt idx="13">
                  <c:v>125.64899717066402</c:v>
                </c:pt>
                <c:pt idx="14">
                  <c:v>132.30175184925787</c:v>
                </c:pt>
                <c:pt idx="15">
                  <c:v>138.44626580586129</c:v>
                </c:pt>
                <c:pt idx="16">
                  <c:v>144.09402526215996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CC4-744B-8418-9CBCBAFAA9A7}"/>
            </c:ext>
          </c:extLst>
        </c:ser>
        <c:ser>
          <c:idx val="11"/>
          <c:order val="11"/>
          <c:tx>
            <c:strRef>
              <c:f>'Part 1 calls'!$H$185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calls'!$I$185:$Y$185</c:f>
              <c:numCache>
                <c:formatCode>General</c:formatCode>
                <c:ptCount val="17"/>
                <c:pt idx="0">
                  <c:v>34.347278354932754</c:v>
                </c:pt>
                <c:pt idx="1">
                  <c:v>44.032078635685487</c:v>
                </c:pt>
                <c:pt idx="2">
                  <c:v>54.482049449278385</c:v>
                </c:pt>
                <c:pt idx="3">
                  <c:v>65.478709737318354</c:v>
                </c:pt>
                <c:pt idx="4">
                  <c:v>76.81640811264738</c:v>
                </c:pt>
                <c:pt idx="5">
                  <c:v>88.310233648812414</c:v>
                </c:pt>
                <c:pt idx="6">
                  <c:v>99.800015811264572</c:v>
                </c:pt>
                <c:pt idx="7">
                  <c:v>111.1515180755335</c:v>
                </c:pt>
                <c:pt idx="8">
                  <c:v>122.25575387364285</c:v>
                </c:pt>
                <c:pt idx="9">
                  <c:v>133.0271469421086</c:v>
                </c:pt>
                <c:pt idx="10">
                  <c:v>143.4010659252173</c:v>
                </c:pt>
                <c:pt idx="11">
                  <c:v>153.33110283875411</c:v>
                </c:pt>
                <c:pt idx="12">
                  <c:v>162.78634009613049</c:v>
                </c:pt>
                <c:pt idx="13">
                  <c:v>171.74875805075749</c:v>
                </c:pt>
                <c:pt idx="14">
                  <c:v>180.210868841131</c:v>
                </c:pt>
                <c:pt idx="15">
                  <c:v>188.17361687331504</c:v>
                </c:pt>
                <c:pt idx="16">
                  <c:v>195.64455630771903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CC4-744B-8418-9CBCBAFAA9A7}"/>
            </c:ext>
          </c:extLst>
        </c:ser>
        <c:ser>
          <c:idx val="12"/>
          <c:order val="12"/>
          <c:tx>
            <c:strRef>
              <c:f>'Part 1 calls'!$H$186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calls'!$I$186:$Y$186</c:f>
              <c:numCache>
                <c:formatCode>General</c:formatCode>
                <c:ptCount val="17"/>
                <c:pt idx="0">
                  <c:v>53.429576659871827</c:v>
                </c:pt>
                <c:pt idx="1">
                  <c:v>65.612241719610552</c:v>
                </c:pt>
                <c:pt idx="2">
                  <c:v>78.359786030381173</c:v>
                </c:pt>
                <c:pt idx="3">
                  <c:v>91.460887943075662</c:v>
                </c:pt>
                <c:pt idx="4">
                  <c:v>104.72989940256033</c:v>
                </c:pt>
                <c:pt idx="5">
                  <c:v>118.00840446744411</c:v>
                </c:pt>
                <c:pt idx="6">
                  <c:v>131.16465975777294</c:v>
                </c:pt>
                <c:pt idx="7">
                  <c:v>144.09177804367718</c:v>
                </c:pt>
                <c:pt idx="8">
                  <c:v>156.7052526385645</c:v>
                </c:pt>
                <c:pt idx="9">
                  <c:v>168.94022005404264</c:v>
                </c:pt>
                <c:pt idx="10">
                  <c:v>180.74871324670511</c:v>
                </c:pt>
                <c:pt idx="11">
                  <c:v>192.09705624827617</c:v>
                </c:pt>
                <c:pt idx="12">
                  <c:v>202.9634820928915</c:v>
                </c:pt>
                <c:pt idx="13">
                  <c:v>213.3360106715098</c:v>
                </c:pt>
                <c:pt idx="14">
                  <c:v>223.21059443947863</c:v>
                </c:pt>
                <c:pt idx="15">
                  <c:v>232.58952257971575</c:v>
                </c:pt>
                <c:pt idx="16">
                  <c:v>241.48006453738211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CC4-744B-8418-9CBCBAFAA9A7}"/>
            </c:ext>
          </c:extLst>
        </c:ser>
        <c:ser>
          <c:idx val="13"/>
          <c:order val="13"/>
          <c:tx>
            <c:strRef>
              <c:f>'Part 1 calls'!$H$187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calls'!$I$173:$Y$173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calls'!$I$187:$Y$187</c:f>
              <c:numCache>
                <c:formatCode>General</c:formatCode>
                <c:ptCount val="17"/>
                <c:pt idx="0">
                  <c:v>72.913289318308614</c:v>
                </c:pt>
                <c:pt idx="1">
                  <c:v>87.156514480259176</c:v>
                </c:pt>
                <c:pt idx="2">
                  <c:v>101.78771687584245</c:v>
                </c:pt>
                <c:pt idx="3">
                  <c:v>116.61280707499485</c:v>
                </c:pt>
                <c:pt idx="4">
                  <c:v>131.46822164902673</c:v>
                </c:pt>
                <c:pt idx="5">
                  <c:v>146.2190337198065</c:v>
                </c:pt>
                <c:pt idx="6">
                  <c:v>160.75618888968964</c:v>
                </c:pt>
                <c:pt idx="7">
                  <c:v>174.99340189075156</c:v>
                </c:pt>
                <c:pt idx="8">
                  <c:v>188.86403749573628</c:v>
                </c:pt>
                <c:pt idx="9">
                  <c:v>202.3181596575734</c:v>
                </c:pt>
                <c:pt idx="10">
                  <c:v>215.31984323949447</c:v>
                </c:pt>
                <c:pt idx="11">
                  <c:v>227.84478679255173</c:v>
                </c:pt>
                <c:pt idx="12">
                  <c:v>239.87823120714447</c:v>
                </c:pt>
                <c:pt idx="13">
                  <c:v>251.41316989180638</c:v>
                </c:pt>
                <c:pt idx="14">
                  <c:v>262.44882616154143</c:v>
                </c:pt>
                <c:pt idx="15">
                  <c:v>272.98936926815594</c:v>
                </c:pt>
                <c:pt idx="16">
                  <c:v>283.04283969966366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CC4-744B-8418-9CBCBAFA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135999"/>
        <c:axId val="1896131519"/>
        <c:axId val="1894959615"/>
      </c:line3DChart>
      <c:catAx>
        <c:axId val="1896135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6131519"/>
        <c:crosses val="autoZero"/>
        <c:auto val="1"/>
        <c:lblAlgn val="ctr"/>
        <c:lblOffset val="100"/>
        <c:noMultiLvlLbl val="0"/>
      </c:catAx>
      <c:valAx>
        <c:axId val="18961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6135999"/>
        <c:crosses val="autoZero"/>
        <c:crossBetween val="between"/>
      </c:valAx>
      <c:serAx>
        <c:axId val="18949596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61315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</a:t>
            </a:r>
            <a:r>
              <a:rPr lang="it-IT" baseline="0"/>
              <a:t>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1 calls'!$AC$87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calls'!$AD$87:$AT$87</c:f>
              <c:numCache>
                <c:formatCode>General</c:formatCode>
                <c:ptCount val="17"/>
                <c:pt idx="0">
                  <c:v>6.8997547428964834E-58</c:v>
                </c:pt>
                <c:pt idx="1">
                  <c:v>1.8240256915210587E-41</c:v>
                </c:pt>
                <c:pt idx="2">
                  <c:v>9.9546668867391585E-29</c:v>
                </c:pt>
                <c:pt idx="3">
                  <c:v>5.3493516241294035E-19</c:v>
                </c:pt>
                <c:pt idx="4">
                  <c:v>9.5606229748062578E-12</c:v>
                </c:pt>
                <c:pt idx="5">
                  <c:v>1.4981715104281291E-6</c:v>
                </c:pt>
                <c:pt idx="6">
                  <c:v>4.5615435801455873E-3</c:v>
                </c:pt>
                <c:pt idx="7">
                  <c:v>0.54058155808872665</c:v>
                </c:pt>
                <c:pt idx="8">
                  <c:v>5.058015139895339</c:v>
                </c:pt>
                <c:pt idx="9">
                  <c:v>9.3952533892679782</c:v>
                </c:pt>
                <c:pt idx="10">
                  <c:v>9.9777807903598905</c:v>
                </c:pt>
                <c:pt idx="11">
                  <c:v>9.9899591088745563</c:v>
                </c:pt>
                <c:pt idx="12">
                  <c:v>9.9900049613135682</c:v>
                </c:pt>
                <c:pt idx="13">
                  <c:v>9.9900049983261354</c:v>
                </c:pt>
                <c:pt idx="14">
                  <c:v>9.9900049983337507</c:v>
                </c:pt>
                <c:pt idx="15">
                  <c:v>9.9900049983337507</c:v>
                </c:pt>
                <c:pt idx="16">
                  <c:v>9.9900049983337507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D-954E-ADB6-FB6098013352}"/>
            </c:ext>
          </c:extLst>
        </c:ser>
        <c:ser>
          <c:idx val="1"/>
          <c:order val="1"/>
          <c:tx>
            <c:strRef>
              <c:f>'Part 1 calls'!$AC$88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calls'!$AD$88:$AT$88</c:f>
              <c:numCache>
                <c:formatCode>General</c:formatCode>
                <c:ptCount val="17"/>
                <c:pt idx="0">
                  <c:v>4.1705600383653552E-29</c:v>
                </c:pt>
                <c:pt idx="1">
                  <c:v>7.2236755311601065E-21</c:v>
                </c:pt>
                <c:pt idx="2">
                  <c:v>1.8148881916339139E-14</c:v>
                </c:pt>
                <c:pt idx="3">
                  <c:v>1.4484262281308252E-9</c:v>
                </c:pt>
                <c:pt idx="4">
                  <c:v>6.7762571900260917E-6</c:v>
                </c:pt>
                <c:pt idx="5">
                  <c:v>3.0362011070892195E-3</c:v>
                </c:pt>
                <c:pt idx="6">
                  <c:v>0.19578943327318746</c:v>
                </c:pt>
                <c:pt idx="7">
                  <c:v>2.6024085650062818</c:v>
                </c:pt>
                <c:pt idx="8">
                  <c:v>10.158061093169938</c:v>
                </c:pt>
                <c:pt idx="9">
                  <c:v>17.309729794666577</c:v>
                </c:pt>
                <c:pt idx="10">
                  <c:v>19.647918755774995</c:v>
                </c:pt>
                <c:pt idx="11">
                  <c:v>19.943607403579598</c:v>
                </c:pt>
                <c:pt idx="12">
                  <c:v>19.959626211406121</c:v>
                </c:pt>
                <c:pt idx="13">
                  <c:v>19.960034597449695</c:v>
                </c:pt>
                <c:pt idx="14">
                  <c:v>19.960039934571277</c:v>
                </c:pt>
                <c:pt idx="15">
                  <c:v>19.960039973180681</c:v>
                </c:pt>
                <c:pt idx="16">
                  <c:v>19.960039973346213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6D-954E-ADB6-FB6098013352}"/>
            </c:ext>
          </c:extLst>
        </c:ser>
        <c:ser>
          <c:idx val="2"/>
          <c:order val="2"/>
          <c:tx>
            <c:strRef>
              <c:f>'Part 1 calls'!$AC$89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calls'!$AD$89:$AT$89</c:f>
              <c:numCache>
                <c:formatCode>General</c:formatCode>
                <c:ptCount val="17"/>
                <c:pt idx="0">
                  <c:v>2.1207973599216751E-19</c:v>
                </c:pt>
                <c:pt idx="1">
                  <c:v>6.8680684372739574E-14</c:v>
                </c:pt>
                <c:pt idx="2">
                  <c:v>1.3307124507183836E-9</c:v>
                </c:pt>
                <c:pt idx="3">
                  <c:v>2.6052631871411219E-6</c:v>
                </c:pt>
                <c:pt idx="4">
                  <c:v>7.770392227479004E-4</c:v>
                </c:pt>
                <c:pt idx="5">
                  <c:v>4.9117640802576266E-2</c:v>
                </c:pt>
                <c:pt idx="6">
                  <c:v>0.86635170446754073</c:v>
                </c:pt>
                <c:pt idx="7">
                  <c:v>5.4331597927515309</c:v>
                </c:pt>
                <c:pt idx="8">
                  <c:v>15.281809298363573</c:v>
                </c:pt>
                <c:pt idx="9">
                  <c:v>24.548285319545805</c:v>
                </c:pt>
                <c:pt idx="10">
                  <c:v>28.75644318056322</c:v>
                </c:pt>
                <c:pt idx="11">
                  <c:v>29.761983540617443</c:v>
                </c:pt>
                <c:pt idx="12">
                  <c:v>29.898313191089137</c:v>
                </c:pt>
                <c:pt idx="13">
                  <c:v>29.90952075345907</c:v>
                </c:pt>
                <c:pt idx="14">
                  <c:v>29.910113123062104</c:v>
                </c:pt>
                <c:pt idx="15">
                  <c:v>29.910134317755119</c:v>
                </c:pt>
                <c:pt idx="16">
                  <c:v>29.91013485492066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6D-954E-ADB6-FB6098013352}"/>
            </c:ext>
          </c:extLst>
        </c:ser>
        <c:ser>
          <c:idx val="3"/>
          <c:order val="3"/>
          <c:tx>
            <c:strRef>
              <c:f>'Part 1 calls'!$AC$90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calls'!$AD$90:$AT$90</c:f>
              <c:numCache>
                <c:formatCode>General</c:formatCode>
                <c:ptCount val="17"/>
                <c:pt idx="0">
                  <c:v>1.7146657173941719E-14</c:v>
                </c:pt>
                <c:pt idx="1">
                  <c:v>2.3996762916801387E-10</c:v>
                </c:pt>
                <c:pt idx="2">
                  <c:v>4.0794980511215175E-7</c:v>
                </c:pt>
                <c:pt idx="3">
                  <c:v>1.2492523960331802E-4</c:v>
                </c:pt>
                <c:pt idx="4">
                  <c:v>9.3874067121779408E-3</c:v>
                </c:pt>
                <c:pt idx="5">
                  <c:v>0.22206863454671463</c:v>
                </c:pt>
                <c:pt idx="6">
                  <c:v>2.0358699772475957</c:v>
                </c:pt>
                <c:pt idx="7">
                  <c:v>8.6801463209930212</c:v>
                </c:pt>
                <c:pt idx="8">
                  <c:v>20.42268806079311</c:v>
                </c:pt>
                <c:pt idx="9">
                  <c:v>31.435240865969416</c:v>
                </c:pt>
                <c:pt idx="10">
                  <c:v>37.372216345157348</c:v>
                </c:pt>
                <c:pt idx="11">
                  <c:v>39.342380536091397</c:v>
                </c:pt>
                <c:pt idx="12">
                  <c:v>39.769324894937867</c:v>
                </c:pt>
                <c:pt idx="13">
                  <c:v>39.832927362661067</c:v>
                </c:pt>
                <c:pt idx="14">
                  <c:v>39.839738796252945</c:v>
                </c:pt>
                <c:pt idx="15">
                  <c:v>39.840284075736399</c:v>
                </c:pt>
                <c:pt idx="16">
                  <c:v>39.840317838234107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6D-954E-ADB6-FB6098013352}"/>
            </c:ext>
          </c:extLst>
        </c:ser>
        <c:ser>
          <c:idx val="4"/>
          <c:order val="4"/>
          <c:tx>
            <c:strRef>
              <c:f>'Part 1 calls'!$AC$91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calls'!$AD$91:$AT$91</c:f>
              <c:numCache>
                <c:formatCode>General</c:formatCode>
                <c:ptCount val="17"/>
                <c:pt idx="0">
                  <c:v>1.6258128709111472E-11</c:v>
                </c:pt>
                <c:pt idx="1">
                  <c:v>3.4533346751725237E-8</c:v>
                </c:pt>
                <c:pt idx="2">
                  <c:v>1.3625021969122365E-5</c:v>
                </c:pt>
                <c:pt idx="3">
                  <c:v>1.3693783854780402E-3</c:v>
                </c:pt>
                <c:pt idx="4">
                  <c:v>4.4930628022144245E-2</c:v>
                </c:pt>
                <c:pt idx="5">
                  <c:v>0.58793072579454853</c:v>
                </c:pt>
                <c:pt idx="6">
                  <c:v>3.6258596069978886</c:v>
                </c:pt>
                <c:pt idx="7">
                  <c:v>12.193085930105976</c:v>
                </c:pt>
                <c:pt idx="8">
                  <c:v>25.576885410967218</c:v>
                </c:pt>
                <c:pt idx="9">
                  <c:v>38.103111573428784</c:v>
                </c:pt>
                <c:pt idx="10">
                  <c:v>45.606650497595851</c:v>
                </c:pt>
                <c:pt idx="11">
                  <c:v>48.65034468115244</c:v>
                </c:pt>
                <c:pt idx="12">
                  <c:v>49.527868282183348</c:v>
                </c:pt>
                <c:pt idx="13">
                  <c:v>49.715365396356191</c:v>
                </c:pt>
                <c:pt idx="14">
                  <c:v>49.746149929550427</c:v>
                </c:pt>
                <c:pt idx="15">
                  <c:v>49.750157959169577</c:v>
                </c:pt>
                <c:pt idx="16">
                  <c:v>49.750583249072633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6D-954E-ADB6-FB6098013352}"/>
            </c:ext>
          </c:extLst>
        </c:ser>
        <c:ser>
          <c:idx val="5"/>
          <c:order val="5"/>
          <c:tx>
            <c:strRef>
              <c:f>'Part 1 calls'!$AC$92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calls'!$AD$92:$AT$92</c:f>
              <c:numCache>
                <c:formatCode>General</c:formatCode>
                <c:ptCount val="17"/>
                <c:pt idx="0">
                  <c:v>1.6481813086334282E-9</c:v>
                </c:pt>
                <c:pt idx="1">
                  <c:v>9.9575989539411422E-7</c:v>
                </c:pt>
                <c:pt idx="2">
                  <c:v>1.4829729609667369E-4</c:v>
                </c:pt>
                <c:pt idx="3">
                  <c:v>7.0864177060534416E-3</c:v>
                </c:pt>
                <c:pt idx="4">
                  <c:v>0.13367272087027193</c:v>
                </c:pt>
                <c:pt idx="5">
                  <c:v>1.1766528591399656</c:v>
                </c:pt>
                <c:pt idx="6">
                  <c:v>5.5569135148285991</c:v>
                </c:pt>
                <c:pt idx="7">
                  <c:v>15.893745368596148</c:v>
                </c:pt>
                <c:pt idx="8">
                  <c:v>30.741820985414318</c:v>
                </c:pt>
                <c:pt idx="9">
                  <c:v>44.619116273382176</c:v>
                </c:pt>
                <c:pt idx="10">
                  <c:v>53.546438342331996</c:v>
                </c:pt>
                <c:pt idx="11">
                  <c:v>57.693143792728854</c:v>
                </c:pt>
                <c:pt idx="12">
                  <c:v>59.142047882605851</c:v>
                </c:pt>
                <c:pt idx="13">
                  <c:v>59.536529236320241</c:v>
                </c:pt>
                <c:pt idx="14">
                  <c:v>59.622800656168437</c:v>
                </c:pt>
                <c:pt idx="15">
                  <c:v>59.638360220830656</c:v>
                </c:pt>
                <c:pt idx="16">
                  <c:v>59.640728082054494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6D-954E-ADB6-FB6098013352}"/>
            </c:ext>
          </c:extLst>
        </c:ser>
        <c:ser>
          <c:idx val="6"/>
          <c:order val="6"/>
          <c:tx>
            <c:strRef>
              <c:f>'Part 1 calls'!$AC$93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calls'!$AD$93:$AT$93</c:f>
              <c:numCache>
                <c:formatCode>General</c:formatCode>
                <c:ptCount val="17"/>
                <c:pt idx="0">
                  <c:v>4.6233752509654261E-8</c:v>
                </c:pt>
                <c:pt idx="1">
                  <c:v>1.1375608625566544E-5</c:v>
                </c:pt>
                <c:pt idx="2">
                  <c:v>8.444056427330352E-4</c:v>
                </c:pt>
                <c:pt idx="3">
                  <c:v>2.371123779218293E-2</c:v>
                </c:pt>
                <c:pt idx="4">
                  <c:v>0.30094142404680357</c:v>
                </c:pt>
                <c:pt idx="5">
                  <c:v>1.9932210842367937</c:v>
                </c:pt>
                <c:pt idx="6">
                  <c:v>7.7653949825830599</c:v>
                </c:pt>
                <c:pt idx="7">
                  <c:v>19.735680124144061</c:v>
                </c:pt>
                <c:pt idx="8">
                  <c:v>35.915594909590865</c:v>
                </c:pt>
                <c:pt idx="9">
                  <c:v>51.022305279995173</c:v>
                </c:pt>
                <c:pt idx="10">
                  <c:v>61.253729163278905</c:v>
                </c:pt>
                <c:pt idx="11">
                  <c:v>66.49351340148327</c:v>
                </c:pt>
                <c:pt idx="12">
                  <c:v>68.595842929360387</c:v>
                </c:pt>
                <c:pt idx="13">
                  <c:v>69.277091810376731</c:v>
                </c:pt>
                <c:pt idx="14">
                  <c:v>69.460114005190704</c:v>
                </c:pt>
                <c:pt idx="15">
                  <c:v>69.501813372831634</c:v>
                </c:pt>
                <c:pt idx="16">
                  <c:v>69.510030433566882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6D-954E-ADB6-FB6098013352}"/>
            </c:ext>
          </c:extLst>
        </c:ser>
        <c:ser>
          <c:idx val="7"/>
          <c:order val="7"/>
          <c:tx>
            <c:strRef>
              <c:f>'Part 1 calls'!$AC$94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calls'!$AD$94:$AT$94</c:f>
              <c:numCache>
                <c:formatCode>General</c:formatCode>
                <c:ptCount val="17"/>
                <c:pt idx="0">
                  <c:v>5.7838836856354668E-7</c:v>
                </c:pt>
                <c:pt idx="1">
                  <c:v>7.2532656593866099E-5</c:v>
                </c:pt>
                <c:pt idx="2">
                  <c:v>3.1927561083099211E-3</c:v>
                </c:pt>
                <c:pt idx="3">
                  <c:v>6.0144636736595494E-2</c:v>
                </c:pt>
                <c:pt idx="4">
                  <c:v>0.56671524536186413</c:v>
                </c:pt>
                <c:pt idx="5">
                  <c:v>3.0294875417979759</c:v>
                </c:pt>
                <c:pt idx="6">
                  <c:v>10.202507574836329</c:v>
                </c:pt>
                <c:pt idx="7">
                  <c:v>23.688743774384431</c:v>
                </c:pt>
                <c:pt idx="8">
                  <c:v>41.096731210161039</c:v>
                </c:pt>
                <c:pt idx="9">
                  <c:v>57.337518442883201</c:v>
                </c:pt>
                <c:pt idx="10">
                  <c:v>68.773188516542405</c:v>
                </c:pt>
                <c:pt idx="11">
                  <c:v>75.077492898362252</c:v>
                </c:pt>
                <c:pt idx="12">
                  <c:v>77.88487736033106</c:v>
                </c:pt>
                <c:pt idx="13">
                  <c:v>78.922100210084153</c:v>
                </c:pt>
                <c:pt idx="14">
                  <c:v>79.247439679380349</c:v>
                </c:pt>
                <c:pt idx="15">
                  <c:v>79.33581290678994</c:v>
                </c:pt>
                <c:pt idx="16">
                  <c:v>79.35696237284867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6D-954E-ADB6-FB6098013352}"/>
            </c:ext>
          </c:extLst>
        </c:ser>
        <c:ser>
          <c:idx val="8"/>
          <c:order val="8"/>
          <c:tx>
            <c:strRef>
              <c:f>'Part 1 calls'!$AC$95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calls'!$AD$95:$AT$95</c:f>
              <c:numCache>
                <c:formatCode>General</c:formatCode>
                <c:ptCount val="17"/>
                <c:pt idx="0">
                  <c:v>4.2109995631038558E-6</c:v>
                </c:pt>
                <c:pt idx="1">
                  <c:v>3.1257694746679188E-4</c:v>
                </c:pt>
                <c:pt idx="2">
                  <c:v>9.161303121259309E-3</c:v>
                </c:pt>
                <c:pt idx="3">
                  <c:v>0.12646643565367435</c:v>
                </c:pt>
                <c:pt idx="4">
                  <c:v>0.94469788357844986</c:v>
                </c:pt>
                <c:pt idx="5">
                  <c:v>4.2714832976975066</c:v>
                </c:pt>
                <c:pt idx="6">
                  <c:v>12.830859013377559</c:v>
                </c:pt>
                <c:pt idx="7">
                  <c:v>27.732073358297111</c:v>
                </c:pt>
                <c:pt idx="8">
                  <c:v>46.284039504608735</c:v>
                </c:pt>
                <c:pt idx="9">
                  <c:v>63.581611101087546</c:v>
                </c:pt>
                <c:pt idx="10">
                  <c:v>76.137581768653774</c:v>
                </c:pt>
                <c:pt idx="11">
                  <c:v>83.469784716418218</c:v>
                </c:pt>
                <c:pt idx="12">
                  <c:v>87.011875244291346</c:v>
                </c:pt>
                <c:pt idx="13">
                  <c:v>88.461614166740546</c:v>
                </c:pt>
                <c:pt idx="14">
                  <c:v>88.974743056024749</c:v>
                </c:pt>
                <c:pt idx="15">
                  <c:v>89.134605998743822</c:v>
                </c:pt>
                <c:pt idx="16">
                  <c:v>89.179120674511395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6D-954E-ADB6-FB6098013352}"/>
            </c:ext>
          </c:extLst>
        </c:ser>
        <c:ser>
          <c:idx val="9"/>
          <c:order val="9"/>
          <c:tx>
            <c:strRef>
              <c:f>'Part 1 calls'!$AC$96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calls'!$AD$96:$AT$96</c:f>
              <c:numCache>
                <c:formatCode>General</c:formatCode>
                <c:ptCount val="17"/>
                <c:pt idx="0">
                  <c:v>2.0944883154902441E-5</c:v>
                </c:pt>
                <c:pt idx="1">
                  <c:v>1.0218383303882987E-3</c:v>
                </c:pt>
                <c:pt idx="2">
                  <c:v>2.1625953663559377E-2</c:v>
                </c:pt>
                <c:pt idx="3">
                  <c:v>0.23272427909089094</c:v>
                </c:pt>
                <c:pt idx="4">
                  <c:v>1.4430579922614029</c:v>
                </c:pt>
                <c:pt idx="5">
                  <c:v>5.7033185664748594</c:v>
                </c:pt>
                <c:pt idx="6">
                  <c:v>15.62145021961441</c:v>
                </c:pt>
                <c:pt idx="7">
                  <c:v>31.850518608360616</c:v>
                </c:pt>
                <c:pt idx="8">
                  <c:v>51.476532828002163</c:v>
                </c:pt>
                <c:pt idx="9">
                  <c:v>69.766586400827933</c:v>
                </c:pt>
                <c:pt idx="10">
                  <c:v>83.371514981554554</c:v>
                </c:pt>
                <c:pt idx="11">
                  <c:v>91.692301259484637</c:v>
                </c:pt>
                <c:pt idx="12">
                  <c:v>95.983419426964204</c:v>
                </c:pt>
                <c:pt idx="13">
                  <c:v>97.890054170176683</c:v>
                </c:pt>
                <c:pt idx="14">
                  <c:v>98.633554504316649</c:v>
                </c:pt>
                <c:pt idx="15">
                  <c:v>98.892095075464468</c:v>
                </c:pt>
                <c:pt idx="16">
                  <c:v>98.973377492216585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6D-954E-ADB6-FB6098013352}"/>
            </c:ext>
          </c:extLst>
        </c:ser>
        <c:ser>
          <c:idx val="10"/>
          <c:order val="10"/>
          <c:tx>
            <c:strRef>
              <c:f>'Part 1 calls'!$AC$97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calls'!$AD$97:$AT$97</c:f>
              <c:numCache>
                <c:formatCode>General</c:formatCode>
                <c:ptCount val="17"/>
                <c:pt idx="0">
                  <c:v>3.9017006065321998E-2</c:v>
                </c:pt>
                <c:pt idx="1">
                  <c:v>0.28682719393543493</c:v>
                </c:pt>
                <c:pt idx="2">
                  <c:v>1.3949867109230143</c:v>
                </c:pt>
                <c:pt idx="3">
                  <c:v>4.8605196983075762</c:v>
                </c:pt>
                <c:pt idx="4">
                  <c:v>12.916231918414782</c:v>
                </c:pt>
                <c:pt idx="5">
                  <c:v>27.526263359416991</c:v>
                </c:pt>
                <c:pt idx="6">
                  <c:v>49.021713340295129</c:v>
                </c:pt>
                <c:pt idx="7">
                  <c:v>75.504315646173964</c:v>
                </c:pt>
                <c:pt idx="8">
                  <c:v>103.54544111550688</c:v>
                </c:pt>
                <c:pt idx="9">
                  <c:v>129.61923957799161</c:v>
                </c:pt>
                <c:pt idx="10">
                  <c:v>151.29562033151717</c:v>
                </c:pt>
                <c:pt idx="11">
                  <c:v>167.65216924491807</c:v>
                </c:pt>
                <c:pt idx="12">
                  <c:v>178.99842881670318</c:v>
                </c:pt>
                <c:pt idx="13">
                  <c:v>186.31273632495481</c:v>
                </c:pt>
                <c:pt idx="14">
                  <c:v>190.73528277688422</c:v>
                </c:pt>
                <c:pt idx="15">
                  <c:v>193.26342865983207</c:v>
                </c:pt>
                <c:pt idx="16">
                  <c:v>194.63918255910062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6D-954E-ADB6-FB6098013352}"/>
            </c:ext>
          </c:extLst>
        </c:ser>
        <c:ser>
          <c:idx val="11"/>
          <c:order val="11"/>
          <c:tx>
            <c:strRef>
              <c:f>'Part 1 calls'!$AC$98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calls'!$AD$98:$AT$98</c:f>
              <c:numCache>
                <c:formatCode>General</c:formatCode>
                <c:ptCount val="17"/>
                <c:pt idx="0">
                  <c:v>0.61154603756096471</c:v>
                </c:pt>
                <c:pt idx="1">
                  <c:v>2.3831658067032904</c:v>
                </c:pt>
                <c:pt idx="2">
                  <c:v>7.064965905954832</c:v>
                </c:pt>
                <c:pt idx="3">
                  <c:v>16.800016425945095</c:v>
                </c:pt>
                <c:pt idx="4">
                  <c:v>33.403665227840925</c:v>
                </c:pt>
                <c:pt idx="5">
                  <c:v>57.408661084024153</c:v>
                </c:pt>
                <c:pt idx="6">
                  <c:v>87.613987301824238</c:v>
                </c:pt>
                <c:pt idx="7">
                  <c:v>121.40668920003027</c:v>
                </c:pt>
                <c:pt idx="8">
                  <c:v>155.6127686690331</c:v>
                </c:pt>
                <c:pt idx="9">
                  <c:v>187.3947298368312</c:v>
                </c:pt>
                <c:pt idx="10">
                  <c:v>214.82672152563936</c:v>
                </c:pt>
                <c:pt idx="11">
                  <c:v>237.04399931886559</c:v>
                </c:pt>
                <c:pt idx="12">
                  <c:v>254.07168875355401</c:v>
                </c:pt>
                <c:pt idx="13">
                  <c:v>266.51023114110518</c:v>
                </c:pt>
                <c:pt idx="14">
                  <c:v>275.2237193552665</c:v>
                </c:pt>
                <c:pt idx="15">
                  <c:v>281.10815254143625</c:v>
                </c:pt>
                <c:pt idx="16">
                  <c:v>284.95648996149043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A6D-954E-ADB6-FB6098013352}"/>
            </c:ext>
          </c:extLst>
        </c:ser>
        <c:ser>
          <c:idx val="12"/>
          <c:order val="12"/>
          <c:tx>
            <c:strRef>
              <c:f>'Part 1 calls'!$AC$99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calls'!$AD$99:$AT$99</c:f>
              <c:numCache>
                <c:formatCode>General</c:formatCode>
                <c:ptCount val="17"/>
                <c:pt idx="0">
                  <c:v>2.7137815674117114</c:v>
                </c:pt>
                <c:pt idx="1">
                  <c:v>7.6832332776932759</c:v>
                </c:pt>
                <c:pt idx="2">
                  <c:v>17.736667658110342</c:v>
                </c:pt>
                <c:pt idx="3">
                  <c:v>34.734979174896125</c:v>
                </c:pt>
                <c:pt idx="4">
                  <c:v>59.523559431171975</c:v>
                </c:pt>
                <c:pt idx="5">
                  <c:v>91.485721832214878</c:v>
                </c:pt>
                <c:pt idx="6">
                  <c:v>128.6541502080531</c:v>
                </c:pt>
                <c:pt idx="7">
                  <c:v>168.26600318585682</c:v>
                </c:pt>
                <c:pt idx="8">
                  <c:v>207.46435400648329</c:v>
                </c:pt>
                <c:pt idx="9">
                  <c:v>243.87078999118199</c:v>
                </c:pt>
                <c:pt idx="10">
                  <c:v>275.89205627569038</c:v>
                </c:pt>
                <c:pt idx="11">
                  <c:v>302.76382235568667</c:v>
                </c:pt>
                <c:pt idx="12">
                  <c:v>324.41523843363723</c:v>
                </c:pt>
                <c:pt idx="13">
                  <c:v>341.25464232347827</c:v>
                </c:pt>
                <c:pt idx="14">
                  <c:v>353.95433389541915</c:v>
                </c:pt>
                <c:pt idx="15">
                  <c:v>363.2778272031054</c:v>
                </c:pt>
                <c:pt idx="16">
                  <c:v>369.9634355255414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A6D-954E-ADB6-FB6098013352}"/>
            </c:ext>
          </c:extLst>
        </c:ser>
        <c:ser>
          <c:idx val="13"/>
          <c:order val="13"/>
          <c:tx>
            <c:strRef>
              <c:f>'Part 1 calls'!$AC$100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'Part 1 calls'!$AD$86:$AT$86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'Part 1 calls'!$AD$100:$AT$100</c:f>
              <c:numCache>
                <c:formatCode>General</c:formatCode>
                <c:ptCount val="17"/>
                <c:pt idx="0">
                  <c:v>7.087739486564721</c:v>
                </c:pt>
                <c:pt idx="1">
                  <c:v>16.543665197834301</c:v>
                </c:pt>
                <c:pt idx="2">
                  <c:v>32.816447931472723</c:v>
                </c:pt>
                <c:pt idx="3">
                  <c:v>57.09630314178446</c:v>
                </c:pt>
                <c:pt idx="4">
                  <c:v>89.308606477141765</c:v>
                </c:pt>
                <c:pt idx="5">
                  <c:v>128.07174822131722</c:v>
                </c:pt>
                <c:pt idx="6">
                  <c:v>171.05684720072716</c:v>
                </c:pt>
                <c:pt idx="7">
                  <c:v>215.54734091941634</c:v>
                </c:pt>
                <c:pt idx="8">
                  <c:v>258.97713521361754</c:v>
                </c:pt>
                <c:pt idx="9">
                  <c:v>299.30428387344614</c:v>
                </c:pt>
                <c:pt idx="10">
                  <c:v>335.17828422688217</c:v>
                </c:pt>
                <c:pt idx="11">
                  <c:v>365.93296824907293</c:v>
                </c:pt>
                <c:pt idx="12">
                  <c:v>391.46939051629636</c:v>
                </c:pt>
                <c:pt idx="13">
                  <c:v>412.0928812959383</c:v>
                </c:pt>
                <c:pt idx="14">
                  <c:v>428.35141810001801</c:v>
                </c:pt>
                <c:pt idx="15">
                  <c:v>440.9018005705932</c:v>
                </c:pt>
                <c:pt idx="16">
                  <c:v>450.41312353967959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A6D-954E-ADB6-FB6098013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06719"/>
        <c:axId val="1897802687"/>
        <c:axId val="1894962687"/>
      </c:line3DChart>
      <c:catAx>
        <c:axId val="1897806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7802687"/>
        <c:crosses val="autoZero"/>
        <c:auto val="1"/>
        <c:lblAlgn val="ctr"/>
        <c:lblOffset val="100"/>
        <c:noMultiLvlLbl val="0"/>
      </c:catAx>
      <c:valAx>
        <c:axId val="189780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7806719"/>
        <c:crosses val="autoZero"/>
        <c:crossBetween val="between"/>
      </c:valAx>
      <c:serAx>
        <c:axId val="18949626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780268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DeltaP</a:t>
            </a:r>
            <a:r>
              <a:rPr lang="it-IT" baseline="0"/>
              <a:t>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puts'!$H$6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puts'!$I$6:$Y$6</c:f>
              <c:numCache>
                <c:formatCode>General</c:formatCode>
                <c:ptCount val="17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-0.48108360000070366</c:v>
                </c:pt>
                <c:pt idx="9">
                  <c:v>-0.20642903973843518</c:v>
                </c:pt>
                <c:pt idx="10">
                  <c:v>-6.004208194535085E-2</c:v>
                </c:pt>
                <c:pt idx="11">
                  <c:v>-1.1995775931455139E-2</c:v>
                </c:pt>
                <c:pt idx="12">
                  <c:v>-1.6937680607602703E-3</c:v>
                </c:pt>
                <c:pt idx="13">
                  <c:v>-1.7468373585424572E-4</c:v>
                </c:pt>
                <c:pt idx="14">
                  <c:v>-1.3596859818608146E-5</c:v>
                </c:pt>
                <c:pt idx="15">
                  <c:v>-8.2356076319273738E-7</c:v>
                </c:pt>
                <c:pt idx="16">
                  <c:v>-3.9911703254285056E-8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0-4648-8133-7ACE4253D304}"/>
            </c:ext>
          </c:extLst>
        </c:ser>
        <c:ser>
          <c:idx val="1"/>
          <c:order val="1"/>
          <c:tx>
            <c:strRef>
              <c:f>'Parrt 1 puts'!$H$7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puts'!$I$7:$Y$7</c:f>
              <c:numCache>
                <c:formatCode>General</c:formatCode>
                <c:ptCount val="17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-5.1585835851565072E-2</c:v>
                </c:pt>
                <c:pt idx="12">
                  <c:v>-1.7623946568294774E-2</c:v>
                </c:pt>
                <c:pt idx="13">
                  <c:v>-5.2050226213751008E-3</c:v>
                </c:pt>
                <c:pt idx="14">
                  <c:v>-1.3481100199207346E-3</c:v>
                </c:pt>
                <c:pt idx="15">
                  <c:v>-3.1040784564703841E-4</c:v>
                </c:pt>
                <c:pt idx="16">
                  <c:v>-6.4344002938558027E-5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40-4648-8133-7ACE4253D304}"/>
            </c:ext>
          </c:extLst>
        </c:ser>
        <c:ser>
          <c:idx val="2"/>
          <c:order val="2"/>
          <c:tx>
            <c:strRef>
              <c:f>'Parrt 1 puts'!$H$8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puts'!$I$8:$Y$8</c:f>
              <c:numCache>
                <c:formatCode>General</c:formatCode>
                <c:ptCount val="17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-0.97469986071626091</c:v>
                </c:pt>
                <c:pt idx="5">
                  <c:v>-0.91945718869685844</c:v>
                </c:pt>
                <c:pt idx="6">
                  <c:v>-0.81047475187222262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-0.29890598798456552</c:v>
                </c:pt>
                <c:pt idx="10">
                  <c:v>-0.17049339258313839</c:v>
                </c:pt>
                <c:pt idx="11">
                  <c:v>-8.7231124066456153E-2</c:v>
                </c:pt>
                <c:pt idx="12">
                  <c:v>-4.036041523865138E-2</c:v>
                </c:pt>
                <c:pt idx="13">
                  <c:v>-1.7038009338831386E-2</c:v>
                </c:pt>
                <c:pt idx="14">
                  <c:v>-6.6207821485190976E-3</c:v>
                </c:pt>
                <c:pt idx="15">
                  <c:v>-2.3882986824037885E-3</c:v>
                </c:pt>
                <c:pt idx="16">
                  <c:v>-8.0603046628095721E-4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0-4648-8133-7ACE4253D304}"/>
            </c:ext>
          </c:extLst>
        </c:ser>
        <c:ser>
          <c:idx val="3"/>
          <c:order val="3"/>
          <c:tx>
            <c:strRef>
              <c:f>'Parrt 1 puts'!$H$9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puts'!$I$9:$Y$9</c:f>
              <c:numCache>
                <c:formatCode>General</c:formatCode>
                <c:ptCount val="17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-0.31540451463442365</c:v>
                </c:pt>
                <c:pt idx="10">
                  <c:v>-0.19811834940327069</c:v>
                </c:pt>
                <c:pt idx="11">
                  <c:v>-0.11511171694608567</c:v>
                </c:pt>
                <c:pt idx="12">
                  <c:v>-6.2238931546006571E-2</c:v>
                </c:pt>
                <c:pt idx="13">
                  <c:v>-3.1515482917612907E-2</c:v>
                </c:pt>
                <c:pt idx="14">
                  <c:v>-1.5039825106780239E-2</c:v>
                </c:pt>
                <c:pt idx="15">
                  <c:v>-6.804845904624054E-3</c:v>
                </c:pt>
                <c:pt idx="16">
                  <c:v>-2.9353699446744148E-3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0-4648-8133-7ACE4253D304}"/>
            </c:ext>
          </c:extLst>
        </c:ser>
        <c:ser>
          <c:idx val="4"/>
          <c:order val="4"/>
          <c:tx>
            <c:strRef>
              <c:f>'Parrt 1 puts'!$H$10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puts'!$I$10:$Y$10</c:f>
              <c:numCache>
                <c:formatCode>General</c:formatCode>
                <c:ptCount val="17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-0.21769227036615266</c:v>
                </c:pt>
                <c:pt idx="11">
                  <c:v>-0.13690465629656193</c:v>
                </c:pt>
                <c:pt idx="12">
                  <c:v>-8.1466598279311589E-2</c:v>
                </c:pt>
                <c:pt idx="13">
                  <c:v>-4.60976761480009E-2</c:v>
                </c:pt>
                <c:pt idx="14">
                  <c:v>-2.492426166352682E-2</c:v>
                </c:pt>
                <c:pt idx="15">
                  <c:v>-1.2936058934507982E-2</c:v>
                </c:pt>
                <c:pt idx="16">
                  <c:v>-6.4724055303691094E-3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40-4648-8133-7ACE4253D304}"/>
            </c:ext>
          </c:extLst>
        </c:ser>
        <c:ser>
          <c:idx val="5"/>
          <c:order val="5"/>
          <c:tx>
            <c:strRef>
              <c:f>'Parrt 1 puts'!$H$11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puts'!$I$11:$Y$11</c:f>
              <c:numCache>
                <c:formatCode>General</c:formatCode>
                <c:ptCount val="17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-0.45375117893531974</c:v>
                </c:pt>
                <c:pt idx="9">
                  <c:v>-0.33318741279258823</c:v>
                </c:pt>
                <c:pt idx="10">
                  <c:v>-0.23226313823370343</c:v>
                </c:pt>
                <c:pt idx="11">
                  <c:v>-0.15425607458895979</c:v>
                </c:pt>
                <c:pt idx="12">
                  <c:v>-9.7993409558041228E-2</c:v>
                </c:pt>
                <c:pt idx="13">
                  <c:v>-5.9785719848803091E-2</c:v>
                </c:pt>
                <c:pt idx="14">
                  <c:v>-3.5167783159818146E-2</c:v>
                </c:pt>
                <c:pt idx="15">
                  <c:v>-2.0019016420614592E-2</c:v>
                </c:pt>
                <c:pt idx="16">
                  <c:v>-1.1065603183766152E-2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40-4648-8133-7ACE4253D304}"/>
            </c:ext>
          </c:extLst>
        </c:ser>
        <c:ser>
          <c:idx val="6"/>
          <c:order val="6"/>
          <c:tx>
            <c:strRef>
              <c:f>'Parrt 1 puts'!$H$12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puts'!$I$12:$Y$12</c:f>
              <c:numCache>
                <c:formatCode>General</c:formatCode>
                <c:ptCount val="17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-0.88648382673497517</c:v>
                </c:pt>
                <c:pt idx="5">
                  <c:v>-0.80115036351573243</c:v>
                </c:pt>
                <c:pt idx="6">
                  <c:v>-0.69292219222946594</c:v>
                </c:pt>
                <c:pt idx="7">
                  <c:v>-0.57183075677667916</c:v>
                </c:pt>
                <c:pt idx="8">
                  <c:v>-0.45006425675703959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-0.16834237110652897</c:v>
                </c:pt>
                <c:pt idx="12">
                  <c:v>-0.112168036776263</c:v>
                </c:pt>
                <c:pt idx="13">
                  <c:v>-7.2277491513736039E-2</c:v>
                </c:pt>
                <c:pt idx="14">
                  <c:v>-4.5187263769139709E-2</c:v>
                </c:pt>
                <c:pt idx="15">
                  <c:v>-2.7494256589391357E-2</c:v>
                </c:pt>
                <c:pt idx="16">
                  <c:v>-1.6327271792869819E-2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40-4648-8133-7ACE4253D304}"/>
            </c:ext>
          </c:extLst>
        </c:ser>
        <c:ser>
          <c:idx val="7"/>
          <c:order val="7"/>
          <c:tx>
            <c:strRef>
              <c:f>'Parrt 1 puts'!$H$13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puts'!$I$13:$Y$13</c:f>
              <c:numCache>
                <c:formatCode>General</c:formatCode>
                <c:ptCount val="17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-0.44663641507110591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-0.17997586012231231</c:v>
                </c:pt>
                <c:pt idx="12">
                  <c:v>-0.12437874850463734</c:v>
                </c:pt>
                <c:pt idx="13">
                  <c:v>-8.3551201402274594E-2</c:v>
                </c:pt>
                <c:pt idx="14">
                  <c:v>-5.4707853004439741E-2</c:v>
                </c:pt>
                <c:pt idx="15">
                  <c:v>-3.5008571780824463E-2</c:v>
                </c:pt>
                <c:pt idx="16">
                  <c:v>-2.1947030461860931E-2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40-4648-8133-7ACE4253D304}"/>
            </c:ext>
          </c:extLst>
        </c:ser>
        <c:ser>
          <c:idx val="8"/>
          <c:order val="8"/>
          <c:tx>
            <c:strRef>
              <c:f>'Parrt 1 puts'!$H$14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puts'!$I$14:$Y$14</c:f>
              <c:numCache>
                <c:formatCode>General</c:formatCode>
                <c:ptCount val="17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-0.84937751524541449</c:v>
                </c:pt>
                <c:pt idx="5">
                  <c:v>-0.76246291657331255</c:v>
                </c:pt>
                <c:pt idx="6">
                  <c:v>-0.66019529381624775</c:v>
                </c:pt>
                <c:pt idx="7">
                  <c:v>-0.55094011572048185</c:v>
                </c:pt>
                <c:pt idx="8">
                  <c:v>-0.44342053804454024</c:v>
                </c:pt>
                <c:pt idx="9">
                  <c:v>-0.34478110979113252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-0.1349654995951988</c:v>
                </c:pt>
                <c:pt idx="13">
                  <c:v>-9.3689528830588606E-2</c:v>
                </c:pt>
                <c:pt idx="14">
                  <c:v>-6.3619125849340444E-2</c:v>
                </c:pt>
                <c:pt idx="15">
                  <c:v>-4.2354591752513729E-2</c:v>
                </c:pt>
                <c:pt idx="16">
                  <c:v>-2.7703754722868301E-2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40-4648-8133-7ACE4253D304}"/>
            </c:ext>
          </c:extLst>
        </c:ser>
        <c:ser>
          <c:idx val="9"/>
          <c:order val="9"/>
          <c:tx>
            <c:strRef>
              <c:f>'Parrt 1 puts'!$H$15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puts'!$I$15:$Y$15</c:f>
              <c:numCache>
                <c:formatCode>General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-0.14420688925670169</c:v>
                </c:pt>
                <c:pt idx="13">
                  <c:v>-0.10280707440266669</c:v>
                </c:pt>
                <c:pt idx="14">
                  <c:v>-7.1895089760057235E-2</c:v>
                </c:pt>
                <c:pt idx="15">
                  <c:v>-4.9418010408147452E-2</c:v>
                </c:pt>
                <c:pt idx="16">
                  <c:v>-3.3448813603455405E-2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40-4648-8133-7ACE4253D304}"/>
            </c:ext>
          </c:extLst>
        </c:ser>
        <c:ser>
          <c:idx val="10"/>
          <c:order val="10"/>
          <c:tx>
            <c:strRef>
              <c:f>'Parrt 1 puts'!$H$16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puts'!$I$16:$Y$16</c:f>
              <c:numCache>
                <c:formatCode>General</c:formatCode>
                <c:ptCount val="17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-0.7895837220241203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-0.48772135767095187</c:v>
                </c:pt>
                <c:pt idx="8">
                  <c:v>-0.41600201428631822</c:v>
                </c:pt>
                <c:pt idx="9">
                  <c:v>-0.35025529522042026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-0.19579537926180243</c:v>
                </c:pt>
                <c:pt idx="13">
                  <c:v>-0.15839802446828505</c:v>
                </c:pt>
                <c:pt idx="14">
                  <c:v>-0.12719944668745581</c:v>
                </c:pt>
                <c:pt idx="15">
                  <c:v>-0.10148028157804424</c:v>
                </c:pt>
                <c:pt idx="16">
                  <c:v>-8.049629599707385E-2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40-4648-8133-7ACE4253D304}"/>
            </c:ext>
          </c:extLst>
        </c:ser>
        <c:ser>
          <c:idx val="11"/>
          <c:order val="11"/>
          <c:tx>
            <c:strRef>
              <c:f>'Parrt 1 puts'!$H$17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puts'!$I$17:$Y$17</c:f>
              <c:numCache>
                <c:formatCode>General</c:formatCode>
                <c:ptCount val="17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-0.58291019299022295</c:v>
                </c:pt>
                <c:pt idx="6">
                  <c:v>-0.51768409900435364</c:v>
                </c:pt>
                <c:pt idx="7">
                  <c:v>-0.45551611552615739</c:v>
                </c:pt>
                <c:pt idx="8">
                  <c:v>-0.39750608598211906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-0.25358023320856954</c:v>
                </c:pt>
                <c:pt idx="12">
                  <c:v>-0.21589724078774764</c:v>
                </c:pt>
                <c:pt idx="13">
                  <c:v>-0.18300629935642132</c:v>
                </c:pt>
                <c:pt idx="14">
                  <c:v>-0.15453199824934208</c:v>
                </c:pt>
                <c:pt idx="15">
                  <c:v>-0.13005419969363388</c:v>
                </c:pt>
                <c:pt idx="16">
                  <c:v>-0.10913912348794984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40-4648-8133-7ACE4253D304}"/>
            </c:ext>
          </c:extLst>
        </c:ser>
        <c:ser>
          <c:idx val="12"/>
          <c:order val="12"/>
          <c:tx>
            <c:strRef>
              <c:f>'Parrt 1 puts'!$H$18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puts'!$I$18:$Y$18</c:f>
              <c:numCache>
                <c:formatCode>General</c:formatCode>
                <c:ptCount val="17"/>
                <c:pt idx="0">
                  <c:v>-0.83573128027159127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-0.25803836305997985</c:v>
                </c:pt>
                <c:pt idx="12">
                  <c:v>-0.22488339146361094</c:v>
                </c:pt>
                <c:pt idx="13">
                  <c:v>-0.19548519667211653</c:v>
                </c:pt>
                <c:pt idx="14">
                  <c:v>-0.16955868613384428</c:v>
                </c:pt>
                <c:pt idx="15">
                  <c:v>-0.14679895478660193</c:v>
                </c:pt>
                <c:pt idx="16">
                  <c:v>-0.12689738962132047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D40-4648-8133-7ACE4253D304}"/>
            </c:ext>
          </c:extLst>
        </c:ser>
        <c:ser>
          <c:idx val="13"/>
          <c:order val="13"/>
          <c:tx>
            <c:strRef>
              <c:f>'Parrt 1 puts'!$H$19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puts'!$I$5:$Y$5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puts'!$I$19:$Y$19</c:f>
              <c:numCache>
                <c:formatCode>General</c:formatCode>
                <c:ptCount val="17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-0.46024483687683243</c:v>
                </c:pt>
                <c:pt idx="7">
                  <c:v>-0.41265721312345899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-0.25851595379743586</c:v>
                </c:pt>
                <c:pt idx="12">
                  <c:v>-0.22871250967264009</c:v>
                </c:pt>
                <c:pt idx="13">
                  <c:v>-0.20203503441308623</c:v>
                </c:pt>
                <c:pt idx="14">
                  <c:v>-0.17824485149296018</c:v>
                </c:pt>
                <c:pt idx="15">
                  <c:v>-0.15709609834194857</c:v>
                </c:pt>
                <c:pt idx="16">
                  <c:v>-0.13834501863406243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D40-4648-8133-7ACE4253D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79519"/>
        <c:axId val="1810604799"/>
        <c:axId val="1877350399"/>
      </c:line3DChart>
      <c:catAx>
        <c:axId val="189997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0604799"/>
        <c:crosses val="autoZero"/>
        <c:auto val="1"/>
        <c:lblAlgn val="ctr"/>
        <c:lblOffset val="100"/>
        <c:noMultiLvlLbl val="0"/>
      </c:catAx>
      <c:valAx>
        <c:axId val="181060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99979519"/>
        <c:crosses val="autoZero"/>
        <c:crossBetween val="between"/>
      </c:valAx>
      <c:serAx>
        <c:axId val="18773503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06047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DeltaP</a:t>
            </a:r>
            <a:r>
              <a:rPr lang="it-IT" baseline="0"/>
              <a:t>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puts'!$AB$6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puts'!$AC$6:$AS$6</c:f>
              <c:numCache>
                <c:formatCode>General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-0.99999999999879974</c:v>
                </c:pt>
                <c:pt idx="5">
                  <c:v>-0.99999982272133159</c:v>
                </c:pt>
                <c:pt idx="6">
                  <c:v>-0.99948892482853091</c:v>
                </c:pt>
                <c:pt idx="7">
                  <c:v>-0.94232585548392311</c:v>
                </c:pt>
                <c:pt idx="8">
                  <c:v>-0.48108360000070366</c:v>
                </c:pt>
                <c:pt idx="9">
                  <c:v>-5.5881951625111177E-2</c:v>
                </c:pt>
                <c:pt idx="10">
                  <c:v>-1.1014982272458357E-3</c:v>
                </c:pt>
                <c:pt idx="11">
                  <c:v>-3.9644491274302264E-6</c:v>
                </c:pt>
                <c:pt idx="12">
                  <c:v>-3.0691062048462858E-9</c:v>
                </c:pt>
                <c:pt idx="13">
                  <c:v>-6.066302332328684E-13</c:v>
                </c:pt>
                <c:pt idx="14">
                  <c:v>-3.5872846453988636E-17</c:v>
                </c:pt>
                <c:pt idx="15">
                  <c:v>-7.3105821584724668E-22</c:v>
                </c:pt>
                <c:pt idx="16">
                  <c:v>-5.8158426337253728E-27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F9-8645-9D27-ADC698508A2D}"/>
            </c:ext>
          </c:extLst>
        </c:ser>
        <c:ser>
          <c:idx val="1"/>
          <c:order val="1"/>
          <c:tx>
            <c:strRef>
              <c:f>'Parrt 1 puts'!$AB$7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puts'!$AC$7:$AS$7</c:f>
              <c:numCache>
                <c:formatCode>General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-0.99999999999999867</c:v>
                </c:pt>
                <c:pt idx="3">
                  <c:v>-0.99999999990278976</c:v>
                </c:pt>
                <c:pt idx="4">
                  <c:v>-0.99999957290199704</c:v>
                </c:pt>
                <c:pt idx="5">
                  <c:v>-0.99981942099236665</c:v>
                </c:pt>
                <c:pt idx="6">
                  <c:v>-0.9889559860924052</c:v>
                </c:pt>
                <c:pt idx="7">
                  <c:v>-0.85990016135422198</c:v>
                </c:pt>
                <c:pt idx="8">
                  <c:v>-0.4732581961130774</c:v>
                </c:pt>
                <c:pt idx="9">
                  <c:v>-0.12341910750431645</c:v>
                </c:pt>
                <c:pt idx="10">
                  <c:v>-1.3964492157249439E-2</c:v>
                </c:pt>
                <c:pt idx="11">
                  <c:v>-7.0583548483334798E-4</c:v>
                </c:pt>
                <c:pt idx="12">
                  <c:v>-1.7071243458432288E-5</c:v>
                </c:pt>
                <c:pt idx="13">
                  <c:v>-2.1326043168336309E-7</c:v>
                </c:pt>
                <c:pt idx="14">
                  <c:v>-1.4806853781082097E-9</c:v>
                </c:pt>
                <c:pt idx="15">
                  <c:v>-6.1083835282147093E-12</c:v>
                </c:pt>
                <c:pt idx="16">
                  <c:v>-1.5893140941023984E-14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F9-8645-9D27-ADC698508A2D}"/>
            </c:ext>
          </c:extLst>
        </c:ser>
        <c:ser>
          <c:idx val="2"/>
          <c:order val="2"/>
          <c:tx>
            <c:strRef>
              <c:f>'Parrt 1 puts'!$AB$8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puts'!$AC$8:$AS$8</c:f>
              <c:numCache>
                <c:formatCode>General</c:formatCode>
                <c:ptCount val="17"/>
                <c:pt idx="0">
                  <c:v>-1</c:v>
                </c:pt>
                <c:pt idx="1">
                  <c:v>-0.99999999999999645</c:v>
                </c:pt>
                <c:pt idx="2">
                  <c:v>-0.99999999993611632</c:v>
                </c:pt>
                <c:pt idx="3">
                  <c:v>-0.99999988306170484</c:v>
                </c:pt>
                <c:pt idx="4">
                  <c:v>-0.99996722240854641</c:v>
                </c:pt>
                <c:pt idx="5">
                  <c:v>-0.99804304196816829</c:v>
                </c:pt>
                <c:pt idx="6">
                  <c:v>-0.96722237353959195</c:v>
                </c:pt>
                <c:pt idx="7">
                  <c:v>-0.80353746475916554</c:v>
                </c:pt>
                <c:pt idx="8">
                  <c:v>-0.46726038328732289</c:v>
                </c:pt>
                <c:pt idx="9">
                  <c:v>-0.16529135445498921</c:v>
                </c:pt>
                <c:pt idx="10">
                  <c:v>-3.4206541384868477E-2</c:v>
                </c:pt>
                <c:pt idx="11">
                  <c:v>-4.2211304545770678E-3</c:v>
                </c:pt>
                <c:pt idx="12">
                  <c:v>-3.2376867290068135E-4</c:v>
                </c:pt>
                <c:pt idx="13">
                  <c:v>-1.6180389819517839E-5</c:v>
                </c:pt>
                <c:pt idx="14">
                  <c:v>-5.5166492775026916E-7</c:v>
                </c:pt>
                <c:pt idx="15">
                  <c:v>-1.3389116689844637E-8</c:v>
                </c:pt>
                <c:pt idx="16">
                  <c:v>-2.4035933411246407E-10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F9-8645-9D27-ADC698508A2D}"/>
            </c:ext>
          </c:extLst>
        </c:ser>
        <c:ser>
          <c:idx val="3"/>
          <c:order val="3"/>
          <c:tx>
            <c:strRef>
              <c:f>'Parrt 1 puts'!$AB$9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puts'!$AC$9:$AS$9</c:f>
              <c:numCache>
                <c:formatCode>General</c:formatCode>
                <c:ptCount val="17"/>
                <c:pt idx="0">
                  <c:v>-0.99999999999999933</c:v>
                </c:pt>
                <c:pt idx="1">
                  <c:v>-0.99999999999068701</c:v>
                </c:pt>
                <c:pt idx="2">
                  <c:v>-0.99999998527351153</c:v>
                </c:pt>
                <c:pt idx="3">
                  <c:v>-0.9999957815132362</c:v>
                </c:pt>
                <c:pt idx="4">
                  <c:v>-0.99970190412486359</c:v>
                </c:pt>
                <c:pt idx="5">
                  <c:v>-0.99333411575638086</c:v>
                </c:pt>
                <c:pt idx="6">
                  <c:v>-0.94191189201267966</c:v>
                </c:pt>
                <c:pt idx="7">
                  <c:v>-0.76305059187866298</c:v>
                </c:pt>
                <c:pt idx="8">
                  <c:v>-0.46220970609333534</c:v>
                </c:pt>
                <c:pt idx="9">
                  <c:v>-0.19316048645017739</c:v>
                </c:pt>
                <c:pt idx="10">
                  <c:v>-5.4593883865311249E-2</c:v>
                </c:pt>
                <c:pt idx="11">
                  <c:v>-1.0591727709338082E-2</c:v>
                </c:pt>
                <c:pt idx="12">
                  <c:v>-1.4524545858777794E-3</c:v>
                </c:pt>
                <c:pt idx="13">
                  <c:v>-1.4555918115330885E-4</c:v>
                </c:pt>
                <c:pt idx="14">
                  <c:v>-1.1017174953124101E-5</c:v>
                </c:pt>
                <c:pt idx="15">
                  <c:v>-6.4939633819716792E-7</c:v>
                </c:pt>
                <c:pt idx="16">
                  <c:v>-3.0650944703550691E-8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F9-8645-9D27-ADC698508A2D}"/>
            </c:ext>
          </c:extLst>
        </c:ser>
        <c:ser>
          <c:idx val="4"/>
          <c:order val="4"/>
          <c:tx>
            <c:strRef>
              <c:f>'Parrt 1 puts'!$AB$10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puts'!$AC$10:$AS$10</c:f>
              <c:numCache>
                <c:formatCode>General</c:formatCode>
                <c:ptCount val="17"/>
                <c:pt idx="0">
                  <c:v>-0.99999999999945288</c:v>
                </c:pt>
                <c:pt idx="1">
                  <c:v>-0.99999999892549984</c:v>
                </c:pt>
                <c:pt idx="2">
                  <c:v>-0.99999960552141942</c:v>
                </c:pt>
                <c:pt idx="3">
                  <c:v>-0.99996289573776764</c:v>
                </c:pt>
                <c:pt idx="4">
                  <c:v>-0.99885449850928076</c:v>
                </c:pt>
                <c:pt idx="5">
                  <c:v>-0.98582102812389361</c:v>
                </c:pt>
                <c:pt idx="6">
                  <c:v>-0.91681414086730562</c:v>
                </c:pt>
                <c:pt idx="7">
                  <c:v>-0.73215074084786935</c:v>
                </c:pt>
                <c:pt idx="8">
                  <c:v>-0.45776498668838594</c:v>
                </c:pt>
                <c:pt idx="9">
                  <c:v>-0.21299766973229939</c:v>
                </c:pt>
                <c:pt idx="10">
                  <c:v>-7.2979321151961679E-2</c:v>
                </c:pt>
                <c:pt idx="11">
                  <c:v>-1.8643924359551426E-2</c:v>
                </c:pt>
                <c:pt idx="12">
                  <c:v>-3.6321125620839552E-3</c:v>
                </c:pt>
                <c:pt idx="13">
                  <c:v>-5.5355097682448055E-4</c:v>
                </c:pt>
                <c:pt idx="14">
                  <c:v>-6.7690820073004374E-5</c:v>
                </c:pt>
                <c:pt idx="15">
                  <c:v>-6.8011094226088402E-6</c:v>
                </c:pt>
                <c:pt idx="16">
                  <c:v>-5.7372667474871963E-7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F9-8645-9D27-ADC698508A2D}"/>
            </c:ext>
          </c:extLst>
        </c:ser>
        <c:ser>
          <c:idx val="5"/>
          <c:order val="5"/>
          <c:tx>
            <c:strRef>
              <c:f>'Parrt 1 puts'!$AB$11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puts'!$AC$11:$AS$11</c:f>
              <c:numCache>
                <c:formatCode>General</c:formatCode>
                <c:ptCount val="17"/>
                <c:pt idx="0">
                  <c:v>-0.99999999995369315</c:v>
                </c:pt>
                <c:pt idx="1">
                  <c:v>-0.99999997412552788</c:v>
                </c:pt>
                <c:pt idx="2">
                  <c:v>-0.99999641307660381</c:v>
                </c:pt>
                <c:pt idx="3">
                  <c:v>-0.99983952143013566</c:v>
                </c:pt>
                <c:pt idx="4">
                  <c:v>-0.99715020541618327</c:v>
                </c:pt>
                <c:pt idx="5">
                  <c:v>-0.97625595044034874</c:v>
                </c:pt>
                <c:pt idx="6">
                  <c:v>-0.89325185776813143</c:v>
                </c:pt>
                <c:pt idx="7">
                  <c:v>-0.70746843461389441</c:v>
                </c:pt>
                <c:pt idx="8">
                  <c:v>-0.45375117893531974</c:v>
                </c:pt>
                <c:pt idx="9">
                  <c:v>-0.22781322631362885</c:v>
                </c:pt>
                <c:pt idx="10">
                  <c:v>-8.9048323051647046E-2</c:v>
                </c:pt>
                <c:pt idx="11">
                  <c:v>-2.7396855446360176E-2</c:v>
                </c:pt>
                <c:pt idx="12">
                  <c:v>-6.756584119206762E-3</c:v>
                </c:pt>
                <c:pt idx="13">
                  <c:v>-1.3634308405563881E-3</c:v>
                </c:pt>
                <c:pt idx="14">
                  <c:v>-2.2976787752918579E-4</c:v>
                </c:pt>
                <c:pt idx="15">
                  <c:v>-3.2963859568694586E-5</c:v>
                </c:pt>
                <c:pt idx="16">
                  <c:v>-4.0974588342291611E-6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F9-8645-9D27-ADC698508A2D}"/>
            </c:ext>
          </c:extLst>
        </c:ser>
        <c:ser>
          <c:idx val="6"/>
          <c:order val="6"/>
          <c:tx>
            <c:strRef>
              <c:f>'Parrt 1 puts'!$AB$12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puts'!$AC$12:$AS$12</c:f>
              <c:numCache>
                <c:formatCode>General</c:formatCode>
                <c:ptCount val="17"/>
                <c:pt idx="0">
                  <c:v>-0.9999999988845516</c:v>
                </c:pt>
                <c:pt idx="1">
                  <c:v>-0.99999974609953168</c:v>
                </c:pt>
                <c:pt idx="2">
                  <c:v>-0.9999824507459707</c:v>
                </c:pt>
                <c:pt idx="3">
                  <c:v>-0.99953842815149707</c:v>
                </c:pt>
                <c:pt idx="4">
                  <c:v>-0.99448231126656217</c:v>
                </c:pt>
                <c:pt idx="5">
                  <c:v>-0.96538943258594301</c:v>
                </c:pt>
                <c:pt idx="6">
                  <c:v>-0.8715607791316291</c:v>
                </c:pt>
                <c:pt idx="7">
                  <c:v>-0.68707388235667555</c:v>
                </c:pt>
                <c:pt idx="8">
                  <c:v>-0.45006425675703959</c:v>
                </c:pt>
                <c:pt idx="9">
                  <c:v>-0.23926991749476592</c:v>
                </c:pt>
                <c:pt idx="10">
                  <c:v>-0.10299418934376267</c:v>
                </c:pt>
                <c:pt idx="11">
                  <c:v>-3.6249348015700983E-2</c:v>
                </c:pt>
                <c:pt idx="12">
                  <c:v>-1.0592855898519823E-2</c:v>
                </c:pt>
                <c:pt idx="13">
                  <c:v>-2.614520684864864E-3</c:v>
                </c:pt>
                <c:pt idx="14">
                  <c:v>-5.5441197797974915E-4</c:v>
                </c:pt>
                <c:pt idx="15">
                  <c:v>-1.0263741426164764E-4</c:v>
                </c:pt>
                <c:pt idx="16">
                  <c:v>-1.6834810336487752E-5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F9-8645-9D27-ADC698508A2D}"/>
            </c:ext>
          </c:extLst>
        </c:ser>
        <c:ser>
          <c:idx val="7"/>
          <c:order val="7"/>
          <c:tx>
            <c:strRef>
              <c:f>'Parrt 1 puts'!$AB$13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puts'!$AC$13:$AS$13</c:f>
              <c:numCache>
                <c:formatCode>General</c:formatCode>
                <c:ptCount val="17"/>
                <c:pt idx="0">
                  <c:v>-0.99999998776771981</c:v>
                </c:pt>
                <c:pt idx="1">
                  <c:v>-0.99999858049035051</c:v>
                </c:pt>
                <c:pt idx="2">
                  <c:v>-0.99994179911634218</c:v>
                </c:pt>
                <c:pt idx="3">
                  <c:v>-0.99897268285935592</c:v>
                </c:pt>
                <c:pt idx="4">
                  <c:v>-0.99087869452629052</c:v>
                </c:pt>
                <c:pt idx="5">
                  <c:v>-0.95379820378478741</c:v>
                </c:pt>
                <c:pt idx="6">
                  <c:v>-0.85171156569915274</c:v>
                </c:pt>
                <c:pt idx="7">
                  <c:v>-0.66978239987143284</c:v>
                </c:pt>
                <c:pt idx="8">
                  <c:v>-0.44663641507110591</c:v>
                </c:pt>
                <c:pt idx="9">
                  <c:v>-0.24836156369458307</c:v>
                </c:pt>
                <c:pt idx="10">
                  <c:v>-0.11511544953316066</c:v>
                </c:pt>
                <c:pt idx="11">
                  <c:v>-4.4871958417934975E-2</c:v>
                </c:pt>
                <c:pt idx="12">
                  <c:v>-1.4905931616100921E-2</c:v>
                </c:pt>
                <c:pt idx="13">
                  <c:v>-4.2820091080512518E-3</c:v>
                </c:pt>
                <c:pt idx="14">
                  <c:v>-1.0793388372125441E-3</c:v>
                </c:pt>
                <c:pt idx="15">
                  <c:v>-2.4202099636322556E-4</c:v>
                </c:pt>
                <c:pt idx="16">
                  <c:v>-4.8889517762407925E-5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F9-8645-9D27-ADC698508A2D}"/>
            </c:ext>
          </c:extLst>
        </c:ser>
        <c:ser>
          <c:idx val="8"/>
          <c:order val="8"/>
          <c:tx>
            <c:strRef>
              <c:f>'Parrt 1 puts'!$AB$14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puts'!$AC$14:$AS$14</c:f>
              <c:numCache>
                <c:formatCode>General</c:formatCode>
                <c:ptCount val="17"/>
                <c:pt idx="0">
                  <c:v>-0.99999992069449628</c:v>
                </c:pt>
                <c:pt idx="1">
                  <c:v>-0.99999455112734237</c:v>
                </c:pt>
                <c:pt idx="2">
                  <c:v>-0.99985120076411815</c:v>
                </c:pt>
                <c:pt idx="3">
                  <c:v>-0.99807460447904706</c:v>
                </c:pt>
                <c:pt idx="4">
                  <c:v>-0.98644176377083581</c:v>
                </c:pt>
                <c:pt idx="5">
                  <c:v>-0.94188514642659571</c:v>
                </c:pt>
                <c:pt idx="6">
                  <c:v>-0.83355143322926772</c:v>
                </c:pt>
                <c:pt idx="7">
                  <c:v>-0.65482358809332131</c:v>
                </c:pt>
                <c:pt idx="8">
                  <c:v>-0.44342053804454024</c:v>
                </c:pt>
                <c:pt idx="9">
                  <c:v>-0.25572036656605562</c:v>
                </c:pt>
                <c:pt idx="10">
                  <c:v>-0.12569907598544608</c:v>
                </c:pt>
                <c:pt idx="11">
                  <c:v>-5.3098771928445469E-2</c:v>
                </c:pt>
                <c:pt idx="12">
                  <c:v>-1.9502200944108861E-2</c:v>
                </c:pt>
                <c:pt idx="13">
                  <c:v>-6.3077661675613106E-3</c:v>
                </c:pt>
                <c:pt idx="14">
                  <c:v>-1.8195289047337466E-3</c:v>
                </c:pt>
                <c:pt idx="15">
                  <c:v>-4.7372663960534639E-4</c:v>
                </c:pt>
                <c:pt idx="16">
                  <c:v>-1.1255476989925215E-4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3F9-8645-9D27-ADC698508A2D}"/>
            </c:ext>
          </c:extLst>
        </c:ser>
        <c:ser>
          <c:idx val="9"/>
          <c:order val="9"/>
          <c:tx>
            <c:strRef>
              <c:f>'Parrt 1 puts'!$AB$15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puts'!$AC$15:$AS$15</c:f>
              <c:numCache>
                <c:formatCode>General</c:formatCode>
                <c:ptCount val="17"/>
                <c:pt idx="0">
                  <c:v>-0.99999964435644462</c:v>
                </c:pt>
                <c:pt idx="1">
                  <c:v>-0.99998393569273369</c:v>
                </c:pt>
                <c:pt idx="2">
                  <c:v>-0.99968313211324389</c:v>
                </c:pt>
                <c:pt idx="3">
                  <c:v>-0.99680261138352733</c:v>
                </c:pt>
                <c:pt idx="4">
                  <c:v>-0.98130296953188956</c:v>
                </c:pt>
                <c:pt idx="5">
                  <c:v>-0.92991917065856655</c:v>
                </c:pt>
                <c:pt idx="6">
                  <c:v>-0.81689759699323372</c:v>
                </c:pt>
                <c:pt idx="7">
                  <c:v>-0.64167251171171547</c:v>
                </c:pt>
                <c:pt idx="8">
                  <c:v>-0.4403823076297575</c:v>
                </c:pt>
                <c:pt idx="9">
                  <c:v>-0.2617688545095187</c:v>
                </c:pt>
                <c:pt idx="10">
                  <c:v>-0.13499148005453793</c:v>
                </c:pt>
                <c:pt idx="11">
                  <c:v>-6.0856976040873652E-2</c:v>
                </c:pt>
                <c:pt idx="12">
                  <c:v>-2.4235503765815371E-2</c:v>
                </c:pt>
                <c:pt idx="13">
                  <c:v>-8.6226549586318653E-3</c:v>
                </c:pt>
                <c:pt idx="14">
                  <c:v>-2.7716266237037455E-3</c:v>
                </c:pt>
                <c:pt idx="15">
                  <c:v>-8.1343453919463407E-4</c:v>
                </c:pt>
                <c:pt idx="16">
                  <c:v>-2.2010697477903014E-4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3F9-8645-9D27-ADC698508A2D}"/>
            </c:ext>
          </c:extLst>
        </c:ser>
        <c:ser>
          <c:idx val="10"/>
          <c:order val="10"/>
          <c:tx>
            <c:strRef>
              <c:f>'Parrt 1 puts'!$AB$16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puts'!$AC$16:$AS$16</c:f>
              <c:numCache>
                <c:formatCode>General</c:formatCode>
                <c:ptCount val="17"/>
                <c:pt idx="0">
                  <c:v>-0.99966300984690104</c:v>
                </c:pt>
                <c:pt idx="1">
                  <c:v>-0.99770126854070174</c:v>
                </c:pt>
                <c:pt idx="2">
                  <c:v>-0.98955428078343977</c:v>
                </c:pt>
                <c:pt idx="3">
                  <c:v>-0.9657791379984273</c:v>
                </c:pt>
                <c:pt idx="4">
                  <c:v>-0.91398831809174907</c:v>
                </c:pt>
                <c:pt idx="5">
                  <c:v>-0.82563366708758723</c:v>
                </c:pt>
                <c:pt idx="6">
                  <c:v>-0.70294143810382681</c:v>
                </c:pt>
                <c:pt idx="7">
                  <c:v>-0.55984108777794528</c:v>
                </c:pt>
                <c:pt idx="8">
                  <c:v>-0.41600201428631822</c:v>
                </c:pt>
                <c:pt idx="9">
                  <c:v>-0.28871910308263193</c:v>
                </c:pt>
                <c:pt idx="10">
                  <c:v>-0.18778807755388888</c:v>
                </c:pt>
                <c:pt idx="11">
                  <c:v>-0.11499236256428205</c:v>
                </c:pt>
                <c:pt idx="12">
                  <c:v>-6.6633805759227741E-2</c:v>
                </c:pt>
                <c:pt idx="13">
                  <c:v>-3.6727340119913243E-2</c:v>
                </c:pt>
                <c:pt idx="14">
                  <c:v>-1.9351650459184317E-2</c:v>
                </c:pt>
                <c:pt idx="15">
                  <c:v>-9.7928364033782224E-3</c:v>
                </c:pt>
                <c:pt idx="16">
                  <c:v>-4.7800098788316602E-3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F9-8645-9D27-ADC698508A2D}"/>
            </c:ext>
          </c:extLst>
        </c:ser>
        <c:ser>
          <c:idx val="11"/>
          <c:order val="11"/>
          <c:tx>
            <c:strRef>
              <c:f>'Parrt 1 puts'!$AB$17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puts'!$AC$17:$AS$17</c:f>
              <c:numCache>
                <c:formatCode>General</c:formatCode>
                <c:ptCount val="17"/>
                <c:pt idx="0">
                  <c:v>-0.99642145828700812</c:v>
                </c:pt>
                <c:pt idx="1">
                  <c:v>-0.98703700934248551</c:v>
                </c:pt>
                <c:pt idx="2">
                  <c:v>-0.96402672107027576</c:v>
                </c:pt>
                <c:pt idx="3">
                  <c:v>-0.91941174103204293</c:v>
                </c:pt>
                <c:pt idx="4">
                  <c:v>-0.84814553967118989</c:v>
                </c:pt>
                <c:pt idx="5">
                  <c:v>-0.75127132472481861</c:v>
                </c:pt>
                <c:pt idx="6">
                  <c:v>-0.6362644892772813</c:v>
                </c:pt>
                <c:pt idx="7">
                  <c:v>-0.51449212049483495</c:v>
                </c:pt>
                <c:pt idx="8">
                  <c:v>-0.39750608598211906</c:v>
                </c:pt>
                <c:pt idx="9">
                  <c:v>-0.29408226876632038</c:v>
                </c:pt>
                <c:pt idx="10">
                  <c:v>-0.20894675405446178</c:v>
                </c:pt>
                <c:pt idx="11">
                  <c:v>-0.14304833986221999</c:v>
                </c:pt>
                <c:pt idx="12">
                  <c:v>-9.4685585856037507E-2</c:v>
                </c:pt>
                <c:pt idx="13">
                  <c:v>-6.0795799301524879E-2</c:v>
                </c:pt>
                <c:pt idx="14">
                  <c:v>-3.7984588705097334E-2</c:v>
                </c:pt>
                <c:pt idx="15">
                  <c:v>-2.3160179189138878E-2</c:v>
                </c:pt>
                <c:pt idx="16">
                  <c:v>-1.3817439592029454E-2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3F9-8645-9D27-ADC698508A2D}"/>
            </c:ext>
          </c:extLst>
        </c:ser>
        <c:ser>
          <c:idx val="12"/>
          <c:order val="12"/>
          <c:tx>
            <c:strRef>
              <c:f>'Parrt 1 puts'!$AB$18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puts'!$AC$18:$AS$18</c:f>
              <c:numCache>
                <c:formatCode>General</c:formatCode>
                <c:ptCount val="17"/>
                <c:pt idx="0">
                  <c:v>-0.98790594541152554</c:v>
                </c:pt>
                <c:pt idx="1">
                  <c:v>-0.96812430920432424</c:v>
                </c:pt>
                <c:pt idx="2">
                  <c:v>-0.93101255988538445</c:v>
                </c:pt>
                <c:pt idx="3">
                  <c:v>-0.87252541543240303</c:v>
                </c:pt>
                <c:pt idx="4">
                  <c:v>-0.79266920954781528</c:v>
                </c:pt>
                <c:pt idx="5">
                  <c:v>-0.69588255094248597</c:v>
                </c:pt>
                <c:pt idx="6">
                  <c:v>-0.58971137061967149</c:v>
                </c:pt>
                <c:pt idx="7">
                  <c:v>-0.48263811916107868</c:v>
                </c:pt>
                <c:pt idx="8">
                  <c:v>-0.38208857781104733</c:v>
                </c:pt>
                <c:pt idx="9">
                  <c:v>-0.29323765778258937</c:v>
                </c:pt>
                <c:pt idx="10">
                  <c:v>-0.21871189000521374</c:v>
                </c:pt>
                <c:pt idx="11">
                  <c:v>-0.1589434402215629</c:v>
                </c:pt>
                <c:pt idx="12">
                  <c:v>-0.11283127675234185</c:v>
                </c:pt>
                <c:pt idx="13">
                  <c:v>-7.8429078701002838E-2</c:v>
                </c:pt>
                <c:pt idx="14">
                  <c:v>-5.3500413442041587E-2</c:v>
                </c:pt>
                <c:pt idx="15">
                  <c:v>-3.5889050588990494E-2</c:v>
                </c:pt>
                <c:pt idx="16">
                  <c:v>-2.3719415395278467E-2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3F9-8645-9D27-ADC698508A2D}"/>
            </c:ext>
          </c:extLst>
        </c:ser>
        <c:ser>
          <c:idx val="13"/>
          <c:order val="13"/>
          <c:tx>
            <c:strRef>
              <c:f>'Parrt 1 puts'!$AB$19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puts'!$AC$5:$AS$5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puts'!$AC$19:$AS$19</c:f>
              <c:numCache>
                <c:formatCode>General</c:formatCode>
                <c:ptCount val="17"/>
                <c:pt idx="0">
                  <c:v>-0.974356553225038</c:v>
                </c:pt>
                <c:pt idx="1">
                  <c:v>-0.94420754055435308</c:v>
                </c:pt>
                <c:pt idx="2">
                  <c:v>-0.89610914829245725</c:v>
                </c:pt>
                <c:pt idx="3">
                  <c:v>-0.82923414186780242</c:v>
                </c:pt>
                <c:pt idx="4">
                  <c:v>-0.74618038134057052</c:v>
                </c:pt>
                <c:pt idx="5">
                  <c:v>-0.65224792947554422</c:v>
                </c:pt>
                <c:pt idx="6">
                  <c:v>-0.55400095752449929</c:v>
                </c:pt>
                <c:pt idx="7">
                  <c:v>-0.45778339645558364</c:v>
                </c:pt>
                <c:pt idx="8">
                  <c:v>-0.36865783860820911</c:v>
                </c:pt>
                <c:pt idx="9">
                  <c:v>-0.28992410745836317</c:v>
                </c:pt>
                <c:pt idx="10">
                  <c:v>-0.22313437909788209</c:v>
                </c:pt>
                <c:pt idx="11">
                  <c:v>-0.16841574919746677</c:v>
                </c:pt>
                <c:pt idx="12">
                  <c:v>-0.12491199749354726</c:v>
                </c:pt>
                <c:pt idx="13">
                  <c:v>-9.1210373067739839E-2</c:v>
                </c:pt>
                <c:pt idx="14">
                  <c:v>-6.5682765684590111E-2</c:v>
                </c:pt>
                <c:pt idx="15">
                  <c:v>-4.6720544532052058E-2</c:v>
                </c:pt>
                <c:pt idx="16">
                  <c:v>-3.2872391158081847E-2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3F9-8645-9D27-ADC698508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296895"/>
        <c:axId val="1916803199"/>
        <c:axId val="2063625215"/>
      </c:line3DChart>
      <c:catAx>
        <c:axId val="1884296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6803199"/>
        <c:crosses val="autoZero"/>
        <c:auto val="1"/>
        <c:lblAlgn val="ctr"/>
        <c:lblOffset val="100"/>
        <c:noMultiLvlLbl val="0"/>
      </c:catAx>
      <c:valAx>
        <c:axId val="191680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296895"/>
        <c:crosses val="autoZero"/>
        <c:crossBetween val="between"/>
      </c:valAx>
      <c:serAx>
        <c:axId val="2063625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68031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DeltaP</a:t>
            </a:r>
            <a:r>
              <a:rPr lang="it-IT" baseline="0"/>
              <a:t>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puts'!$H$58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puts'!$I$58:$Y$58</c:f>
              <c:numCache>
                <c:formatCode>General</c:formatCode>
                <c:ptCount val="17"/>
                <c:pt idx="0">
                  <c:v>-0.99999994996583763</c:v>
                </c:pt>
                <c:pt idx="1">
                  <c:v>-0.99999631780591081</c:v>
                </c:pt>
                <c:pt idx="2">
                  <c:v>-0.99989292389718487</c:v>
                </c:pt>
                <c:pt idx="3">
                  <c:v>-0.99853247742148155</c:v>
                </c:pt>
                <c:pt idx="4">
                  <c:v>-0.98910947326415422</c:v>
                </c:pt>
                <c:pt idx="5">
                  <c:v>-0.95105041176998162</c:v>
                </c:pt>
                <c:pt idx="6">
                  <c:v>-0.85374292440200006</c:v>
                </c:pt>
                <c:pt idx="7">
                  <c:v>-0.68534693429781512</c:v>
                </c:pt>
                <c:pt idx="8">
                  <c:v>-0.47688423504863658</c:v>
                </c:pt>
                <c:pt idx="9">
                  <c:v>-0.28357001703173507</c:v>
                </c:pt>
                <c:pt idx="10">
                  <c:v>-0.14397429893497091</c:v>
                </c:pt>
                <c:pt idx="11">
                  <c:v>-6.2860563865533375E-2</c:v>
                </c:pt>
                <c:pt idx="12">
                  <c:v>-2.3862270071094135E-2</c:v>
                </c:pt>
                <c:pt idx="13">
                  <c:v>-7.973754125802578E-3</c:v>
                </c:pt>
                <c:pt idx="14">
                  <c:v>-2.3748452032596565E-3</c:v>
                </c:pt>
                <c:pt idx="15">
                  <c:v>-6.3792946107257928E-4</c:v>
                </c:pt>
                <c:pt idx="16">
                  <c:v>-1.5625452050429999E-4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D-3742-8F75-862A41058E76}"/>
            </c:ext>
          </c:extLst>
        </c:ser>
        <c:ser>
          <c:idx val="1"/>
          <c:order val="1"/>
          <c:tx>
            <c:strRef>
              <c:f>'Parrt 1 puts'!$H$59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puts'!$I$59:$Y$59</c:f>
              <c:numCache>
                <c:formatCode>General</c:formatCode>
                <c:ptCount val="17"/>
                <c:pt idx="0">
                  <c:v>-0.99990252813746106</c:v>
                </c:pt>
                <c:pt idx="1">
                  <c:v>-0.99912262163087784</c:v>
                </c:pt>
                <c:pt idx="2">
                  <c:v>-0.99500981832634638</c:v>
                </c:pt>
                <c:pt idx="3">
                  <c:v>-0.98040881029842508</c:v>
                </c:pt>
                <c:pt idx="4">
                  <c:v>-0.94308666201370861</c:v>
                </c:pt>
                <c:pt idx="5">
                  <c:v>-0.87062603477158196</c:v>
                </c:pt>
                <c:pt idx="6">
                  <c:v>-0.75907237290923424</c:v>
                </c:pt>
                <c:pt idx="7">
                  <c:v>-0.6180366959210446</c:v>
                </c:pt>
                <c:pt idx="8">
                  <c:v>-0.46732766707817819</c:v>
                </c:pt>
                <c:pt idx="9">
                  <c:v>-0.32792519835401701</c:v>
                </c:pt>
                <c:pt idx="10">
                  <c:v>-0.21406685945973944</c:v>
                </c:pt>
                <c:pt idx="11">
                  <c:v>-0.13056736333207183</c:v>
                </c:pt>
                <c:pt idx="12">
                  <c:v>-7.4801691829901332E-2</c:v>
                </c:pt>
                <c:pt idx="13">
                  <c:v>-4.0474770416252644E-2</c:v>
                </c:pt>
                <c:pt idx="14">
                  <c:v>-2.079813269788873E-2</c:v>
                </c:pt>
                <c:pt idx="15">
                  <c:v>-1.0201945596281497E-2</c:v>
                </c:pt>
                <c:pt idx="16">
                  <c:v>-4.8001191425865132E-3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8D-3742-8F75-862A41058E76}"/>
            </c:ext>
          </c:extLst>
        </c:ser>
        <c:ser>
          <c:idx val="2"/>
          <c:order val="2"/>
          <c:tx>
            <c:strRef>
              <c:f>'Parrt 1 puts'!$H$60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puts'!$I$60:$Y$60</c:f>
              <c:numCache>
                <c:formatCode>General</c:formatCode>
                <c:ptCount val="17"/>
                <c:pt idx="0">
                  <c:v>-0.99868673402053365</c:v>
                </c:pt>
                <c:pt idx="1">
                  <c:v>-0.99415298895596782</c:v>
                </c:pt>
                <c:pt idx="2">
                  <c:v>-0.98078500536712698</c:v>
                </c:pt>
                <c:pt idx="3">
                  <c:v>-0.95056549342913066</c:v>
                </c:pt>
                <c:pt idx="4">
                  <c:v>-0.89573043536076724</c:v>
                </c:pt>
                <c:pt idx="5">
                  <c:v>-0.8129024877886265</c:v>
                </c:pt>
                <c:pt idx="6">
                  <c:v>-0.70567310001943828</c:v>
                </c:pt>
                <c:pt idx="7">
                  <c:v>-0.58384710662090655</c:v>
                </c:pt>
                <c:pt idx="8">
                  <c:v>-0.46000711241294456</c:v>
                </c:pt>
                <c:pt idx="9">
                  <c:v>-0.34555716588791241</c:v>
                </c:pt>
                <c:pt idx="10">
                  <c:v>-0.24810817610949049</c:v>
                </c:pt>
                <c:pt idx="11">
                  <c:v>-0.17080729051251256</c:v>
                </c:pt>
                <c:pt idx="12">
                  <c:v>-0.11314146829123642</c:v>
                </c:pt>
                <c:pt idx="13">
                  <c:v>-7.236182589639506E-2</c:v>
                </c:pt>
                <c:pt idx="14">
                  <c:v>-4.4837567406159351E-2</c:v>
                </c:pt>
                <c:pt idx="15">
                  <c:v>-2.7002641924538117E-2</c:v>
                </c:pt>
                <c:pt idx="16">
                  <c:v>-1.5852087113857011E-2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D-3742-8F75-862A41058E76}"/>
            </c:ext>
          </c:extLst>
        </c:ser>
        <c:ser>
          <c:idx val="3"/>
          <c:order val="3"/>
          <c:tx>
            <c:strRef>
              <c:f>'Parrt 1 puts'!$H$61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puts'!$I$61:$Y$61</c:f>
              <c:numCache>
                <c:formatCode>General</c:formatCode>
                <c:ptCount val="17"/>
                <c:pt idx="0">
                  <c:v>-0.99500733996609969</c:v>
                </c:pt>
                <c:pt idx="1">
                  <c:v>-0.98439853521310394</c:v>
                </c:pt>
                <c:pt idx="2">
                  <c:v>-0.96112490376939341</c:v>
                </c:pt>
                <c:pt idx="3">
                  <c:v>-0.91928338097899298</c:v>
                </c:pt>
                <c:pt idx="4">
                  <c:v>-0.85545490352774345</c:v>
                </c:pt>
                <c:pt idx="5">
                  <c:v>-0.77053193108328744</c:v>
                </c:pt>
                <c:pt idx="6">
                  <c:v>-0.66979547949050677</c:v>
                </c:pt>
                <c:pt idx="7">
                  <c:v>-0.56134857249801873</c:v>
                </c:pt>
                <c:pt idx="8">
                  <c:v>-0.45384601264142227</c:v>
                </c:pt>
                <c:pt idx="9">
                  <c:v>-0.35453815378573783</c:v>
                </c:pt>
                <c:pt idx="10">
                  <c:v>-0.2681957426118291</c:v>
                </c:pt>
                <c:pt idx="11">
                  <c:v>-0.19695159463482961</c:v>
                </c:pt>
                <c:pt idx="12">
                  <c:v>-0.14076936184194064</c:v>
                </c:pt>
                <c:pt idx="13">
                  <c:v>-9.8175116216428202E-2</c:v>
                </c:pt>
                <c:pt idx="14">
                  <c:v>-6.6971680787246357E-2</c:v>
                </c:pt>
                <c:pt idx="15">
                  <c:v>-4.4787839514464488E-2</c:v>
                </c:pt>
                <c:pt idx="16">
                  <c:v>-2.9424844782154347E-2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8D-3742-8F75-862A41058E76}"/>
            </c:ext>
          </c:extLst>
        </c:ser>
        <c:ser>
          <c:idx val="4"/>
          <c:order val="4"/>
          <c:tx>
            <c:strRef>
              <c:f>'Parrt 1 puts'!$H$62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puts'!$I$62:$Y$62</c:f>
              <c:numCache>
                <c:formatCode>General</c:formatCode>
                <c:ptCount val="17"/>
                <c:pt idx="0">
                  <c:v>-0.98864918253526834</c:v>
                </c:pt>
                <c:pt idx="1">
                  <c:v>-0.97135514264148681</c:v>
                </c:pt>
                <c:pt idx="2">
                  <c:v>-0.93963844251047635</c:v>
                </c:pt>
                <c:pt idx="3">
                  <c:v>-0.88999660249603174</c:v>
                </c:pt>
                <c:pt idx="4">
                  <c:v>-0.82180678459839196</c:v>
                </c:pt>
                <c:pt idx="5">
                  <c:v>-0.73776993263156676</c:v>
                </c:pt>
                <c:pt idx="6">
                  <c:v>-0.64320465993398146</c:v>
                </c:pt>
                <c:pt idx="7">
                  <c:v>-0.54465278448532417</c:v>
                </c:pt>
                <c:pt idx="8">
                  <c:v>-0.44842711362451876</c:v>
                </c:pt>
                <c:pt idx="9">
                  <c:v>-0.35955994735600633</c:v>
                </c:pt>
                <c:pt idx="10">
                  <c:v>-0.28131727903685144</c:v>
                </c:pt>
                <c:pt idx="11">
                  <c:v>-0.21520789168988555</c:v>
                </c:pt>
                <c:pt idx="12">
                  <c:v>-0.16130507751855228</c:v>
                </c:pt>
                <c:pt idx="13">
                  <c:v>-0.11869313761017732</c:v>
                </c:pt>
                <c:pt idx="14">
                  <c:v>-8.5901509738383189E-2</c:v>
                </c:pt>
                <c:pt idx="15">
                  <c:v>-6.125264742347012E-2</c:v>
                </c:pt>
                <c:pt idx="16">
                  <c:v>-4.3101013576704005E-2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8D-3742-8F75-862A41058E76}"/>
            </c:ext>
          </c:extLst>
        </c:ser>
        <c:ser>
          <c:idx val="5"/>
          <c:order val="5"/>
          <c:tx>
            <c:strRef>
              <c:f>'Parrt 1 puts'!$H$63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puts'!$I$63:$Y$63</c:f>
              <c:numCache>
                <c:formatCode>General</c:formatCode>
                <c:ptCount val="17"/>
                <c:pt idx="0">
                  <c:v>-0.9801200211979566</c:v>
                </c:pt>
                <c:pt idx="1">
                  <c:v>-0.95653186252639477</c:v>
                </c:pt>
                <c:pt idx="2">
                  <c:v>-0.91817123136383305</c:v>
                </c:pt>
                <c:pt idx="3">
                  <c:v>-0.86345561048023256</c:v>
                </c:pt>
                <c:pt idx="4">
                  <c:v>-0.79339207963546399</c:v>
                </c:pt>
                <c:pt idx="5">
                  <c:v>-0.71135950475813281</c:v>
                </c:pt>
                <c:pt idx="6">
                  <c:v>-0.62224795286560064</c:v>
                </c:pt>
                <c:pt idx="7">
                  <c:v>-0.53137304929510343</c:v>
                </c:pt>
                <c:pt idx="8">
                  <c:v>-0.44353629460817168</c:v>
                </c:pt>
                <c:pt idx="9">
                  <c:v>-0.3624308207054423</c:v>
                </c:pt>
                <c:pt idx="10">
                  <c:v>-0.29041967693435344</c:v>
                </c:pt>
                <c:pt idx="11">
                  <c:v>-0.22860493515588862</c:v>
                </c:pt>
                <c:pt idx="12">
                  <c:v>-0.17706804981193719</c:v>
                </c:pt>
                <c:pt idx="13">
                  <c:v>-0.13517294858026185</c:v>
                </c:pt>
                <c:pt idx="14">
                  <c:v>-0.10185624547043501</c:v>
                </c:pt>
                <c:pt idx="15">
                  <c:v>-7.5864077548471465E-2</c:v>
                </c:pt>
                <c:pt idx="16">
                  <c:v>-5.5922434399909807E-2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8D-3742-8F75-862A41058E76}"/>
            </c:ext>
          </c:extLst>
        </c:ser>
        <c:ser>
          <c:idx val="6"/>
          <c:order val="6"/>
          <c:tx>
            <c:strRef>
              <c:f>'Parrt 1 puts'!$H$64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puts'!$I$64:$Y$64</c:f>
              <c:numCache>
                <c:formatCode>General</c:formatCode>
                <c:ptCount val="17"/>
                <c:pt idx="0">
                  <c:v>-0.97006775523526267</c:v>
                </c:pt>
                <c:pt idx="1">
                  <c:v>-0.94096106457413042</c:v>
                </c:pt>
                <c:pt idx="2">
                  <c:v>-0.8975366081156535</c:v>
                </c:pt>
                <c:pt idx="3">
                  <c:v>-0.83958778898814013</c:v>
                </c:pt>
                <c:pt idx="4">
                  <c:v>-0.76902433777372758</c:v>
                </c:pt>
                <c:pt idx="5">
                  <c:v>-0.68938336584831517</c:v>
                </c:pt>
                <c:pt idx="6">
                  <c:v>-0.60502620477444458</c:v>
                </c:pt>
                <c:pt idx="7">
                  <c:v>-0.5203251694133888</c:v>
                </c:pt>
                <c:pt idx="8">
                  <c:v>-0.43904628326616696</c:v>
                </c:pt>
                <c:pt idx="9">
                  <c:v>-0.36400558258912941</c:v>
                </c:pt>
                <c:pt idx="10">
                  <c:v>-0.29697784742910749</c:v>
                </c:pt>
                <c:pt idx="11">
                  <c:v>-0.23878616098400876</c:v>
                </c:pt>
                <c:pt idx="12">
                  <c:v>-0.18949083797813834</c:v>
                </c:pt>
                <c:pt idx="13">
                  <c:v>-0.14861015340398065</c:v>
                </c:pt>
                <c:pt idx="14">
                  <c:v>-0.11532777010280061</c:v>
                </c:pt>
                <c:pt idx="15">
                  <c:v>-8.8663185428034627E-2</c:v>
                </c:pt>
                <c:pt idx="16">
                  <c:v>-6.7597592081242677E-2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8D-3742-8F75-862A41058E76}"/>
            </c:ext>
          </c:extLst>
        </c:ser>
        <c:ser>
          <c:idx val="7"/>
          <c:order val="7"/>
          <c:tx>
            <c:strRef>
              <c:f>'Parrt 1 puts'!$H$65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puts'!$I$65:$Y$65</c:f>
              <c:numCache>
                <c:formatCode>General</c:formatCode>
                <c:ptCount val="17"/>
                <c:pt idx="0">
                  <c:v>-0.95904909766423552</c:v>
                </c:pt>
                <c:pt idx="1">
                  <c:v>-0.92527188397817484</c:v>
                </c:pt>
                <c:pt idx="2">
                  <c:v>-0.87804528554403938</c:v>
                </c:pt>
                <c:pt idx="3">
                  <c:v>-0.81810037029895166</c:v>
                </c:pt>
                <c:pt idx="4">
                  <c:v>-0.7478146507670137</c:v>
                </c:pt>
                <c:pt idx="5">
                  <c:v>-0.67064466370442455</c:v>
                </c:pt>
                <c:pt idx="6">
                  <c:v>-0.59044006826425854</c:v>
                </c:pt>
                <c:pt idx="7">
                  <c:v>-0.51084211699665127</c:v>
                </c:pt>
                <c:pt idx="8">
                  <c:v>-0.43487410610469357</c:v>
                </c:pt>
                <c:pt idx="9">
                  <c:v>-0.36474330915224373</c:v>
                </c:pt>
                <c:pt idx="10">
                  <c:v>-0.30181817478322093</c:v>
                </c:pt>
                <c:pt idx="11">
                  <c:v>-0.24672234308969565</c:v>
                </c:pt>
                <c:pt idx="12">
                  <c:v>-0.1994882294055029</c:v>
                </c:pt>
                <c:pt idx="13">
                  <c:v>-0.1597258560391574</c:v>
                </c:pt>
                <c:pt idx="14">
                  <c:v>-0.12677851771428286</c:v>
                </c:pt>
                <c:pt idx="15">
                  <c:v>-9.985081393531034E-2</c:v>
                </c:pt>
                <c:pt idx="16">
                  <c:v>-7.8104680465358817E-2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8D-3742-8F75-862A41058E76}"/>
            </c:ext>
          </c:extLst>
        </c:ser>
        <c:ser>
          <c:idx val="8"/>
          <c:order val="8"/>
          <c:tx>
            <c:strRef>
              <c:f>'Parrt 1 puts'!$H$66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puts'!$I$66:$Y$66</c:f>
              <c:numCache>
                <c:formatCode>General</c:formatCode>
                <c:ptCount val="17"/>
                <c:pt idx="0">
                  <c:v>-0.94748399738581035</c:v>
                </c:pt>
                <c:pt idx="1">
                  <c:v>-0.90982718659992456</c:v>
                </c:pt>
                <c:pt idx="2">
                  <c:v>-0.85977360332933828</c:v>
                </c:pt>
                <c:pt idx="3">
                  <c:v>-0.79867181429170175</c:v>
                </c:pt>
                <c:pt idx="4">
                  <c:v>-0.72910925383215464</c:v>
                </c:pt>
                <c:pt idx="5">
                  <c:v>-0.65435610431318025</c:v>
                </c:pt>
                <c:pt idx="6">
                  <c:v>-0.57780208416455869</c:v>
                </c:pt>
                <c:pt idx="7">
                  <c:v>-0.50251371636138731</c:v>
                </c:pt>
                <c:pt idx="8">
                  <c:v>-0.43096209583856271</c:v>
                </c:pt>
                <c:pt idx="9">
                  <c:v>-0.36491321269559851</c:v>
                </c:pt>
                <c:pt idx="10">
                  <c:v>-0.30544231654306619</c:v>
                </c:pt>
                <c:pt idx="11">
                  <c:v>-0.25302566857316067</c:v>
                </c:pt>
                <c:pt idx="12">
                  <c:v>-0.20766842830901577</c:v>
                </c:pt>
                <c:pt idx="13">
                  <c:v>-0.16903849174838328</c:v>
                </c:pt>
                <c:pt idx="14">
                  <c:v>-0.13658767823312518</c:v>
                </c:pt>
                <c:pt idx="15">
                  <c:v>-0.1096511770370598</c:v>
                </c:pt>
                <c:pt idx="16">
                  <c:v>-8.7522828477867284E-2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8D-3742-8F75-862A41058E76}"/>
            </c:ext>
          </c:extLst>
        </c:ser>
        <c:ser>
          <c:idx val="9"/>
          <c:order val="9"/>
          <c:tx>
            <c:strRef>
              <c:f>'Parrt 1 puts'!$H$67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puts'!$I$67:$Y$67</c:f>
              <c:numCache>
                <c:formatCode>General</c:formatCode>
                <c:ptCount val="17"/>
                <c:pt idx="0">
                  <c:v>-0.93567143682162501</c:v>
                </c:pt>
                <c:pt idx="1">
                  <c:v>-0.89482611219229768</c:v>
                </c:pt>
                <c:pt idx="2">
                  <c:v>-0.84269193278455312</c:v>
                </c:pt>
                <c:pt idx="3">
                  <c:v>-0.78100943988166782</c:v>
                </c:pt>
                <c:pt idx="4">
                  <c:v>-0.71242345118592665</c:v>
                </c:pt>
                <c:pt idx="5">
                  <c:v>-0.63997666916532903</c:v>
                </c:pt>
                <c:pt idx="6">
                  <c:v>-0.56665658907905203</c:v>
                </c:pt>
                <c:pt idx="7">
                  <c:v>-0.49507092011561632</c:v>
                </c:pt>
                <c:pt idx="8">
                  <c:v>-0.42726824069695946</c:v>
                </c:pt>
                <c:pt idx="9">
                  <c:v>-0.36468367724410999</c:v>
                </c:pt>
                <c:pt idx="10">
                  <c:v>-0.30817362101832413</c:v>
                </c:pt>
                <c:pt idx="11">
                  <c:v>-0.25810246366170247</c:v>
                </c:pt>
                <c:pt idx="12">
                  <c:v>-0.21445103070189356</c:v>
                </c:pt>
                <c:pt idx="13">
                  <c:v>-0.17692558288666235</c:v>
                </c:pt>
                <c:pt idx="14">
                  <c:v>-0.14505487619059879</c:v>
                </c:pt>
                <c:pt idx="15">
                  <c:v>-0.11826948842735364</c:v>
                </c:pt>
                <c:pt idx="16">
                  <c:v>-9.5962181134868887E-2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8D-3742-8F75-862A41058E76}"/>
            </c:ext>
          </c:extLst>
        </c:ser>
        <c:ser>
          <c:idx val="10"/>
          <c:order val="10"/>
          <c:tx>
            <c:strRef>
              <c:f>'Parrt 1 puts'!$H$68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puts'!$I$68:$Y$68</c:f>
              <c:numCache>
                <c:formatCode>General</c:formatCode>
                <c:ptCount val="17"/>
                <c:pt idx="0">
                  <c:v>-0.82760802885631146</c:v>
                </c:pt>
                <c:pt idx="1">
                  <c:v>-0.77520315606192436</c:v>
                </c:pt>
                <c:pt idx="2">
                  <c:v>-0.7195207566012034</c:v>
                </c:pt>
                <c:pt idx="3">
                  <c:v>-0.66231908916757454</c:v>
                </c:pt>
                <c:pt idx="4">
                  <c:v>-0.60514295751881164</c:v>
                </c:pt>
                <c:pt idx="5">
                  <c:v>-0.54925855366537546</c:v>
                </c:pt>
                <c:pt idx="6">
                  <c:v>-0.49563750571488169</c:v>
                </c:pt>
                <c:pt idx="7">
                  <c:v>-0.44497280460428273</c:v>
                </c:pt>
                <c:pt idx="8">
                  <c:v>-0.39771250319529661</c:v>
                </c:pt>
                <c:pt idx="9">
                  <c:v>-0.35410097844860078</c:v>
                </c:pt>
                <c:pt idx="10">
                  <c:v>-0.31422106223939261</c:v>
                </c:pt>
                <c:pt idx="11">
                  <c:v>-0.27803309935298359</c:v>
                </c:pt>
                <c:pt idx="12">
                  <c:v>-0.245408953933274</c:v>
                </c:pt>
                <c:pt idx="13">
                  <c:v>-0.21616027879298264</c:v>
                </c:pt>
                <c:pt idx="14">
                  <c:v>-0.19006114648737368</c:v>
                </c:pt>
                <c:pt idx="15">
                  <c:v>-0.16686556750780077</c:v>
                </c:pt>
                <c:pt idx="16">
                  <c:v>-0.1463206111133655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8D-3742-8F75-862A41058E76}"/>
            </c:ext>
          </c:extLst>
        </c:ser>
        <c:ser>
          <c:idx val="11"/>
          <c:order val="11"/>
          <c:tx>
            <c:strRef>
              <c:f>'Parrt 1 puts'!$H$69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puts'!$I$69:$Y$69</c:f>
              <c:numCache>
                <c:formatCode>General</c:formatCode>
                <c:ptCount val="17"/>
                <c:pt idx="0">
                  <c:v>-0.74714796680976803</c:v>
                </c:pt>
                <c:pt idx="1">
                  <c:v>-0.6954993169592607</c:v>
                </c:pt>
                <c:pt idx="2">
                  <c:v>-0.64389089311574621</c:v>
                </c:pt>
                <c:pt idx="3">
                  <c:v>-0.59332314529799546</c:v>
                </c:pt>
                <c:pt idx="4">
                  <c:v>-0.5445475878876147</c:v>
                </c:pt>
                <c:pt idx="5">
                  <c:v>-0.4980951286982967</c:v>
                </c:pt>
                <c:pt idx="6">
                  <c:v>-0.45431124070599777</c:v>
                </c:pt>
                <c:pt idx="7">
                  <c:v>-0.41339176139808453</c:v>
                </c:pt>
                <c:pt idx="8">
                  <c:v>-0.37541594204455847</c:v>
                </c:pt>
                <c:pt idx="9">
                  <c:v>-0.34037519782795728</c:v>
                </c:pt>
                <c:pt idx="10">
                  <c:v>-0.30819711245370862</c:v>
                </c:pt>
                <c:pt idx="11">
                  <c:v>-0.2787648659828646</c:v>
                </c:pt>
                <c:pt idx="12">
                  <c:v>-0.25193255955166938</c:v>
                </c:pt>
                <c:pt idx="13">
                  <c:v>-0.22753702816334076</c:v>
                </c:pt>
                <c:pt idx="14">
                  <c:v>-0.20540674368816242</c:v>
                </c:pt>
                <c:pt idx="15">
                  <c:v>-0.18536836561406406</c:v>
                </c:pt>
                <c:pt idx="16">
                  <c:v>-0.16725142786114872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8D-3742-8F75-862A41058E76}"/>
            </c:ext>
          </c:extLst>
        </c:ser>
        <c:ser>
          <c:idx val="12"/>
          <c:order val="12"/>
          <c:tx>
            <c:strRef>
              <c:f>'Parrt 1 puts'!$H$70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puts'!$I$70:$Y$70</c:f>
              <c:numCache>
                <c:formatCode>General</c:formatCode>
                <c:ptCount val="17"/>
                <c:pt idx="0">
                  <c:v>-0.68605874158405855</c:v>
                </c:pt>
                <c:pt idx="1">
                  <c:v>-0.63732017542195851</c:v>
                </c:pt>
                <c:pt idx="2">
                  <c:v>-0.59009586095973776</c:v>
                </c:pt>
                <c:pt idx="3">
                  <c:v>-0.54490681007005426</c:v>
                </c:pt>
                <c:pt idx="4">
                  <c:v>-0.50209014965405951</c:v>
                </c:pt>
                <c:pt idx="5">
                  <c:v>-0.46183900015825557</c:v>
                </c:pt>
                <c:pt idx="6">
                  <c:v>-0.42423701798348556</c:v>
                </c:pt>
                <c:pt idx="7">
                  <c:v>-0.38928699917989928</c:v>
                </c:pt>
                <c:pt idx="8">
                  <c:v>-0.35693383673749857</c:v>
                </c:pt>
                <c:pt idx="9">
                  <c:v>-0.32708251377171821</c:v>
                </c:pt>
                <c:pt idx="10">
                  <c:v>-0.29961193101075256</c:v>
                </c:pt>
                <c:pt idx="11">
                  <c:v>-0.27438534458062125</c:v>
                </c:pt>
                <c:pt idx="12">
                  <c:v>-0.25125810561422329</c:v>
                </c:pt>
                <c:pt idx="13">
                  <c:v>-0.23008328807271106</c:v>
                </c:pt>
                <c:pt idx="14">
                  <c:v>-0.21071568645830391</c:v>
                </c:pt>
                <c:pt idx="15">
                  <c:v>-0.19301457050780466</c:v>
                </c:pt>
                <c:pt idx="16">
                  <c:v>-0.17684550299325902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8D-3742-8F75-862A41058E76}"/>
            </c:ext>
          </c:extLst>
        </c:ser>
        <c:ser>
          <c:idx val="13"/>
          <c:order val="13"/>
          <c:tx>
            <c:strRef>
              <c:f>'Parrt 1 puts'!$H$71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puts'!$I$57:$Y$57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puts'!$I$71:$Y$71</c:f>
              <c:numCache>
                <c:formatCode>General</c:formatCode>
                <c:ptCount val="17"/>
                <c:pt idx="0">
                  <c:v>-0.63741139706825356</c:v>
                </c:pt>
                <c:pt idx="1">
                  <c:v>-0.59181932468991516</c:v>
                </c:pt>
                <c:pt idx="2">
                  <c:v>-0.54845300509914008</c:v>
                </c:pt>
                <c:pt idx="3">
                  <c:v>-0.50754168118532883</c:v>
                </c:pt>
                <c:pt idx="4">
                  <c:v>-0.46919124044230581</c:v>
                </c:pt>
                <c:pt idx="5">
                  <c:v>-0.43341874291344296</c:v>
                </c:pt>
                <c:pt idx="6">
                  <c:v>-0.40017907667774638</c:v>
                </c:pt>
                <c:pt idx="7">
                  <c:v>-0.36938513644082593</c:v>
                </c:pt>
                <c:pt idx="8">
                  <c:v>-0.34092285507232256</c:v>
                </c:pt>
                <c:pt idx="9">
                  <c:v>-0.31466223641772739</c:v>
                </c:pt>
                <c:pt idx="10">
                  <c:v>-0.29046533054367063</c:v>
                </c:pt>
                <c:pt idx="11">
                  <c:v>-0.2681918990694907</c:v>
                </c:pt>
                <c:pt idx="12">
                  <c:v>-0.24770335266730609</c:v>
                </c:pt>
                <c:pt idx="13">
                  <c:v>-0.2288654077058698</c:v>
                </c:pt>
                <c:pt idx="14">
                  <c:v>-0.21154980187022532</c:v>
                </c:pt>
                <c:pt idx="15">
                  <c:v>-0.19563532516962062</c:v>
                </c:pt>
                <c:pt idx="16">
                  <c:v>-0.18100835859699094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8D-3742-8F75-862A41058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49151"/>
        <c:axId val="1969038079"/>
        <c:axId val="1947546623"/>
      </c:line3DChart>
      <c:catAx>
        <c:axId val="1497049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9038079"/>
        <c:crosses val="autoZero"/>
        <c:auto val="1"/>
        <c:lblAlgn val="ctr"/>
        <c:lblOffset val="100"/>
        <c:noMultiLvlLbl val="0"/>
      </c:catAx>
      <c:valAx>
        <c:axId val="196903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7049151"/>
        <c:crosses val="autoZero"/>
        <c:crossBetween val="between"/>
      </c:valAx>
      <c:serAx>
        <c:axId val="19475466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90380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aseline="0"/>
              <a:t>ThetaP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puts'!$H$22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puts'!$I$22:$Y$22</c:f>
              <c:numCache>
                <c:formatCode>General</c:formatCode>
                <c:ptCount val="17"/>
                <c:pt idx="0">
                  <c:v>0.99900049983329897</c:v>
                </c:pt>
                <c:pt idx="1">
                  <c:v>0.99900049887529874</c:v>
                </c:pt>
                <c:pt idx="2">
                  <c:v>0.99899906155706086</c:v>
                </c:pt>
                <c:pt idx="3">
                  <c:v>0.99862098448971548</c:v>
                </c:pt>
                <c:pt idx="4">
                  <c:v>0.97519407081019494</c:v>
                </c:pt>
                <c:pt idx="5">
                  <c:v>0.54855733129317441</c:v>
                </c:pt>
                <c:pt idx="6">
                  <c:v>-2.1117193364442013</c:v>
                </c:pt>
                <c:pt idx="7">
                  <c:v>-8.1590980692675572</c:v>
                </c:pt>
                <c:pt idx="8">
                  <c:v>-12.095676456030986</c:v>
                </c:pt>
                <c:pt idx="9">
                  <c:v>-9.2483456450263439</c:v>
                </c:pt>
                <c:pt idx="10">
                  <c:v>-4.0780845920081221</c:v>
                </c:pt>
                <c:pt idx="11">
                  <c:v>-1.1214044016288782</c:v>
                </c:pt>
                <c:pt idx="12">
                  <c:v>-0.20478230719207197</c:v>
                </c:pt>
                <c:pt idx="13">
                  <c:v>-2.617450344361846E-2</c:v>
                </c:pt>
                <c:pt idx="14">
                  <c:v>-2.4485400061622599E-3</c:v>
                </c:pt>
                <c:pt idx="15">
                  <c:v>-1.7417551172711686E-4</c:v>
                </c:pt>
                <c:pt idx="16">
                  <c:v>-9.737272718525768E-6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E0-E748-A3BA-4799C59CB393}"/>
            </c:ext>
          </c:extLst>
        </c:ser>
        <c:ser>
          <c:idx val="1"/>
          <c:order val="1"/>
          <c:tx>
            <c:strRef>
              <c:f>'Parrt 1 puts'!$H$23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puts'!$I$23:$Y$23</c:f>
              <c:numCache>
                <c:formatCode>General</c:formatCode>
                <c:ptCount val="17"/>
                <c:pt idx="0">
                  <c:v>0.99800134649959127</c:v>
                </c:pt>
                <c:pt idx="1">
                  <c:v>0.99792797307267822</c:v>
                </c:pt>
                <c:pt idx="2">
                  <c:v>0.99510364592377509</c:v>
                </c:pt>
                <c:pt idx="3">
                  <c:v>0.95043853596614603</c:v>
                </c:pt>
                <c:pt idx="4">
                  <c:v>0.61743866769273981</c:v>
                </c:pt>
                <c:pt idx="5">
                  <c:v>-0.67488564249014793</c:v>
                </c:pt>
                <c:pt idx="6">
                  <c:v>-3.448530363019926</c:v>
                </c:pt>
                <c:pt idx="7">
                  <c:v>-6.7318627731180696</c:v>
                </c:pt>
                <c:pt idx="8">
                  <c:v>-8.3926686931937677</c:v>
                </c:pt>
                <c:pt idx="9">
                  <c:v>-7.4644330953714304</c:v>
                </c:pt>
                <c:pt idx="10">
                  <c:v>-5.018355566021703</c:v>
                </c:pt>
                <c:pt idx="11">
                  <c:v>-2.6572464154554019</c:v>
                </c:pt>
                <c:pt idx="12">
                  <c:v>-1.144782276154872</c:v>
                </c:pt>
                <c:pt idx="13">
                  <c:v>-0.41218696842047664</c:v>
                </c:pt>
                <c:pt idx="14">
                  <c:v>-0.12687495357070297</c:v>
                </c:pt>
                <c:pt idx="15">
                  <c:v>-3.4037170429394172E-2</c:v>
                </c:pt>
                <c:pt idx="16">
                  <c:v>-8.0916679745358117E-3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E748-A3BA-4799C59CB393}"/>
            </c:ext>
          </c:extLst>
        </c:ser>
        <c:ser>
          <c:idx val="2"/>
          <c:order val="2"/>
          <c:tx>
            <c:strRef>
              <c:f>'Parrt 1 puts'!$H$24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puts'!$I$24:$Y$24</c:f>
              <c:numCache>
                <c:formatCode>General</c:formatCode>
                <c:ptCount val="17"/>
                <c:pt idx="0">
                  <c:v>0.99688193700553596</c:v>
                </c:pt>
                <c:pt idx="1">
                  <c:v>0.99410926032576319</c:v>
                </c:pt>
                <c:pt idx="2">
                  <c:v>0.9633732184006929</c:v>
                </c:pt>
                <c:pt idx="3">
                  <c:v>0.77823150093341042</c:v>
                </c:pt>
                <c:pt idx="4">
                  <c:v>0.11534713150987852</c:v>
                </c:pt>
                <c:pt idx="5">
                  <c:v>-1.3871400791380164</c:v>
                </c:pt>
                <c:pt idx="6">
                  <c:v>-3.6159282798071679</c:v>
                </c:pt>
                <c:pt idx="7">
                  <c:v>-5.7346587216980254</c:v>
                </c:pt>
                <c:pt idx="8">
                  <c:v>-6.7497216570496255</c:v>
                </c:pt>
                <c:pt idx="9">
                  <c:v>-6.3173777590245752</c:v>
                </c:pt>
                <c:pt idx="10">
                  <c:v>-4.8924523562509412</c:v>
                </c:pt>
                <c:pt idx="11">
                  <c:v>-3.2254999161462918</c:v>
                </c:pt>
                <c:pt idx="12">
                  <c:v>-1.8511145815624972</c:v>
                </c:pt>
                <c:pt idx="13">
                  <c:v>-0.94182896968364127</c:v>
                </c:pt>
                <c:pt idx="14">
                  <c:v>-0.431386336782075</c:v>
                </c:pt>
                <c:pt idx="15">
                  <c:v>-0.18020635060670276</c:v>
                </c:pt>
                <c:pt idx="16">
                  <c:v>-6.9427651434640525E-2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E748-A3BA-4799C59CB393}"/>
            </c:ext>
          </c:extLst>
        </c:ser>
        <c:ser>
          <c:idx val="3"/>
          <c:order val="3"/>
          <c:tx>
            <c:strRef>
              <c:f>'Parrt 1 puts'!$H$25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puts'!$I$25:$Y$25</c:f>
              <c:numCache>
                <c:formatCode>General</c:formatCode>
                <c:ptCount val="17"/>
                <c:pt idx="0">
                  <c:v>0.99439594292923583</c:v>
                </c:pt>
                <c:pt idx="1">
                  <c:v>0.97863093576913784</c:v>
                </c:pt>
                <c:pt idx="2">
                  <c:v>0.88603277559454785</c:v>
                </c:pt>
                <c:pt idx="3">
                  <c:v>0.54546193818387234</c:v>
                </c:pt>
                <c:pt idx="4">
                  <c:v>-0.29303186504296386</c:v>
                </c:pt>
                <c:pt idx="5">
                  <c:v>-1.7389375921458454</c:v>
                </c:pt>
                <c:pt idx="6">
                  <c:v>-3.5202928401114129</c:v>
                </c:pt>
                <c:pt idx="7">
                  <c:v>-5.0438541477012961</c:v>
                </c:pt>
                <c:pt idx="8">
                  <c:v>-5.7689426337573009</c:v>
                </c:pt>
                <c:pt idx="9">
                  <c:v>-5.5406786998340793</c:v>
                </c:pt>
                <c:pt idx="10">
                  <c:v>-4.6073434319866857</c:v>
                </c:pt>
                <c:pt idx="11">
                  <c:v>-3.3908163258512509</c:v>
                </c:pt>
                <c:pt idx="12">
                  <c:v>-2.2468625601689474</c:v>
                </c:pt>
                <c:pt idx="13">
                  <c:v>-1.3593744850014768</c:v>
                </c:pt>
                <c:pt idx="14">
                  <c:v>-0.75972878694261858</c:v>
                </c:pt>
                <c:pt idx="15">
                  <c:v>-0.3961192161942334</c:v>
                </c:pt>
                <c:pt idx="16">
                  <c:v>-0.19431783077569245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E0-E748-A3BA-4799C59CB393}"/>
            </c:ext>
          </c:extLst>
        </c:ser>
        <c:ser>
          <c:idx val="4"/>
          <c:order val="4"/>
          <c:tx>
            <c:strRef>
              <c:f>'Parrt 1 puts'!$H$26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puts'!$I$26:$Y$26</c:f>
              <c:numCache>
                <c:formatCode>General</c:formatCode>
                <c:ptCount val="17"/>
                <c:pt idx="0">
                  <c:v>0.98763018280073334</c:v>
                </c:pt>
                <c:pt idx="1">
                  <c:v>0.94530577283212869</c:v>
                </c:pt>
                <c:pt idx="2">
                  <c:v>0.7764542178207362</c:v>
                </c:pt>
                <c:pt idx="3">
                  <c:v>0.31641278326434052</c:v>
                </c:pt>
                <c:pt idx="4">
                  <c:v>-0.58610581035956533</c:v>
                </c:pt>
                <c:pt idx="5">
                  <c:v>-1.9058489622857424</c:v>
                </c:pt>
                <c:pt idx="6">
                  <c:v>-3.3616483018610697</c:v>
                </c:pt>
                <c:pt idx="7">
                  <c:v>-4.53473743782118</c:v>
                </c:pt>
                <c:pt idx="8">
                  <c:v>-5.0987115526179076</c:v>
                </c:pt>
                <c:pt idx="9">
                  <c:v>-4.9744563869553877</c:v>
                </c:pt>
                <c:pt idx="10">
                  <c:v>-4.3180328031525823</c:v>
                </c:pt>
                <c:pt idx="11">
                  <c:v>-3.3956622059527843</c:v>
                </c:pt>
                <c:pt idx="12">
                  <c:v>-2.4533738053717551</c:v>
                </c:pt>
                <c:pt idx="13">
                  <c:v>-1.6472275036765844</c:v>
                </c:pt>
                <c:pt idx="14">
                  <c:v>-1.0375493692715774</c:v>
                </c:pt>
                <c:pt idx="15">
                  <c:v>-0.61802198227587024</c:v>
                </c:pt>
                <c:pt idx="16">
                  <c:v>-0.35051410552760109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E0-E748-A3BA-4799C59CB393}"/>
            </c:ext>
          </c:extLst>
        </c:ser>
        <c:ser>
          <c:idx val="5"/>
          <c:order val="5"/>
          <c:tx>
            <c:strRef>
              <c:f>'Parrt 1 puts'!$H$27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puts'!$I$27:$Y$27</c:f>
              <c:numCache>
                <c:formatCode>General</c:formatCode>
                <c:ptCount val="17"/>
                <c:pt idx="0">
                  <c:v>0.97398549070168927</c:v>
                </c:pt>
                <c:pt idx="1">
                  <c:v>0.89544451841254857</c:v>
                </c:pt>
                <c:pt idx="2">
                  <c:v>0.65398241583599981</c:v>
                </c:pt>
                <c:pt idx="3">
                  <c:v>0.11627883078417733</c:v>
                </c:pt>
                <c:pt idx="4">
                  <c:v>-0.78970111995132997</c:v>
                </c:pt>
                <c:pt idx="5">
                  <c:v>-1.9767403769005272</c:v>
                </c:pt>
                <c:pt idx="6">
                  <c:v>-3.1945900827283848</c:v>
                </c:pt>
                <c:pt idx="7">
                  <c:v>-4.1407234027349515</c:v>
                </c:pt>
                <c:pt idx="8">
                  <c:v>-4.6033113996096819</c:v>
                </c:pt>
                <c:pt idx="9">
                  <c:v>-4.5390496546010546</c:v>
                </c:pt>
                <c:pt idx="10">
                  <c:v>-4.0552612780136332</c:v>
                </c:pt>
                <c:pt idx="11">
                  <c:v>-3.3337029947099115</c:v>
                </c:pt>
                <c:pt idx="12">
                  <c:v>-2.552025722865932</c:v>
                </c:pt>
                <c:pt idx="13">
                  <c:v>-1.8369317218040848</c:v>
                </c:pt>
                <c:pt idx="14">
                  <c:v>-1.2532299104224689</c:v>
                </c:pt>
                <c:pt idx="15">
                  <c:v>-0.81588558083778606</c:v>
                </c:pt>
                <c:pt idx="16">
                  <c:v>-0.5097835159348818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E0-E748-A3BA-4799C59CB393}"/>
            </c:ext>
          </c:extLst>
        </c:ser>
        <c:ser>
          <c:idx val="6"/>
          <c:order val="6"/>
          <c:tx>
            <c:strRef>
              <c:f>'Parrt 1 puts'!$H$28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puts'!$I$28:$Y$28</c:f>
              <c:numCache>
                <c:formatCode>General</c:formatCode>
                <c:ptCount val="17"/>
                <c:pt idx="0">
                  <c:v>0.95261837741734356</c:v>
                </c:pt>
                <c:pt idx="1">
                  <c:v>0.83408655321859149</c:v>
                </c:pt>
                <c:pt idx="2">
                  <c:v>0.53196469670471536</c:v>
                </c:pt>
                <c:pt idx="3">
                  <c:v>-5.0139933999313602E-2</c:v>
                </c:pt>
                <c:pt idx="4">
                  <c:v>-0.9297834181549437</c:v>
                </c:pt>
                <c:pt idx="5">
                  <c:v>-1.9958013891681015</c:v>
                </c:pt>
                <c:pt idx="6">
                  <c:v>-3.0354847705334365</c:v>
                </c:pt>
                <c:pt idx="7">
                  <c:v>-3.824451328151206</c:v>
                </c:pt>
                <c:pt idx="8">
                  <c:v>-4.2177896650216011</c:v>
                </c:pt>
                <c:pt idx="9">
                  <c:v>-4.1910307939781939</c:v>
                </c:pt>
                <c:pt idx="10">
                  <c:v>-3.8227081956167788</c:v>
                </c:pt>
                <c:pt idx="11">
                  <c:v>-3.244158778023162</c:v>
                </c:pt>
                <c:pt idx="12">
                  <c:v>-2.5885574442131309</c:v>
                </c:pt>
                <c:pt idx="13">
                  <c:v>-1.9583960131368869</c:v>
                </c:pt>
                <c:pt idx="14">
                  <c:v>-1.4146742944284101</c:v>
                </c:pt>
                <c:pt idx="15">
                  <c:v>-0.98145098172735612</c:v>
                </c:pt>
                <c:pt idx="16">
                  <c:v>-0.65720308983875908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E0-E748-A3BA-4799C59CB393}"/>
            </c:ext>
          </c:extLst>
        </c:ser>
        <c:ser>
          <c:idx val="7"/>
          <c:order val="7"/>
          <c:tx>
            <c:strRef>
              <c:f>'Parrt 1 puts'!$H$29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puts'!$I$29:$Y$29</c:f>
              <c:numCache>
                <c:formatCode>General</c:formatCode>
                <c:ptCount val="17"/>
                <c:pt idx="0">
                  <c:v>0.9242237228825162</c:v>
                </c:pt>
                <c:pt idx="1">
                  <c:v>0.76652430998065957</c:v>
                </c:pt>
                <c:pt idx="2">
                  <c:v>0.41752159886720908</c:v>
                </c:pt>
                <c:pt idx="3">
                  <c:v>-0.18555332408299896</c:v>
                </c:pt>
                <c:pt idx="4">
                  <c:v>-1.0255163510733165</c:v>
                </c:pt>
                <c:pt idx="5">
                  <c:v>-1.9860345998435154</c:v>
                </c:pt>
                <c:pt idx="6">
                  <c:v>-2.8888401907880086</c:v>
                </c:pt>
                <c:pt idx="7">
                  <c:v>-3.5634283581480108</c:v>
                </c:pt>
                <c:pt idx="8">
                  <c:v>-3.9066384594976848</c:v>
                </c:pt>
                <c:pt idx="9">
                  <c:v>-3.9046713959218864</c:v>
                </c:pt>
                <c:pt idx="10">
                  <c:v>-3.6176566425247332</c:v>
                </c:pt>
                <c:pt idx="11">
                  <c:v>-3.1446421967134497</c:v>
                </c:pt>
                <c:pt idx="12">
                  <c:v>-2.5886208415488028</c:v>
                </c:pt>
                <c:pt idx="13">
                  <c:v>-2.0331848719140764</c:v>
                </c:pt>
                <c:pt idx="14">
                  <c:v>-1.533141246126773</c:v>
                </c:pt>
                <c:pt idx="15">
                  <c:v>-1.1156717388963</c:v>
                </c:pt>
                <c:pt idx="16">
                  <c:v>-0.78695816956668962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E0-E748-A3BA-4799C59CB393}"/>
            </c:ext>
          </c:extLst>
        </c:ser>
        <c:ser>
          <c:idx val="8"/>
          <c:order val="8"/>
          <c:tx>
            <c:strRef>
              <c:f>'Parrt 1 puts'!$H$30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puts'!$I$30:$Y$30</c:f>
              <c:numCache>
                <c:formatCode>General</c:formatCode>
                <c:ptCount val="17"/>
                <c:pt idx="0">
                  <c:v>0.89027935922789825</c:v>
                </c:pt>
                <c:pt idx="1">
                  <c:v>0.69694001641180225</c:v>
                </c:pt>
                <c:pt idx="2">
                  <c:v>0.31371570987703024</c:v>
                </c:pt>
                <c:pt idx="3">
                  <c:v>-0.29468933407055564</c:v>
                </c:pt>
                <c:pt idx="4">
                  <c:v>-1.0901395959728193</c:v>
                </c:pt>
                <c:pt idx="5">
                  <c:v>-1.9600057022074142</c:v>
                </c:pt>
                <c:pt idx="6">
                  <c:v>-2.755162728226666</c:v>
                </c:pt>
                <c:pt idx="7">
                  <c:v>-3.3432732535821739</c:v>
                </c:pt>
                <c:pt idx="8">
                  <c:v>-3.6485907278956651</c:v>
                </c:pt>
                <c:pt idx="9">
                  <c:v>-3.6636906492556416</c:v>
                </c:pt>
                <c:pt idx="10">
                  <c:v>-3.4362231413133464</c:v>
                </c:pt>
                <c:pt idx="11">
                  <c:v>-3.0434140150986746</c:v>
                </c:pt>
                <c:pt idx="12">
                  <c:v>-2.5669977468434055</c:v>
                </c:pt>
                <c:pt idx="13">
                  <c:v>-2.0759515633751735</c:v>
                </c:pt>
                <c:pt idx="14">
                  <c:v>-1.618664064948816</c:v>
                </c:pt>
                <c:pt idx="15">
                  <c:v>-1.2225593548673563</c:v>
                </c:pt>
                <c:pt idx="16">
                  <c:v>-0.89799551866508476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E0-E748-A3BA-4799C59CB393}"/>
            </c:ext>
          </c:extLst>
        </c:ser>
        <c:ser>
          <c:idx val="9"/>
          <c:order val="9"/>
          <c:tx>
            <c:strRef>
              <c:f>'Parrt 1 puts'!$H$31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puts'!$I$31:$Y$31</c:f>
              <c:numCache>
                <c:formatCode>General</c:formatCode>
                <c:ptCount val="17"/>
                <c:pt idx="0">
                  <c:v>0.85244886229525396</c:v>
                </c:pt>
                <c:pt idx="1">
                  <c:v>0.62821985733041252</c:v>
                </c:pt>
                <c:pt idx="2">
                  <c:v>0.22134674251952235</c:v>
                </c:pt>
                <c:pt idx="3">
                  <c:v>-0.38227961209596462</c:v>
                </c:pt>
                <c:pt idx="4">
                  <c:v>-1.1327038598637502</c:v>
                </c:pt>
                <c:pt idx="5">
                  <c:v>-1.9248649075907465</c:v>
                </c:pt>
                <c:pt idx="6">
                  <c:v>-2.633609191143869</c:v>
                </c:pt>
                <c:pt idx="7">
                  <c:v>-3.1543302478579198</c:v>
                </c:pt>
                <c:pt idx="8">
                  <c:v>-3.4300279807988678</c:v>
                </c:pt>
                <c:pt idx="9">
                  <c:v>-3.4572361492598778</c:v>
                </c:pt>
                <c:pt idx="10">
                  <c:v>-3.2747476302181653</c:v>
                </c:pt>
                <c:pt idx="11">
                  <c:v>-2.9443986816110765</c:v>
                </c:pt>
                <c:pt idx="12">
                  <c:v>-2.5324671787170567</c:v>
                </c:pt>
                <c:pt idx="13">
                  <c:v>-2.0965680482792943</c:v>
                </c:pt>
                <c:pt idx="14">
                  <c:v>-1.6791914183778347</c:v>
                </c:pt>
                <c:pt idx="15">
                  <c:v>-1.3066600570953375</c:v>
                </c:pt>
                <c:pt idx="16">
                  <c:v>-0.99142040201851112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FE0-E748-A3BA-4799C59CB393}"/>
            </c:ext>
          </c:extLst>
        </c:ser>
        <c:ser>
          <c:idx val="10"/>
          <c:order val="10"/>
          <c:tx>
            <c:strRef>
              <c:f>'Parrt 1 puts'!$H$32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puts'!$I$32:$Y$32</c:f>
              <c:numCache>
                <c:formatCode>General</c:formatCode>
                <c:ptCount val="17"/>
                <c:pt idx="0">
                  <c:v>0.47532523911629476</c:v>
                </c:pt>
                <c:pt idx="1">
                  <c:v>0.14930333358430248</c:v>
                </c:pt>
                <c:pt idx="2">
                  <c:v>-0.24862940479647644</c:v>
                </c:pt>
                <c:pt idx="3">
                  <c:v>-0.68559607414316626</c:v>
                </c:pt>
                <c:pt idx="4">
                  <c:v>-1.1218452200277156</c:v>
                </c:pt>
                <c:pt idx="5">
                  <c:v>-1.5193910117842142</c:v>
                </c:pt>
                <c:pt idx="6">
                  <c:v>-1.8485080694895224</c:v>
                </c:pt>
                <c:pt idx="7">
                  <c:v>-2.0909994519036212</c:v>
                </c:pt>
                <c:pt idx="8">
                  <c:v>-2.2404581110495254</c:v>
                </c:pt>
                <c:pt idx="9">
                  <c:v>-2.3004377369831159</c:v>
                </c:pt>
                <c:pt idx="10">
                  <c:v>-2.2815934304338281</c:v>
                </c:pt>
                <c:pt idx="11">
                  <c:v>-2.1986626665836213</c:v>
                </c:pt>
                <c:pt idx="12">
                  <c:v>-2.067843957764234</c:v>
                </c:pt>
                <c:pt idx="13">
                  <c:v>-1.9048331541007608</c:v>
                </c:pt>
                <c:pt idx="14">
                  <c:v>-1.7235584707971729</c:v>
                </c:pt>
                <c:pt idx="15">
                  <c:v>-1.5355257845878785</c:v>
                </c:pt>
                <c:pt idx="16">
                  <c:v>-1.3496295268921832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FE0-E748-A3BA-4799C59CB393}"/>
            </c:ext>
          </c:extLst>
        </c:ser>
        <c:ser>
          <c:idx val="11"/>
          <c:order val="11"/>
          <c:tx>
            <c:strRef>
              <c:f>'Parrt 1 puts'!$H$33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puts'!$I$33:$Y$33</c:f>
              <c:numCache>
                <c:formatCode>General</c:formatCode>
                <c:ptCount val="17"/>
                <c:pt idx="0">
                  <c:v>0.25221001767753259</c:v>
                </c:pt>
                <c:pt idx="1">
                  <c:v>-4.1387005023650558E-2</c:v>
                </c:pt>
                <c:pt idx="2">
                  <c:v>-0.35664505919895861</c:v>
                </c:pt>
                <c:pt idx="3">
                  <c:v>-0.6717006214065111</c:v>
                </c:pt>
                <c:pt idx="4">
                  <c:v>-0.96658353292164878</c:v>
                </c:pt>
                <c:pt idx="5">
                  <c:v>-1.2255635845622739</c:v>
                </c:pt>
                <c:pt idx="6">
                  <c:v>-1.4381879784034763</c:v>
                </c:pt>
                <c:pt idx="7">
                  <c:v>-1.5992627156509882</c:v>
                </c:pt>
                <c:pt idx="8">
                  <c:v>-1.7081460813337803</c:v>
                </c:pt>
                <c:pt idx="9">
                  <c:v>-1.7677028504876755</c:v>
                </c:pt>
                <c:pt idx="10">
                  <c:v>-1.7831854459688503</c:v>
                </c:pt>
                <c:pt idx="11">
                  <c:v>-1.7612125197555835</c:v>
                </c:pt>
                <c:pt idx="12">
                  <c:v>-1.7089326209516491</c:v>
                </c:pt>
                <c:pt idx="13">
                  <c:v>-1.6334003107331505</c:v>
                </c:pt>
                <c:pt idx="14">
                  <c:v>-1.5411542013179587</c:v>
                </c:pt>
                <c:pt idx="15">
                  <c:v>-1.4379665576874723</c:v>
                </c:pt>
                <c:pt idx="16">
                  <c:v>-1.3287268941687371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FE0-E748-A3BA-4799C59CB393}"/>
            </c:ext>
          </c:extLst>
        </c:ser>
        <c:ser>
          <c:idx val="12"/>
          <c:order val="12"/>
          <c:tx>
            <c:strRef>
              <c:f>'Parrt 1 puts'!$H$34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puts'!$I$34:$Y$34</c:f>
              <c:numCache>
                <c:formatCode>General</c:formatCode>
                <c:ptCount val="17"/>
                <c:pt idx="0">
                  <c:v>0.13728784309584552</c:v>
                </c:pt>
                <c:pt idx="1">
                  <c:v>-0.11288666698419914</c:v>
                </c:pt>
                <c:pt idx="2">
                  <c:v>-0.36566252693639556</c:v>
                </c:pt>
                <c:pt idx="3">
                  <c:v>-0.60764665820119157</c:v>
                </c:pt>
                <c:pt idx="4">
                  <c:v>-0.82810295243972853</c:v>
                </c:pt>
                <c:pt idx="5">
                  <c:v>-1.0194762395201455</c:v>
                </c:pt>
                <c:pt idx="6">
                  <c:v>-1.1773581002019138</c:v>
                </c:pt>
                <c:pt idx="7">
                  <c:v>-1.3001036824118126</c:v>
                </c:pt>
                <c:pt idx="8">
                  <c:v>-1.3882781922864125</c:v>
                </c:pt>
                <c:pt idx="9">
                  <c:v>-1.4440627158334571</c:v>
                </c:pt>
                <c:pt idx="10">
                  <c:v>-1.4707009175968688</c:v>
                </c:pt>
                <c:pt idx="11">
                  <c:v>-1.4720294412267305</c:v>
                </c:pt>
                <c:pt idx="12">
                  <c:v>-1.4521074746623475</c:v>
                </c:pt>
                <c:pt idx="13">
                  <c:v>-1.4149437274944565</c:v>
                </c:pt>
                <c:pt idx="14">
                  <c:v>-1.3643096541599706</c:v>
                </c:pt>
                <c:pt idx="15">
                  <c:v>-1.3036237392808587</c:v>
                </c:pt>
                <c:pt idx="16">
                  <c:v>-1.2358910348383674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FE0-E748-A3BA-4799C59CB393}"/>
            </c:ext>
          </c:extLst>
        </c:ser>
        <c:ser>
          <c:idx val="13"/>
          <c:order val="13"/>
          <c:tx>
            <c:strRef>
              <c:f>'Parrt 1 puts'!$H$35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puts'!$I$21:$Y$21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puts'!$I$35:$Y$35</c:f>
              <c:numCache>
                <c:formatCode>General</c:formatCode>
                <c:ptCount val="17"/>
                <c:pt idx="0">
                  <c:v>7.8363253974811697E-2</c:v>
                </c:pt>
                <c:pt idx="1">
                  <c:v>-0.13528462811588704</c:v>
                </c:pt>
                <c:pt idx="2">
                  <c:v>-0.34389339892551396</c:v>
                </c:pt>
                <c:pt idx="3">
                  <c:v>-0.53905159200098718</c:v>
                </c:pt>
                <c:pt idx="4">
                  <c:v>-0.71458259156817694</c:v>
                </c:pt>
                <c:pt idx="5">
                  <c:v>-0.8665259409199304</c:v>
                </c:pt>
                <c:pt idx="6">
                  <c:v>-0.99289000688844886</c:v>
                </c:pt>
                <c:pt idx="7">
                  <c:v>-1.0932942086410344</c:v>
                </c:pt>
                <c:pt idx="8">
                  <c:v>-1.1685832176003776</c:v>
                </c:pt>
                <c:pt idx="9">
                  <c:v>-1.2204638220290958</c:v>
                </c:pt>
                <c:pt idx="10">
                  <c:v>-1.251191015209157</c:v>
                </c:pt>
                <c:pt idx="11">
                  <c:v>-1.2633133607965903</c:v>
                </c:pt>
                <c:pt idx="12">
                  <c:v>-1.2594774634354782</c:v>
                </c:pt>
                <c:pt idx="13">
                  <c:v>-1.242285758425508</c:v>
                </c:pt>
                <c:pt idx="14">
                  <c:v>-1.2141993291012283</c:v>
                </c:pt>
                <c:pt idx="15">
                  <c:v>-1.1774768906535864</c:v>
                </c:pt>
                <c:pt idx="16">
                  <c:v>-1.1341416048046611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FE0-E748-A3BA-4799C59CB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199743"/>
        <c:axId val="1956433407"/>
        <c:axId val="1969827839"/>
      </c:line3DChart>
      <c:catAx>
        <c:axId val="1829199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6433407"/>
        <c:crosses val="autoZero"/>
        <c:auto val="1"/>
        <c:lblAlgn val="ctr"/>
        <c:lblOffset val="100"/>
        <c:noMultiLvlLbl val="0"/>
      </c:catAx>
      <c:valAx>
        <c:axId val="195643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29199743"/>
        <c:crosses val="autoZero"/>
        <c:crossBetween val="between"/>
      </c:valAx>
      <c:serAx>
        <c:axId val="19698278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6433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aseline="0"/>
              <a:t>ThetaP 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puts'!$AB$22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puts'!$AC$22:$AS$22</c:f>
              <c:numCache>
                <c:formatCode>General</c:formatCode>
                <c:ptCount val="17"/>
                <c:pt idx="0">
                  <c:v>0.99900049983337502</c:v>
                </c:pt>
                <c:pt idx="1">
                  <c:v>0.99900049983337502</c:v>
                </c:pt>
                <c:pt idx="2">
                  <c:v>0.99900049983337502</c:v>
                </c:pt>
                <c:pt idx="3">
                  <c:v>0.99900049983337502</c:v>
                </c:pt>
                <c:pt idx="4">
                  <c:v>0.99900049972392035</c:v>
                </c:pt>
                <c:pt idx="5">
                  <c:v>0.99898778098780616</c:v>
                </c:pt>
                <c:pt idx="6">
                  <c:v>0.97273637615297315</c:v>
                </c:pt>
                <c:pt idx="7">
                  <c:v>-0.7897195980655598</c:v>
                </c:pt>
                <c:pt idx="8">
                  <c:v>-5.8075399991664192</c:v>
                </c:pt>
                <c:pt idx="9">
                  <c:v>-1.810699417230762</c:v>
                </c:pt>
                <c:pt idx="10">
                  <c:v>-6.2769185786992573E-2</c:v>
                </c:pt>
                <c:pt idx="11">
                  <c:v>-3.3224708077408651E-4</c:v>
                </c:pt>
                <c:pt idx="12">
                  <c:v>-3.4429605682443005E-7</c:v>
                </c:pt>
                <c:pt idx="13">
                  <c:v>-8.6037351213146437E-11</c:v>
                </c:pt>
                <c:pt idx="14">
                  <c:v>-6.1918036313055312E-15</c:v>
                </c:pt>
                <c:pt idx="15">
                  <c:v>-1.4944294362165515E-19</c:v>
                </c:pt>
                <c:pt idx="16">
                  <c:v>-1.3795928081529724E-24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3-3E48-8555-F60DA01FEDA5}"/>
            </c:ext>
          </c:extLst>
        </c:ser>
        <c:ser>
          <c:idx val="1"/>
          <c:order val="1"/>
          <c:tx>
            <c:strRef>
              <c:f>'Parrt 1 puts'!$AB$23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puts'!$AC$23:$AS$23</c:f>
              <c:numCache>
                <c:formatCode>General</c:formatCode>
                <c:ptCount val="17"/>
                <c:pt idx="0">
                  <c:v>0.99800199866733308</c:v>
                </c:pt>
                <c:pt idx="1">
                  <c:v>0.99800199866733308</c:v>
                </c:pt>
                <c:pt idx="2">
                  <c:v>0.99800199866725026</c:v>
                </c:pt>
                <c:pt idx="3">
                  <c:v>0.99800199328363903</c:v>
                </c:pt>
                <c:pt idx="4">
                  <c:v>0.99798213302196503</c:v>
                </c:pt>
                <c:pt idx="5">
                  <c:v>0.99130400341108649</c:v>
                </c:pt>
                <c:pt idx="6">
                  <c:v>0.69579159642014521</c:v>
                </c:pt>
                <c:pt idx="7">
                  <c:v>-1.4973228889204435</c:v>
                </c:pt>
                <c:pt idx="8">
                  <c:v>-3.9601869299172963</c:v>
                </c:pt>
                <c:pt idx="9">
                  <c:v>-2.2626521291589863</c:v>
                </c:pt>
                <c:pt idx="10">
                  <c:v>-0.42232474959508837</c:v>
                </c:pt>
                <c:pt idx="11">
                  <c:v>-3.0599875820822964E-2</c:v>
                </c:pt>
                <c:pt idx="12">
                  <c:v>-9.7858748358038857E-4</c:v>
                </c:pt>
                <c:pt idx="13">
                  <c:v>-1.5352671158520953E-5</c:v>
                </c:pt>
                <c:pt idx="14">
                  <c:v>-1.2920579052956619E-7</c:v>
                </c:pt>
                <c:pt idx="15">
                  <c:v>-6.2964192905547412E-10</c:v>
                </c:pt>
                <c:pt idx="16">
                  <c:v>-1.8976923522066318E-12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43-3E48-8555-F60DA01FEDA5}"/>
            </c:ext>
          </c:extLst>
        </c:ser>
        <c:ser>
          <c:idx val="2"/>
          <c:order val="2"/>
          <c:tx>
            <c:strRef>
              <c:f>'Parrt 1 puts'!$AB$24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puts'!$AC$24:$AS$24</c:f>
              <c:numCache>
                <c:formatCode>General</c:formatCode>
                <c:ptCount val="17"/>
                <c:pt idx="0">
                  <c:v>0.997004495503373</c:v>
                </c:pt>
                <c:pt idx="1">
                  <c:v>0.99700449550320425</c:v>
                </c:pt>
                <c:pt idx="2">
                  <c:v>0.9970044927734858</c:v>
                </c:pt>
                <c:pt idx="3">
                  <c:v>0.99700012432101248</c:v>
                </c:pt>
                <c:pt idx="4">
                  <c:v>0.99596895090905213</c:v>
                </c:pt>
                <c:pt idx="5">
                  <c:v>0.94713351649706823</c:v>
                </c:pt>
                <c:pt idx="6">
                  <c:v>0.36663809142084636</c:v>
                </c:pt>
                <c:pt idx="7">
                  <c:v>-1.5859936162182988</c:v>
                </c:pt>
                <c:pt idx="8">
                  <c:v>-3.1419467979396183</c:v>
                </c:pt>
                <c:pt idx="9">
                  <c:v>-2.203339669260274</c:v>
                </c:pt>
                <c:pt idx="10">
                  <c:v>-0.72297944599120456</c:v>
                </c:pt>
                <c:pt idx="11">
                  <c:v>-0.12556750902794736</c:v>
                </c:pt>
                <c:pt idx="12">
                  <c:v>-1.2613281465951991E-2</c:v>
                </c:pt>
                <c:pt idx="13">
                  <c:v>-7.8724424144587175E-4</c:v>
                </c:pt>
                <c:pt idx="14">
                  <c:v>-3.2421794040907543E-5</c:v>
                </c:pt>
                <c:pt idx="15">
                  <c:v>-9.2739636673389884E-7</c:v>
                </c:pt>
                <c:pt idx="16">
                  <c:v>-1.9254441945968837E-8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43-3E48-8555-F60DA01FEDA5}"/>
            </c:ext>
          </c:extLst>
        </c:ser>
        <c:ser>
          <c:idx val="3"/>
          <c:order val="3"/>
          <c:tx>
            <c:strRef>
              <c:f>'Parrt 1 puts'!$AB$25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puts'!$AC$25:$AS$25</c:f>
              <c:numCache>
                <c:formatCode>General</c:formatCode>
                <c:ptCount val="17"/>
                <c:pt idx="0">
                  <c:v>0.9960079893439634</c:v>
                </c:pt>
                <c:pt idx="1">
                  <c:v>0.99600798900972876</c:v>
                </c:pt>
                <c:pt idx="2">
                  <c:v>0.996007513408245</c:v>
                </c:pt>
                <c:pt idx="3">
                  <c:v>0.9958883099048409</c:v>
                </c:pt>
                <c:pt idx="4">
                  <c:v>0.98881913585549774</c:v>
                </c:pt>
                <c:pt idx="5">
                  <c:v>0.86504366324168969</c:v>
                </c:pt>
                <c:pt idx="6">
                  <c:v>0.11879670036705237</c:v>
                </c:pt>
                <c:pt idx="7">
                  <c:v>-1.5394857255132948</c:v>
                </c:pt>
                <c:pt idx="8">
                  <c:v>-2.6543141298144004</c:v>
                </c:pt>
                <c:pt idx="9">
                  <c:v>-2.0653499125399302</c:v>
                </c:pt>
                <c:pt idx="10">
                  <c:v>-0.9000345279036136</c:v>
                </c:pt>
                <c:pt idx="11">
                  <c:v>-0.24231714422734396</c:v>
                </c:pt>
                <c:pt idx="12">
                  <c:v>-4.3177143501940407E-2</c:v>
                </c:pt>
                <c:pt idx="13">
                  <c:v>-5.3785293790866761E-3</c:v>
                </c:pt>
                <c:pt idx="14">
                  <c:v>-4.9024772665198768E-4</c:v>
                </c:pt>
                <c:pt idx="15">
                  <c:v>-3.398709484486626E-5</c:v>
                </c:pt>
                <c:pt idx="16">
                  <c:v>-1.8525683084748398E-6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43-3E48-8555-F60DA01FEDA5}"/>
            </c:ext>
          </c:extLst>
        </c:ser>
        <c:ser>
          <c:idx val="4"/>
          <c:order val="4"/>
          <c:tx>
            <c:strRef>
              <c:f>'Parrt 1 puts'!$AB$26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puts'!$AC$26:$AS$26</c:f>
              <c:numCache>
                <c:formatCode>General</c:formatCode>
                <c:ptCount val="17"/>
                <c:pt idx="0">
                  <c:v>0.99501247917551994</c:v>
                </c:pt>
                <c:pt idx="1">
                  <c:v>0.99501244815454448</c:v>
                </c:pt>
                <c:pt idx="2">
                  <c:v>0.99500219659371658</c:v>
                </c:pt>
                <c:pt idx="3">
                  <c:v>0.99416065350905569</c:v>
                </c:pt>
                <c:pt idx="4">
                  <c:v>0.97254026167264629</c:v>
                </c:pt>
                <c:pt idx="5">
                  <c:v>0.76640026527330196</c:v>
                </c:pt>
                <c:pt idx="6">
                  <c:v>-5.1883065329306532E-2</c:v>
                </c:pt>
                <c:pt idx="7">
                  <c:v>-1.461064539710867</c:v>
                </c:pt>
                <c:pt idx="8">
                  <c:v>-2.3216498594452881</c:v>
                </c:pt>
                <c:pt idx="9">
                  <c:v>-1.9246678386781297</c:v>
                </c:pt>
                <c:pt idx="10">
                  <c:v>-0.99542496826192928</c:v>
                </c:pt>
                <c:pt idx="11">
                  <c:v>-0.34891286314387721</c:v>
                </c:pt>
                <c:pt idx="12">
                  <c:v>-8.7741874543301929E-2</c:v>
                </c:pt>
                <c:pt idx="13">
                  <c:v>-1.6553712702115954E-2</c:v>
                </c:pt>
                <c:pt idx="14">
                  <c:v>-2.4311784336870619E-3</c:v>
                </c:pt>
                <c:pt idx="15">
                  <c:v>-2.8675996175023705E-4</c:v>
                </c:pt>
                <c:pt idx="16">
                  <c:v>-2.7899243174128561E-5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43-3E48-8555-F60DA01FEDA5}"/>
            </c:ext>
          </c:extLst>
        </c:ser>
        <c:ser>
          <c:idx val="5"/>
          <c:order val="5"/>
          <c:tx>
            <c:strRef>
              <c:f>'Parrt 1 puts'!$AB$27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puts'!$AC$27:$AS$27</c:f>
              <c:numCache>
                <c:formatCode>General</c:formatCode>
                <c:ptCount val="17"/>
                <c:pt idx="0">
                  <c:v>0.99401796283806776</c:v>
                </c:pt>
                <c:pt idx="1">
                  <c:v>0.9940173375389828</c:v>
                </c:pt>
                <c:pt idx="2">
                  <c:v>0.99393942712703431</c:v>
                </c:pt>
                <c:pt idx="3">
                  <c:v>0.99091363042718184</c:v>
                </c:pt>
                <c:pt idx="4">
                  <c:v>0.94668166780809726</c:v>
                </c:pt>
                <c:pt idx="5">
                  <c:v>0.66731630504920492</c:v>
                </c:pt>
                <c:pt idx="6">
                  <c:v>-0.16764960277222407</c:v>
                </c:pt>
                <c:pt idx="7">
                  <c:v>-1.3784963563176982</c:v>
                </c:pt>
                <c:pt idx="8">
                  <c:v>-2.0761832603862636</c:v>
                </c:pt>
                <c:pt idx="9">
                  <c:v>-1.7966717598432358</c:v>
                </c:pt>
                <c:pt idx="10">
                  <c:v>-1.0423925619359131</c:v>
                </c:pt>
                <c:pt idx="11">
                  <c:v>-0.43590187473800573</c:v>
                </c:pt>
                <c:pt idx="12">
                  <c:v>-0.1379830599291339</c:v>
                </c:pt>
                <c:pt idx="13">
                  <c:v>-3.4344257269802107E-2</c:v>
                </c:pt>
                <c:pt idx="14">
                  <c:v>-6.9343922087800663E-3</c:v>
                </c:pt>
                <c:pt idx="15">
                  <c:v>-1.1659341947907059E-3</c:v>
                </c:pt>
                <c:pt idx="16">
                  <c:v>-1.6694264521460039E-4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43-3E48-8555-F60DA01FEDA5}"/>
            </c:ext>
          </c:extLst>
        </c:ser>
        <c:ser>
          <c:idx val="6"/>
          <c:order val="6"/>
          <c:tx>
            <c:strRef>
              <c:f>'Parrt 1 puts'!$AB$28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puts'!$AC$28:$AS$28</c:f>
              <c:numCache>
                <c:formatCode>General</c:formatCode>
                <c:ptCount val="17"/>
                <c:pt idx="0">
                  <c:v>0.99302441771892436</c:v>
                </c:pt>
                <c:pt idx="1">
                  <c:v>0.99301914283601833</c:v>
                </c:pt>
                <c:pt idx="2">
                  <c:v>0.99269252102128758</c:v>
                </c:pt>
                <c:pt idx="3">
                  <c:v>0.98528881856758976</c:v>
                </c:pt>
                <c:pt idx="4">
                  <c:v>0.91326224949398871</c:v>
                </c:pt>
                <c:pt idx="5">
                  <c:v>0.57562878518581251</c:v>
                </c:pt>
                <c:pt idx="6">
                  <c:v>-0.24622445638101331</c:v>
                </c:pt>
                <c:pt idx="7">
                  <c:v>-1.3000097108217659</c:v>
                </c:pt>
                <c:pt idx="8">
                  <c:v>-1.8854902804973697</c:v>
                </c:pt>
                <c:pt idx="9">
                  <c:v>-1.6833383211190209</c:v>
                </c:pt>
                <c:pt idx="10">
                  <c:v>-1.0607704545172447</c:v>
                </c:pt>
                <c:pt idx="11">
                  <c:v>-0.5034151117305079</c:v>
                </c:pt>
                <c:pt idx="12">
                  <c:v>-0.18789277157795028</c:v>
                </c:pt>
                <c:pt idx="13">
                  <c:v>-5.7018721405866037E-2</c:v>
                </c:pt>
                <c:pt idx="14">
                  <c:v>-1.4454592984464852E-2</c:v>
                </c:pt>
                <c:pt idx="15">
                  <c:v>-3.1312880949857982E-3</c:v>
                </c:pt>
                <c:pt idx="16">
                  <c:v>-5.9094923619857113E-4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43-3E48-8555-F60DA01FEDA5}"/>
            </c:ext>
          </c:extLst>
        </c:ser>
        <c:ser>
          <c:idx val="7"/>
          <c:order val="7"/>
          <c:tx>
            <c:strRef>
              <c:f>'Parrt 1 puts'!$AB$29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puts'!$AC$29:$AS$29</c:f>
              <c:numCache>
                <c:formatCode>General</c:formatCode>
                <c:ptCount val="17"/>
                <c:pt idx="0">
                  <c:v>0.99203167184500241</c:v>
                </c:pt>
                <c:pt idx="1">
                  <c:v>0.99200583942947096</c:v>
                </c:pt>
                <c:pt idx="2">
                  <c:v>0.99106138103316499</c:v>
                </c:pt>
                <c:pt idx="3">
                  <c:v>0.97680968718653949</c:v>
                </c:pt>
                <c:pt idx="4">
                  <c:v>0.87496419115403512</c:v>
                </c:pt>
                <c:pt idx="5">
                  <c:v>0.49412456102661312</c:v>
                </c:pt>
                <c:pt idx="6">
                  <c:v>-0.29960032063341668</c:v>
                </c:pt>
                <c:pt idx="7">
                  <c:v>-1.2278346307364079</c:v>
                </c:pt>
                <c:pt idx="8">
                  <c:v>-1.7318510251023014</c:v>
                </c:pt>
                <c:pt idx="9">
                  <c:v>-1.5834219104976213</c:v>
                </c:pt>
                <c:pt idx="10">
                  <c:v>-1.0620570679619261</c:v>
                </c:pt>
                <c:pt idx="11">
                  <c:v>-0.55439604044371293</c:v>
                </c:pt>
                <c:pt idx="12">
                  <c:v>-0.23420144912901975</c:v>
                </c:pt>
                <c:pt idx="13">
                  <c:v>-8.2481364281792882E-2</c:v>
                </c:pt>
                <c:pt idx="14">
                  <c:v>-2.4805578636037308E-2</c:v>
                </c:pt>
                <c:pt idx="15">
                  <c:v>-6.4993438732126102E-3</c:v>
                </c:pt>
                <c:pt idx="16">
                  <c:v>-1.5090369874446205E-3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443-3E48-8555-F60DA01FEDA5}"/>
            </c:ext>
          </c:extLst>
        </c:ser>
        <c:ser>
          <c:idx val="8"/>
          <c:order val="8"/>
          <c:tx>
            <c:strRef>
              <c:f>'Parrt 1 puts'!$AB$30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puts'!$AC$30:$AS$30</c:f>
              <c:numCache>
                <c:formatCode>General</c:formatCode>
                <c:ptCount val="17"/>
                <c:pt idx="0">
                  <c:v>0.99103897243260231</c:v>
                </c:pt>
                <c:pt idx="1">
                  <c:v>0.99095091024580262</c:v>
                </c:pt>
                <c:pt idx="2">
                  <c:v>0.9888183335431755</c:v>
                </c:pt>
                <c:pt idx="3">
                  <c:v>0.96542390700017167</c:v>
                </c:pt>
                <c:pt idx="4">
                  <c:v>0.8341790371082759</c:v>
                </c:pt>
                <c:pt idx="5">
                  <c:v>0.4231191131345392</c:v>
                </c:pt>
                <c:pt idx="6">
                  <c:v>-0.33567050653347108</c:v>
                </c:pt>
                <c:pt idx="7">
                  <c:v>-1.1621956649021579</c:v>
                </c:pt>
                <c:pt idx="8">
                  <c:v>-1.6046556435850945</c:v>
                </c:pt>
                <c:pt idx="9">
                  <c:v>-1.4950611886964151</c:v>
                </c:pt>
                <c:pt idx="10">
                  <c:v>-1.0530258322190678</c:v>
                </c:pt>
                <c:pt idx="11">
                  <c:v>-0.59212571130662894</c:v>
                </c:pt>
                <c:pt idx="12">
                  <c:v>-0.27549917800127072</c:v>
                </c:pt>
                <c:pt idx="13">
                  <c:v>-0.10895820411299993</c:v>
                </c:pt>
                <c:pt idx="14">
                  <c:v>-3.7431361261242288E-2</c:v>
                </c:pt>
                <c:pt idx="15">
                  <c:v>-1.1372533247324826E-2</c:v>
                </c:pt>
                <c:pt idx="16">
                  <c:v>-3.1026673862978625E-3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443-3E48-8555-F60DA01FEDA5}"/>
            </c:ext>
          </c:extLst>
        </c:ser>
        <c:ser>
          <c:idx val="9"/>
          <c:order val="9"/>
          <c:tx>
            <c:strRef>
              <c:f>'Parrt 1 puts'!$AB$31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puts'!$AC$31:$AS$31</c:f>
              <c:numCache>
                <c:formatCode>General</c:formatCode>
                <c:ptCount val="17"/>
                <c:pt idx="0">
                  <c:v>0.99004413373154987</c:v>
                </c:pt>
                <c:pt idx="1">
                  <c:v>0.98981113384047348</c:v>
                </c:pt>
                <c:pt idx="2">
                  <c:v>0.98576011996693769</c:v>
                </c:pt>
                <c:pt idx="3">
                  <c:v>0.95138702812979092</c:v>
                </c:pt>
                <c:pt idx="4">
                  <c:v>0.79272206062207407</c:v>
                </c:pt>
                <c:pt idx="5">
                  <c:v>0.36187114385946628</c:v>
                </c:pt>
                <c:pt idx="6">
                  <c:v>-0.35966175306116177</c:v>
                </c:pt>
                <c:pt idx="7">
                  <c:v>-1.1026487999819095</c:v>
                </c:pt>
                <c:pt idx="8">
                  <c:v>-1.4971121490702983</c:v>
                </c:pt>
                <c:pt idx="9">
                  <c:v>-1.4164825404023962</c:v>
                </c:pt>
                <c:pt idx="10">
                  <c:v>-1.0377653244888736</c:v>
                </c:pt>
                <c:pt idx="11">
                  <c:v>-0.61947389099939321</c:v>
                </c:pt>
                <c:pt idx="12">
                  <c:v>-0.31143420848599807</c:v>
                </c:pt>
                <c:pt idx="13">
                  <c:v>-0.13516846251618272</c:v>
                </c:pt>
                <c:pt idx="14">
                  <c:v>-5.1657606733707132E-2</c:v>
                </c:pt>
                <c:pt idx="15">
                  <c:v>-1.7670311849951229E-2</c:v>
                </c:pt>
                <c:pt idx="16">
                  <c:v>-5.4852887942586515E-3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443-3E48-8555-F60DA01FEDA5}"/>
            </c:ext>
          </c:extLst>
        </c:ser>
        <c:ser>
          <c:idx val="10"/>
          <c:order val="10"/>
          <c:tx>
            <c:strRef>
              <c:f>'Parrt 1 puts'!$AB$32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puts'!$AC$32:$AS$32</c:f>
              <c:numCache>
                <c:formatCode>General</c:formatCode>
                <c:ptCount val="17"/>
                <c:pt idx="0">
                  <c:v>0.97738921753994157</c:v>
                </c:pt>
                <c:pt idx="1">
                  <c:v>0.96223375058594995</c:v>
                </c:pt>
                <c:pt idx="2">
                  <c:v>0.90470596828760952</c:v>
                </c:pt>
                <c:pt idx="3">
                  <c:v>0.75475676856853813</c:v>
                </c:pt>
                <c:pt idx="4">
                  <c:v>0.47157214843739087</c:v>
                </c:pt>
                <c:pt idx="5">
                  <c:v>6.9682198025730058E-2</c:v>
                </c:pt>
                <c:pt idx="6">
                  <c:v>-0.3663131892731204</c:v>
                </c:pt>
                <c:pt idx="7">
                  <c:v>-0.7221704399535217</c:v>
                </c:pt>
                <c:pt idx="8">
                  <c:v>-0.91662119058430913</c:v>
                </c:pt>
                <c:pt idx="9">
                  <c:v>-0.93599623950909105</c:v>
                </c:pt>
                <c:pt idx="10">
                  <c:v>-0.8240555510390013</c:v>
                </c:pt>
                <c:pt idx="11">
                  <c:v>-0.64721901210581179</c:v>
                </c:pt>
                <c:pt idx="12">
                  <c:v>-0.46318611681068206</c:v>
                </c:pt>
                <c:pt idx="13">
                  <c:v>-0.30660130053985107</c:v>
                </c:pt>
                <c:pt idx="14">
                  <c:v>-0.18987670337199358</c:v>
                </c:pt>
                <c:pt idx="15">
                  <c:v>-0.11102423979752507</c:v>
                </c:pt>
                <c:pt idx="16">
                  <c:v>-6.1756113118706171E-2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443-3E48-8555-F60DA01FEDA5}"/>
            </c:ext>
          </c:extLst>
        </c:ser>
        <c:ser>
          <c:idx val="11"/>
          <c:order val="11"/>
          <c:tx>
            <c:strRef>
              <c:f>'Parrt 1 puts'!$AB$33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puts'!$AC$33:$AS$33</c:f>
              <c:numCache>
                <c:formatCode>General</c:formatCode>
                <c:ptCount val="17"/>
                <c:pt idx="0">
                  <c:v>0.94983673133389301</c:v>
                </c:pt>
                <c:pt idx="1">
                  <c:v>0.89984365221008122</c:v>
                </c:pt>
                <c:pt idx="2">
                  <c:v>0.78720277976011055</c:v>
                </c:pt>
                <c:pt idx="3">
                  <c:v>0.59078664790318269</c:v>
                </c:pt>
                <c:pt idx="4">
                  <c:v>0.31622111544541098</c:v>
                </c:pt>
                <c:pt idx="5">
                  <c:v>1.4529888983265682E-3</c:v>
                </c:pt>
                <c:pt idx="6">
                  <c:v>-0.29701782629730855</c:v>
                </c:pt>
                <c:pt idx="7">
                  <c:v>-0.52758629136169244</c:v>
                </c:pt>
                <c:pt idx="8">
                  <c:v>-0.66169135046354755</c:v>
                </c:pt>
                <c:pt idx="9">
                  <c:v>-0.69853142783353883</c:v>
                </c:pt>
                <c:pt idx="10">
                  <c:v>-0.65810232358975274</c:v>
                </c:pt>
                <c:pt idx="11">
                  <c:v>-0.56946691284109274</c:v>
                </c:pt>
                <c:pt idx="12">
                  <c:v>-0.46052876918444907</c:v>
                </c:pt>
                <c:pt idx="13">
                  <c:v>-0.35222499746341107</c:v>
                </c:pt>
                <c:pt idx="14">
                  <c:v>-0.25702699866569745</c:v>
                </c:pt>
                <c:pt idx="15">
                  <c:v>-0.18018057439041107</c:v>
                </c:pt>
                <c:pt idx="16">
                  <c:v>-0.12201315784151728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443-3E48-8555-F60DA01FEDA5}"/>
            </c:ext>
          </c:extLst>
        </c:ser>
        <c:ser>
          <c:idx val="12"/>
          <c:order val="12"/>
          <c:tx>
            <c:strRef>
              <c:f>'Parrt 1 puts'!$AB$34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puts'!$AC$34:$AS$34</c:f>
              <c:numCache>
                <c:formatCode>General</c:formatCode>
                <c:ptCount val="17"/>
                <c:pt idx="0">
                  <c:v>0.90683607161527391</c:v>
                </c:pt>
                <c:pt idx="1">
                  <c:v>0.82532183687115879</c:v>
                </c:pt>
                <c:pt idx="2">
                  <c:v>0.68410069790790984</c:v>
                </c:pt>
                <c:pt idx="3">
                  <c:v>0.48266693877182837</c:v>
                </c:pt>
                <c:pt idx="4">
                  <c:v>0.2399077742487864</c:v>
                </c:pt>
                <c:pt idx="5">
                  <c:v>-1.1308253577771987E-2</c:v>
                </c:pt>
                <c:pt idx="6">
                  <c:v>-0.23567390279903866</c:v>
                </c:pt>
                <c:pt idx="7">
                  <c:v>-0.40646608559303121</c:v>
                </c:pt>
                <c:pt idx="8">
                  <c:v>-0.5113409845151955</c:v>
                </c:pt>
                <c:pt idx="9">
                  <c:v>-0.55209871862671811</c:v>
                </c:pt>
                <c:pt idx="10">
                  <c:v>-0.54045500119824175</c:v>
                </c:pt>
                <c:pt idx="11">
                  <c:v>-0.49261399211768886</c:v>
                </c:pt>
                <c:pt idx="12">
                  <c:v>-0.42470972212763064</c:v>
                </c:pt>
                <c:pt idx="13">
                  <c:v>-0.35000537971685786</c:v>
                </c:pt>
                <c:pt idx="14">
                  <c:v>-0.2778100693042666</c:v>
                </c:pt>
                <c:pt idx="15">
                  <c:v>-0.21361117042434308</c:v>
                </c:pt>
                <c:pt idx="16">
                  <c:v>-0.15984242167890017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443-3E48-8555-F60DA01FEDA5}"/>
            </c:ext>
          </c:extLst>
        </c:ser>
        <c:ser>
          <c:idx val="13"/>
          <c:order val="13"/>
          <c:tx>
            <c:strRef>
              <c:f>'Parrt 1 puts'!$AB$35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puts'!$AC$21:$AS$21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puts'!$AC$35:$AS$35</c:f>
              <c:numCache>
                <c:formatCode>General</c:formatCode>
                <c:ptCount val="17"/>
                <c:pt idx="0">
                  <c:v>0.85695438761075526</c:v>
                </c:pt>
                <c:pt idx="1">
                  <c:v>0.75462166158520771</c:v>
                </c:pt>
                <c:pt idx="2">
                  <c:v>0.60316023451469636</c:v>
                </c:pt>
                <c:pt idx="3">
                  <c:v>0.41142956078514548</c:v>
                </c:pt>
                <c:pt idx="4">
                  <c:v>0.19958853698609491</c:v>
                </c:pt>
                <c:pt idx="5">
                  <c:v>-7.2565477175294824E-3</c:v>
                </c:pt>
                <c:pt idx="6">
                  <c:v>-0.18637371324727181</c:v>
                </c:pt>
                <c:pt idx="7">
                  <c:v>-0.32257478488966851</c:v>
                </c:pt>
                <c:pt idx="8">
                  <c:v>-0.40999358994032742</c:v>
                </c:pt>
                <c:pt idx="9">
                  <c:v>-0.45096643503321798</c:v>
                </c:pt>
                <c:pt idx="10">
                  <c:v>-0.45333363231731488</c:v>
                </c:pt>
                <c:pt idx="11">
                  <c:v>-0.42745824338021499</c:v>
                </c:pt>
                <c:pt idx="12">
                  <c:v>-0.38380065196544166</c:v>
                </c:pt>
                <c:pt idx="13">
                  <c:v>-0.33137527773943098</c:v>
                </c:pt>
                <c:pt idx="14">
                  <c:v>-0.27704944060311887</c:v>
                </c:pt>
                <c:pt idx="15">
                  <c:v>-0.22546516046155152</c:v>
                </c:pt>
                <c:pt idx="16">
                  <c:v>-0.17932894005829006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443-3E48-8555-F60DA01FE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870463"/>
        <c:axId val="1966868223"/>
        <c:axId val="1495094271"/>
      </c:line3DChart>
      <c:catAx>
        <c:axId val="1966870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6868223"/>
        <c:crosses val="autoZero"/>
        <c:auto val="1"/>
        <c:lblAlgn val="ctr"/>
        <c:lblOffset val="100"/>
        <c:noMultiLvlLbl val="0"/>
      </c:catAx>
      <c:valAx>
        <c:axId val="196686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6870463"/>
        <c:crosses val="autoZero"/>
        <c:crossBetween val="between"/>
      </c:valAx>
      <c:serAx>
        <c:axId val="14950942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68682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aseline="0"/>
              <a:t>ThetaP - sigma 0,3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puts'!$H$74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puts'!$I$74:$Y$74</c:f>
              <c:numCache>
                <c:formatCode>General</c:formatCode>
                <c:ptCount val="17"/>
                <c:pt idx="0">
                  <c:v>0.99899263408701833</c:v>
                </c:pt>
                <c:pt idx="1">
                  <c:v>0.99846593830863339</c:v>
                </c:pt>
                <c:pt idx="2">
                  <c:v>0.98491177292683196</c:v>
                </c:pt>
                <c:pt idx="3">
                  <c:v>0.82776351415260951</c:v>
                </c:pt>
                <c:pt idx="4">
                  <c:v>-9.8879153272837805E-2</c:v>
                </c:pt>
                <c:pt idx="5">
                  <c:v>-3.1294701728622658</c:v>
                </c:pt>
                <c:pt idx="6">
                  <c:v>-8.9132864264063176</c:v>
                </c:pt>
                <c:pt idx="7">
                  <c:v>-15.282826634787316</c:v>
                </c:pt>
                <c:pt idx="8">
                  <c:v>-18.37751816266173</c:v>
                </c:pt>
                <c:pt idx="9">
                  <c:v>-16.552290271650008</c:v>
                </c:pt>
                <c:pt idx="10">
                  <c:v>-11.669285285441694</c:v>
                </c:pt>
                <c:pt idx="11">
                  <c:v>-6.6634526937759855</c:v>
                </c:pt>
                <c:pt idx="12">
                  <c:v>-3.169495531364193</c:v>
                </c:pt>
                <c:pt idx="13">
                  <c:v>-1.2856313304365674</c:v>
                </c:pt>
                <c:pt idx="14">
                  <c:v>-0.45366785285420225</c:v>
                </c:pt>
                <c:pt idx="15">
                  <c:v>-0.14166726043328112</c:v>
                </c:pt>
                <c:pt idx="16">
                  <c:v>-3.9728350224498166E-2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6-6044-96C2-BEBEA2D9643B}"/>
            </c:ext>
          </c:extLst>
        </c:ser>
        <c:ser>
          <c:idx val="1"/>
          <c:order val="1"/>
          <c:tx>
            <c:strRef>
              <c:f>'Parrt 1 puts'!$H$75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puts'!$I$75:$Y$75</c:f>
              <c:numCache>
                <c:formatCode>General</c:formatCode>
                <c:ptCount val="17"/>
                <c:pt idx="0">
                  <c:v>0.99016842844618558</c:v>
                </c:pt>
                <c:pt idx="1">
                  <c:v>0.93235573068106259</c:v>
                </c:pt>
                <c:pt idx="2">
                  <c:v>0.65574906117532894</c:v>
                </c:pt>
                <c:pt idx="3">
                  <c:v>-0.21283148626389148</c:v>
                </c:pt>
                <c:pt idx="4">
                  <c:v>-2.1115932491116407</c:v>
                </c:pt>
                <c:pt idx="5">
                  <c:v>-5.1159854868804349</c:v>
                </c:pt>
                <c:pt idx="6">
                  <c:v>-8.6067956315526288</c:v>
                </c:pt>
                <c:pt idx="7">
                  <c:v>-11.48463136658831</c:v>
                </c:pt>
                <c:pt idx="8">
                  <c:v>-12.816266802050279</c:v>
                </c:pt>
                <c:pt idx="9">
                  <c:v>-12.34486383458129</c:v>
                </c:pt>
                <c:pt idx="10">
                  <c:v>-10.498481139827572</c:v>
                </c:pt>
                <c:pt idx="11">
                  <c:v>-8.0235003755640015</c:v>
                </c:pt>
                <c:pt idx="12">
                  <c:v>-5.5905459063791616</c:v>
                </c:pt>
                <c:pt idx="13">
                  <c:v>-3.5942601235901694</c:v>
                </c:pt>
                <c:pt idx="14">
                  <c:v>-2.1539420718322613</c:v>
                </c:pt>
                <c:pt idx="15">
                  <c:v>-1.213629575081647</c:v>
                </c:pt>
                <c:pt idx="16">
                  <c:v>-0.64773454988234103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E6-6044-96C2-BEBEA2D9643B}"/>
            </c:ext>
          </c:extLst>
        </c:ser>
        <c:ser>
          <c:idx val="2"/>
          <c:order val="2"/>
          <c:tx>
            <c:strRef>
              <c:f>'Parrt 1 puts'!$H$76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puts'!$I$76:$Y$76</c:f>
              <c:numCache>
                <c:formatCode>General</c:formatCode>
                <c:ptCount val="17"/>
                <c:pt idx="0">
                  <c:v>0.92523716680024171</c:v>
                </c:pt>
                <c:pt idx="1">
                  <c:v>0.69758093918743358</c:v>
                </c:pt>
                <c:pt idx="2">
                  <c:v>8.7159443621473875E-2</c:v>
                </c:pt>
                <c:pt idx="3">
                  <c:v>-1.136905433863195</c:v>
                </c:pt>
                <c:pt idx="4">
                  <c:v>-3.0440173276012308</c:v>
                </c:pt>
                <c:pt idx="5">
                  <c:v>-5.4059575893526288</c:v>
                </c:pt>
                <c:pt idx="6">
                  <c:v>-7.7379371624679631</c:v>
                </c:pt>
                <c:pt idx="7">
                  <c:v>-9.5044896339229936</c:v>
                </c:pt>
                <c:pt idx="8">
                  <c:v>-10.346638883027289</c:v>
                </c:pt>
                <c:pt idx="9">
                  <c:v>-10.194341349097956</c:v>
                </c:pt>
                <c:pt idx="10">
                  <c:v>-9.2323556966562297</c:v>
                </c:pt>
                <c:pt idx="11">
                  <c:v>-7.7788057388183685</c:v>
                </c:pt>
                <c:pt idx="12">
                  <c:v>-6.1578352918206596</c:v>
                </c:pt>
                <c:pt idx="13">
                  <c:v>-4.617441685929025</c:v>
                </c:pt>
                <c:pt idx="14">
                  <c:v>-3.3023115487030839</c:v>
                </c:pt>
                <c:pt idx="15">
                  <c:v>-2.2657861086994076</c:v>
                </c:pt>
                <c:pt idx="16">
                  <c:v>-1.4989402958722344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E6-6044-96C2-BEBEA2D9643B}"/>
            </c:ext>
          </c:extLst>
        </c:ser>
        <c:ser>
          <c:idx val="3"/>
          <c:order val="3"/>
          <c:tx>
            <c:strRef>
              <c:f>'Parrt 1 puts'!$H$77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puts'!$I$77:$Y$77</c:f>
              <c:numCache>
                <c:formatCode>General</c:formatCode>
                <c:ptCount val="17"/>
                <c:pt idx="0">
                  <c:v>0.78768585026709492</c:v>
                </c:pt>
                <c:pt idx="1">
                  <c:v>0.38264908586049273</c:v>
                </c:pt>
                <c:pt idx="2">
                  <c:v>-0.42709870292597552</c:v>
                </c:pt>
                <c:pt idx="3">
                  <c:v>-1.7220124983182141</c:v>
                </c:pt>
                <c:pt idx="4">
                  <c:v>-3.4246318599838124</c:v>
                </c:pt>
                <c:pt idx="5">
                  <c:v>-5.2928547258545455</c:v>
                </c:pt>
                <c:pt idx="6">
                  <c:v>-6.9997013228205578</c:v>
                </c:pt>
                <c:pt idx="7">
                  <c:v>-8.2500777076553149</c:v>
                </c:pt>
                <c:pt idx="8">
                  <c:v>-8.871059846530704</c:v>
                </c:pt>
                <c:pt idx="9">
                  <c:v>-8.8413259687771557</c:v>
                </c:pt>
                <c:pt idx="10">
                  <c:v>-8.2643732006729707</c:v>
                </c:pt>
                <c:pt idx="11">
                  <c:v>-7.3127230853404637</c:v>
                </c:pt>
                <c:pt idx="12">
                  <c:v>-6.1715062860855525</c:v>
                </c:pt>
                <c:pt idx="13">
                  <c:v>-4.9986398916944106</c:v>
                </c:pt>
                <c:pt idx="14">
                  <c:v>-3.9060292484179464</c:v>
                </c:pt>
                <c:pt idx="15">
                  <c:v>-2.9578378750491692</c:v>
                </c:pt>
                <c:pt idx="16">
                  <c:v>-2.178832667374845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E6-6044-96C2-BEBEA2D9643B}"/>
            </c:ext>
          </c:extLst>
        </c:ser>
        <c:ser>
          <c:idx val="4"/>
          <c:order val="4"/>
          <c:tx>
            <c:strRef>
              <c:f>'Parrt 1 puts'!$H$78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puts'!$I$78:$Y$78</c:f>
              <c:numCache>
                <c:formatCode>General</c:formatCode>
                <c:ptCount val="17"/>
                <c:pt idx="0">
                  <c:v>0.60986310530199628</c:v>
                </c:pt>
                <c:pt idx="1">
                  <c:v>7.4937965332277701E-2</c:v>
                </c:pt>
                <c:pt idx="2">
                  <c:v>-0.82089492375222262</c:v>
                </c:pt>
                <c:pt idx="3">
                  <c:v>-2.0714326565604573</c:v>
                </c:pt>
                <c:pt idx="4">
                  <c:v>-3.5575631117808268</c:v>
                </c:pt>
                <c:pt idx="5">
                  <c:v>-5.0764798252215249</c:v>
                </c:pt>
                <c:pt idx="6">
                  <c:v>-6.4052391289394421</c:v>
                </c:pt>
                <c:pt idx="7">
                  <c:v>-7.3652740524653666</c:v>
                </c:pt>
                <c:pt idx="8">
                  <c:v>-7.8618142409078384</c:v>
                </c:pt>
                <c:pt idx="9">
                  <c:v>-7.8903607726868055</c:v>
                </c:pt>
                <c:pt idx="10">
                  <c:v>-7.5176969033870948</c:v>
                </c:pt>
                <c:pt idx="11">
                  <c:v>-6.8512522288733955</c:v>
                </c:pt>
                <c:pt idx="12">
                  <c:v>-6.0091583558531081</c:v>
                </c:pt>
                <c:pt idx="13">
                  <c:v>-5.0982027370703884</c:v>
                </c:pt>
                <c:pt idx="14">
                  <c:v>-4.201722873629703</c:v>
                </c:pt>
                <c:pt idx="15">
                  <c:v>-3.3760699130439797</c:v>
                </c:pt>
                <c:pt idx="16">
                  <c:v>-2.6528322224745291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E6-6044-96C2-BEBEA2D9643B}"/>
            </c:ext>
          </c:extLst>
        </c:ser>
        <c:ser>
          <c:idx val="5"/>
          <c:order val="5"/>
          <c:tx>
            <c:strRef>
              <c:f>'Parrt 1 puts'!$H$79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puts'!$I$79:$Y$79</c:f>
              <c:numCache>
                <c:formatCode>General</c:formatCode>
                <c:ptCount val="17"/>
                <c:pt idx="0">
                  <c:v>0.42333097395945118</c:v>
                </c:pt>
                <c:pt idx="1">
                  <c:v>-0.1920169261881326</c:v>
                </c:pt>
                <c:pt idx="2">
                  <c:v>-1.1076410083813386</c:v>
                </c:pt>
                <c:pt idx="3">
                  <c:v>-2.2754852484030046</c:v>
                </c:pt>
                <c:pt idx="4">
                  <c:v>-3.573926940156273</c:v>
                </c:pt>
                <c:pt idx="5">
                  <c:v>-4.841495067056818</c:v>
                </c:pt>
                <c:pt idx="6">
                  <c:v>-5.9214128124070875</c:v>
                </c:pt>
                <c:pt idx="7">
                  <c:v>-6.6980876889503085</c:v>
                </c:pt>
                <c:pt idx="8">
                  <c:v>-7.1151799748504487</c:v>
                </c:pt>
                <c:pt idx="9">
                  <c:v>-7.1748546379084193</c:v>
                </c:pt>
                <c:pt idx="10">
                  <c:v>-6.9241734717929324</c:v>
                </c:pt>
                <c:pt idx="11">
                  <c:v>-6.4362836083910215</c:v>
                </c:pt>
                <c:pt idx="12">
                  <c:v>-5.792562780413955</c:v>
                </c:pt>
                <c:pt idx="13">
                  <c:v>-5.0691867264916635</c:v>
                </c:pt>
                <c:pt idx="14">
                  <c:v>-4.3291186912494091</c:v>
                </c:pt>
                <c:pt idx="15">
                  <c:v>-3.6189073563403045</c:v>
                </c:pt>
                <c:pt idx="16">
                  <c:v>-2.9689506595913882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E6-6044-96C2-BEBEA2D9643B}"/>
            </c:ext>
          </c:extLst>
        </c:ser>
        <c:ser>
          <c:idx val="6"/>
          <c:order val="6"/>
          <c:tx>
            <c:strRef>
              <c:f>'Parrt 1 puts'!$H$80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puts'!$I$80:$Y$80</c:f>
              <c:numCache>
                <c:formatCode>General</c:formatCode>
                <c:ptCount val="17"/>
                <c:pt idx="0">
                  <c:v>0.24610828201548784</c:v>
                </c:pt>
                <c:pt idx="1">
                  <c:v>-0.41231829440777068</c:v>
                </c:pt>
                <c:pt idx="2">
                  <c:v>-1.3128435282684667</c:v>
                </c:pt>
                <c:pt idx="3">
                  <c:v>-2.3901792761348437</c:v>
                </c:pt>
                <c:pt idx="4">
                  <c:v>-3.5332200574471222</c:v>
                </c:pt>
                <c:pt idx="5">
                  <c:v>-4.614419554346691</c:v>
                </c:pt>
                <c:pt idx="6">
                  <c:v>-5.5201009241771768</c:v>
                </c:pt>
                <c:pt idx="7">
                  <c:v>-6.1716214359627042</c:v>
                </c:pt>
                <c:pt idx="8">
                  <c:v>-6.5336410804145792</c:v>
                </c:pt>
                <c:pt idx="9">
                  <c:v>-6.6111017096037683</c:v>
                </c:pt>
                <c:pt idx="10">
                  <c:v>-6.4392117147189118</c:v>
                </c:pt>
                <c:pt idx="11">
                  <c:v>-6.0709763329493374</c:v>
                </c:pt>
                <c:pt idx="12">
                  <c:v>-5.5656557772160884</c:v>
                </c:pt>
                <c:pt idx="13">
                  <c:v>-4.9799824385359122</c:v>
                </c:pt>
                <c:pt idx="14">
                  <c:v>-4.3626504328939282</c:v>
                </c:pt>
                <c:pt idx="15">
                  <c:v>-3.7517423184287213</c:v>
                </c:pt>
                <c:pt idx="16">
                  <c:v>-3.1743621547853551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E6-6044-96C2-BEBEA2D9643B}"/>
            </c:ext>
          </c:extLst>
        </c:ser>
        <c:ser>
          <c:idx val="7"/>
          <c:order val="7"/>
          <c:tx>
            <c:strRef>
              <c:f>'Parrt 1 puts'!$H$81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puts'!$I$81:$Y$81</c:f>
              <c:numCache>
                <c:formatCode>General</c:formatCode>
                <c:ptCount val="17"/>
                <c:pt idx="0">
                  <c:v>8.6087128617417963E-2</c:v>
                </c:pt>
                <c:pt idx="1">
                  <c:v>-0.59007577500894082</c:v>
                </c:pt>
                <c:pt idx="2">
                  <c:v>-1.4584046105959692</c:v>
                </c:pt>
                <c:pt idx="3">
                  <c:v>-2.4489376917065435</c:v>
                </c:pt>
                <c:pt idx="4">
                  <c:v>-3.4643193800603687</c:v>
                </c:pt>
                <c:pt idx="5">
                  <c:v>-4.4032651610680338</c:v>
                </c:pt>
                <c:pt idx="6">
                  <c:v>-5.1811134753930892</c:v>
                </c:pt>
                <c:pt idx="7">
                  <c:v>-5.7423073581237292</c:v>
                </c:pt>
                <c:pt idx="8">
                  <c:v>-6.0638788186355779</c:v>
                </c:pt>
                <c:pt idx="9">
                  <c:v>-6.1518802862663842</c:v>
                </c:pt>
                <c:pt idx="10">
                  <c:v>-6.0338118580514015</c:v>
                </c:pt>
                <c:pt idx="11">
                  <c:v>-5.7498827104939281</c:v>
                </c:pt>
                <c:pt idx="12">
                  <c:v>-5.3450951193463032</c:v>
                </c:pt>
                <c:pt idx="13">
                  <c:v>-4.8631856970761129</c:v>
                </c:pt>
                <c:pt idx="14">
                  <c:v>-4.3426943145153842</c:v>
                </c:pt>
                <c:pt idx="15">
                  <c:v>-3.814948770028149</c:v>
                </c:pt>
                <c:pt idx="16">
                  <c:v>-3.3035257641310425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6E6-6044-96C2-BEBEA2D9643B}"/>
            </c:ext>
          </c:extLst>
        </c:ser>
        <c:ser>
          <c:idx val="8"/>
          <c:order val="8"/>
          <c:tx>
            <c:strRef>
              <c:f>'Parrt 1 puts'!$H$82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puts'!$I$82:$Y$82</c:f>
              <c:numCache>
                <c:formatCode>General</c:formatCode>
                <c:ptCount val="17"/>
                <c:pt idx="0">
                  <c:v>-5.4464754447525188E-2</c:v>
                </c:pt>
                <c:pt idx="1">
                  <c:v>-0.73198274376452066</c:v>
                </c:pt>
                <c:pt idx="2">
                  <c:v>-1.5606632171007311</c:v>
                </c:pt>
                <c:pt idx="3">
                  <c:v>-2.4719834030189616</c:v>
                </c:pt>
                <c:pt idx="4">
                  <c:v>-3.3820258847054534</c:v>
                </c:pt>
                <c:pt idx="5">
                  <c:v>-4.2095913215003344</c:v>
                </c:pt>
                <c:pt idx="6">
                  <c:v>-4.8901808629120991</c:v>
                </c:pt>
                <c:pt idx="7">
                  <c:v>-5.3833875311322927</c:v>
                </c:pt>
                <c:pt idx="8">
                  <c:v>-5.673953019884344</c:v>
                </c:pt>
                <c:pt idx="9">
                  <c:v>-5.7682743950165616</c:v>
                </c:pt>
                <c:pt idx="10">
                  <c:v>-5.6885385047670427</c:v>
                </c:pt>
                <c:pt idx="11">
                  <c:v>-5.466334122701447</c:v>
                </c:pt>
                <c:pt idx="12">
                  <c:v>-5.1369721420425423</c:v>
                </c:pt>
                <c:pt idx="13">
                  <c:v>-4.7351272149737191</c:v>
                </c:pt>
                <c:pt idx="14">
                  <c:v>-4.2919434847148787</c:v>
                </c:pt>
                <c:pt idx="15">
                  <c:v>-3.8334560423269344</c:v>
                </c:pt>
                <c:pt idx="16">
                  <c:v>-3.3800427469042171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6E6-6044-96C2-BEBEA2D9643B}"/>
            </c:ext>
          </c:extLst>
        </c:ser>
        <c:ser>
          <c:idx val="9"/>
          <c:order val="9"/>
          <c:tx>
            <c:strRef>
              <c:f>'Parrt 1 puts'!$H$83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puts'!$I$83:$Y$83</c:f>
              <c:numCache>
                <c:formatCode>General</c:formatCode>
                <c:ptCount val="17"/>
                <c:pt idx="0">
                  <c:v>-0.1760126391771224</c:v>
                </c:pt>
                <c:pt idx="1">
                  <c:v>-0.84463146067264028</c:v>
                </c:pt>
                <c:pt idx="2">
                  <c:v>-1.6313513439711096</c:v>
                </c:pt>
                <c:pt idx="3">
                  <c:v>-2.4718624913319669</c:v>
                </c:pt>
                <c:pt idx="4">
                  <c:v>-3.2942274017014825</c:v>
                </c:pt>
                <c:pt idx="5">
                  <c:v>-4.0326601813243439</c:v>
                </c:pt>
                <c:pt idx="6">
                  <c:v>-4.6370747035504909</c:v>
                </c:pt>
                <c:pt idx="7">
                  <c:v>-5.0774044304743322</c:v>
                </c:pt>
                <c:pt idx="8">
                  <c:v>-5.3434070827520213</c:v>
                </c:pt>
                <c:pt idx="9">
                  <c:v>-5.4414595834573003</c:v>
                </c:pt>
                <c:pt idx="10">
                  <c:v>-5.3899188592667135</c:v>
                </c:pt>
                <c:pt idx="11">
                  <c:v>-5.21429521169701</c:v>
                </c:pt>
                <c:pt idx="12">
                  <c:v>-4.9430297701227293</c:v>
                </c:pt>
                <c:pt idx="13">
                  <c:v>-4.6042524551988544</c:v>
                </c:pt>
                <c:pt idx="14">
                  <c:v>-4.2235930027214881</c:v>
                </c:pt>
                <c:pt idx="15">
                  <c:v>-3.8229338007270131</c:v>
                </c:pt>
                <c:pt idx="16">
                  <c:v>-3.4199077511090277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6E6-6044-96C2-BEBEA2D9643B}"/>
            </c:ext>
          </c:extLst>
        </c:ser>
        <c:ser>
          <c:idx val="10"/>
          <c:order val="10"/>
          <c:tx>
            <c:strRef>
              <c:f>'Parrt 1 puts'!$H$84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puts'!$I$84:$Y$84</c:f>
              <c:numCache>
                <c:formatCode>General</c:formatCode>
                <c:ptCount val="17"/>
                <c:pt idx="0">
                  <c:v>-0.72848085145134522</c:v>
                </c:pt>
                <c:pt idx="1">
                  <c:v>-1.2030012329085231</c:v>
                </c:pt>
                <c:pt idx="2">
                  <c:v>-1.6753432155154446</c:v>
                </c:pt>
                <c:pt idx="3">
                  <c:v>-2.1225538654733884</c:v>
                </c:pt>
                <c:pt idx="4">
                  <c:v>-2.5266320965736555</c:v>
                </c:pt>
                <c:pt idx="5">
                  <c:v>-2.8751074495600104</c:v>
                </c:pt>
                <c:pt idx="6">
                  <c:v>-3.1608100518105804</c:v>
                </c:pt>
                <c:pt idx="7">
                  <c:v>-3.3811596597435218</c:v>
                </c:pt>
                <c:pt idx="8">
                  <c:v>-3.5372361070094316</c:v>
                </c:pt>
                <c:pt idx="9">
                  <c:v>-3.6328142222643902</c:v>
                </c:pt>
                <c:pt idx="10">
                  <c:v>-3.6734752648713878</c:v>
                </c:pt>
                <c:pt idx="11">
                  <c:v>-3.6658522488714533</c:v>
                </c:pt>
                <c:pt idx="12">
                  <c:v>-3.6170287966407884</c:v>
                </c:pt>
                <c:pt idx="13">
                  <c:v>-3.534087701789876</c:v>
                </c:pt>
                <c:pt idx="14">
                  <c:v>-3.4237925821625472</c:v>
                </c:pt>
                <c:pt idx="15">
                  <c:v>-3.2923804927607829</c:v>
                </c:pt>
                <c:pt idx="16">
                  <c:v>-3.145442433657796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6E6-6044-96C2-BEBEA2D9643B}"/>
            </c:ext>
          </c:extLst>
        </c:ser>
        <c:ser>
          <c:idx val="11"/>
          <c:order val="11"/>
          <c:tx>
            <c:strRef>
              <c:f>'Parrt 1 puts'!$H$85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puts'!$I$85:$Y$85</c:f>
              <c:numCache>
                <c:formatCode>General</c:formatCode>
                <c:ptCount val="17"/>
                <c:pt idx="0">
                  <c:v>-0.80519020073857384</c:v>
                </c:pt>
                <c:pt idx="1">
                  <c:v>-1.1466693263326539</c:v>
                </c:pt>
                <c:pt idx="2">
                  <c:v>-1.4705513045432119</c:v>
                </c:pt>
                <c:pt idx="3">
                  <c:v>-1.7677980064039334</c:v>
                </c:pt>
                <c:pt idx="4">
                  <c:v>-2.0323126660713919</c:v>
                </c:pt>
                <c:pt idx="5">
                  <c:v>-2.2605887058341749</c:v>
                </c:pt>
                <c:pt idx="6">
                  <c:v>-2.4512545509252335</c:v>
                </c:pt>
                <c:pt idx="7">
                  <c:v>-2.6046017195300064</c:v>
                </c:pt>
                <c:pt idx="8">
                  <c:v>-2.7221465901345541</c:v>
                </c:pt>
                <c:pt idx="9">
                  <c:v>-2.8062506527678335</c:v>
                </c:pt>
                <c:pt idx="10">
                  <c:v>-2.8598076379560573</c:v>
                </c:pt>
                <c:pt idx="11">
                  <c:v>-2.8859962248975082</c:v>
                </c:pt>
                <c:pt idx="12">
                  <c:v>-2.8880919117801223</c:v>
                </c:pt>
                <c:pt idx="13">
                  <c:v>-2.8693294395200581</c:v>
                </c:pt>
                <c:pt idx="14">
                  <c:v>-2.8328067253964138</c:v>
                </c:pt>
                <c:pt idx="15">
                  <c:v>-2.7814217990808112</c:v>
                </c:pt>
                <c:pt idx="16">
                  <c:v>-2.7178352376732837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6E6-6044-96C2-BEBEA2D9643B}"/>
            </c:ext>
          </c:extLst>
        </c:ser>
        <c:ser>
          <c:idx val="12"/>
          <c:order val="12"/>
          <c:tx>
            <c:strRef>
              <c:f>'Parrt 1 puts'!$H$86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puts'!$I$86:$Y$86</c:f>
              <c:numCache>
                <c:formatCode>General</c:formatCode>
                <c:ptCount val="17"/>
                <c:pt idx="0">
                  <c:v>-0.76905069988381858</c:v>
                </c:pt>
                <c:pt idx="1">
                  <c:v>-1.0317010487610263</c:v>
                </c:pt>
                <c:pt idx="2">
                  <c:v>-1.2759164649349648</c:v>
                </c:pt>
                <c:pt idx="3">
                  <c:v>-1.4976810872324289</c:v>
                </c:pt>
                <c:pt idx="4">
                  <c:v>-1.6946561393743633</c:v>
                </c:pt>
                <c:pt idx="5">
                  <c:v>-1.8658443642124967</c:v>
                </c:pt>
                <c:pt idx="6">
                  <c:v>-2.0112755094243693</c:v>
                </c:pt>
                <c:pt idx="7">
                  <c:v>-2.1317316943066627</c:v>
                </c:pt>
                <c:pt idx="8">
                  <c:v>-2.2285187434990523</c:v>
                </c:pt>
                <c:pt idx="9">
                  <c:v>-2.3032825113989097</c:v>
                </c:pt>
                <c:pt idx="10">
                  <c:v>-2.3578657195782142</c:v>
                </c:pt>
                <c:pt idx="11">
                  <c:v>-2.3941994490039624</c:v>
                </c:pt>
                <c:pt idx="12">
                  <c:v>-2.414223239923341</c:v>
                </c:pt>
                <c:pt idx="13">
                  <c:v>-2.4198281787537801</c:v>
                </c:pt>
                <c:pt idx="14">
                  <c:v>-2.4128180498564289</c:v>
                </c:pt>
                <c:pt idx="15">
                  <c:v>-2.3948844053246963</c:v>
                </c:pt>
                <c:pt idx="16">
                  <c:v>-2.3675921537864788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6E6-6044-96C2-BEBEA2D9643B}"/>
            </c:ext>
          </c:extLst>
        </c:ser>
        <c:ser>
          <c:idx val="13"/>
          <c:order val="13"/>
          <c:tx>
            <c:strRef>
              <c:f>'Parrt 1 puts'!$H$87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puts'!$I$73:$Y$73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puts'!$I$87:$Y$87</c:f>
              <c:numCache>
                <c:formatCode>General</c:formatCode>
                <c:ptCount val="17"/>
                <c:pt idx="0">
                  <c:v>-0.70409049750741104</c:v>
                </c:pt>
                <c:pt idx="1">
                  <c:v>-0.91632554438580383</c:v>
                </c:pt>
                <c:pt idx="2">
                  <c:v>-1.1118425455335785</c:v>
                </c:pt>
                <c:pt idx="3">
                  <c:v>-1.2887771654515991</c:v>
                </c:pt>
                <c:pt idx="4">
                  <c:v>-1.4462686084660121</c:v>
                </c:pt>
                <c:pt idx="5">
                  <c:v>-1.5842125875291471</c:v>
                </c:pt>
                <c:pt idx="6">
                  <c:v>-1.7030546623496168</c:v>
                </c:pt>
                <c:pt idx="7">
                  <c:v>-1.8036234304587402</c:v>
                </c:pt>
                <c:pt idx="8">
                  <c:v>-1.8869995180110823</c:v>
                </c:pt>
                <c:pt idx="9">
                  <c:v>-1.954415040157097</c:v>
                </c:pt>
                <c:pt idx="10">
                  <c:v>-2.0071781022805482</c:v>
                </c:pt>
                <c:pt idx="11">
                  <c:v>-2.0466173747166261</c:v>
                </c:pt>
                <c:pt idx="12">
                  <c:v>-2.0740424534921966</c:v>
                </c:pt>
                <c:pt idx="13">
                  <c:v>-2.090716438781818</c:v>
                </c:pt>
                <c:pt idx="14">
                  <c:v>-2.0978378339682644</c:v>
                </c:pt>
                <c:pt idx="15">
                  <c:v>-2.0965294552196876</c:v>
                </c:pt>
                <c:pt idx="16">
                  <c:v>-2.0878325351714007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6E6-6044-96C2-BEBEA2D96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309695"/>
        <c:axId val="1992027967"/>
        <c:axId val="1894996991"/>
      </c:line3DChart>
      <c:catAx>
        <c:axId val="1967309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2027967"/>
        <c:crosses val="autoZero"/>
        <c:auto val="1"/>
        <c:lblAlgn val="ctr"/>
        <c:lblOffset val="100"/>
        <c:noMultiLvlLbl val="0"/>
      </c:catAx>
      <c:valAx>
        <c:axId val="199202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309695"/>
        <c:crosses val="autoZero"/>
        <c:crossBetween val="between"/>
      </c:valAx>
      <c:serAx>
        <c:axId val="18949969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202796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RhoP</a:t>
            </a:r>
            <a:r>
              <a:rPr lang="it-IT" baseline="0"/>
              <a:t> - sigma 0,2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1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'Parrt 1 puts'!$H$38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puts'!$I$38:$Y$38</c:f>
              <c:numCache>
                <c:formatCode>General</c:formatCode>
                <c:ptCount val="17"/>
                <c:pt idx="0">
                  <c:v>-9.9900049983337471</c:v>
                </c:pt>
                <c:pt idx="1">
                  <c:v>-9.9900049982904662</c:v>
                </c:pt>
                <c:pt idx="2">
                  <c:v>-9.9900049206412831</c:v>
                </c:pt>
                <c:pt idx="3">
                  <c:v>-9.9899799847947275</c:v>
                </c:pt>
                <c:pt idx="4">
                  <c:v>-9.988036596386106</c:v>
                </c:pt>
                <c:pt idx="5">
                  <c:v>-9.9414292021761064</c:v>
                </c:pt>
                <c:pt idx="6">
                  <c:v>-9.527339945423174</c:v>
                </c:pt>
                <c:pt idx="7">
                  <c:v>-7.9503773466041583</c:v>
                </c:pt>
                <c:pt idx="8">
                  <c:v>-5.058015139895339</c:v>
                </c:pt>
                <c:pt idx="9">
                  <c:v>-2.2471105555124318</c:v>
                </c:pt>
                <c:pt idx="10">
                  <c:v>-0.67889870502825878</c:v>
                </c:pt>
                <c:pt idx="11">
                  <c:v>-0.14102913577582118</c:v>
                </c:pt>
                <c:pt idx="12">
                  <c:v>-2.070200380496456E-2</c:v>
                </c:pt>
                <c:pt idx="13">
                  <c:v>-2.218193269599746E-3</c:v>
                </c:pt>
                <c:pt idx="14">
                  <c:v>-1.7921519198907078E-4</c:v>
                </c:pt>
                <c:pt idx="15">
                  <c:v>-1.1255785043335699E-5</c:v>
                </c:pt>
                <c:pt idx="16">
                  <c:v>-5.6502198506100904E-7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D-B748-AFCF-530A3642C323}"/>
            </c:ext>
          </c:extLst>
        </c:ser>
        <c:ser>
          <c:idx val="1"/>
          <c:order val="1"/>
          <c:tx>
            <c:strRef>
              <c:f>'Parrt 1 puts'!$H$39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puts'!$I$39:$Y$39</c:f>
              <c:numCache>
                <c:formatCode>General</c:formatCode>
                <c:ptCount val="17"/>
                <c:pt idx="0">
                  <c:v>-19.960039875201662</c:v>
                </c:pt>
                <c:pt idx="1">
                  <c:v>-19.960026927726368</c:v>
                </c:pt>
                <c:pt idx="2">
                  <c:v>-19.959434275580996</c:v>
                </c:pt>
                <c:pt idx="3">
                  <c:v>-19.948058234037418</c:v>
                </c:pt>
                <c:pt idx="4">
                  <c:v>-19.841978436548494</c:v>
                </c:pt>
                <c:pt idx="5">
                  <c:v>-19.302759112036561</c:v>
                </c:pt>
                <c:pt idx="6">
                  <c:v>-17.664512161955695</c:v>
                </c:pt>
                <c:pt idx="7">
                  <c:v>-14.458214370301659</c:v>
                </c:pt>
                <c:pt idx="8">
                  <c:v>-10.158061093169938</c:v>
                </c:pt>
                <c:pt idx="9">
                  <c:v>-5.9968326579861753</c:v>
                </c:pt>
                <c:pt idx="10">
                  <c:v>-2.9624429034828421</c:v>
                </c:pt>
                <c:pt idx="11">
                  <c:v>-1.2325867132738102</c:v>
                </c:pt>
                <c:pt idx="12">
                  <c:v>-0.43706588933653562</c:v>
                </c:pt>
                <c:pt idx="13">
                  <c:v>-0.13391859871546535</c:v>
                </c:pt>
                <c:pt idx="14">
                  <c:v>-3.5959910459001758E-2</c:v>
                </c:pt>
                <c:pt idx="15">
                  <c:v>-8.5770819532793707E-3</c:v>
                </c:pt>
                <c:pt idx="16">
                  <c:v>-1.8400851648056229E-3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FD-B748-AFCF-530A3642C323}"/>
            </c:ext>
          </c:extLst>
        </c:ser>
        <c:ser>
          <c:idx val="2"/>
          <c:order val="2"/>
          <c:tx>
            <c:strRef>
              <c:f>'Parrt 1 puts'!$H$40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puts'!$I$40:$Y$40</c:f>
              <c:numCache>
                <c:formatCode>General</c:formatCode>
                <c:ptCount val="17"/>
                <c:pt idx="0">
                  <c:v>-29.910094119721538</c:v>
                </c:pt>
                <c:pt idx="1">
                  <c:v>-29.909013414212161</c:v>
                </c:pt>
                <c:pt idx="2">
                  <c:v>-29.894794754297283</c:v>
                </c:pt>
                <c:pt idx="3">
                  <c:v>-29.791018552939921</c:v>
                </c:pt>
                <c:pt idx="4">
                  <c:v>-29.327187442853184</c:v>
                </c:pt>
                <c:pt idx="5">
                  <c:v>-27.954086416817802</c:v>
                </c:pt>
                <c:pt idx="6">
                  <c:v>-25.086087962514604</c:v>
                </c:pt>
                <c:pt idx="7">
                  <c:v>-20.63564353985079</c:v>
                </c:pt>
                <c:pt idx="8">
                  <c:v>-15.281809298363573</c:v>
                </c:pt>
                <c:pt idx="9">
                  <c:v>-10.108778985951709</c:v>
                </c:pt>
                <c:pt idx="10">
                  <c:v>-5.9732254020951654</c:v>
                </c:pt>
                <c:pt idx="11">
                  <c:v>-3.1684201115692674</c:v>
                </c:pt>
                <c:pt idx="12">
                  <c:v>-1.5199706420834209</c:v>
                </c:pt>
                <c:pt idx="13">
                  <c:v>-0.66506285905427409</c:v>
                </c:pt>
                <c:pt idx="14">
                  <c:v>-0.26770963052206043</c:v>
                </c:pt>
                <c:pt idx="15">
                  <c:v>-9.9962649464834463E-2</c:v>
                </c:pt>
                <c:pt idx="16">
                  <c:v>-3.4893521618526095E-2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FD-B748-AFCF-530A3642C323}"/>
            </c:ext>
          </c:extLst>
        </c:ser>
        <c:ser>
          <c:idx val="3"/>
          <c:order val="3"/>
          <c:tx>
            <c:strRef>
              <c:f>'Parrt 1 puts'!$H$41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puts'!$I$41:$Y$41</c:f>
              <c:numCache>
                <c:formatCode>General</c:formatCode>
                <c:ptCount val="17"/>
                <c:pt idx="0">
                  <c:v>-39.83938328127995</c:v>
                </c:pt>
                <c:pt idx="1">
                  <c:v>-39.828613898434014</c:v>
                </c:pt>
                <c:pt idx="2">
                  <c:v>-39.75360887122114</c:v>
                </c:pt>
                <c:pt idx="3">
                  <c:v>-39.41973591718309</c:v>
                </c:pt>
                <c:pt idx="4">
                  <c:v>-38.39535351700156</c:v>
                </c:pt>
                <c:pt idx="5">
                  <c:v>-36.094855187459551</c:v>
                </c:pt>
                <c:pt idx="6">
                  <c:v>-32.125751421305253</c:v>
                </c:pt>
                <c:pt idx="7">
                  <c:v>-26.652860795022786</c:v>
                </c:pt>
                <c:pt idx="8">
                  <c:v>-20.42268806079311</c:v>
                </c:pt>
                <c:pt idx="9">
                  <c:v>-14.407573020157958</c:v>
                </c:pt>
                <c:pt idx="10">
                  <c:v>-9.369929012132916</c:v>
                </c:pt>
                <c:pt idx="11">
                  <c:v>-5.6401929841114553</c:v>
                </c:pt>
                <c:pt idx="12">
                  <c:v>-3.1595730956826724</c:v>
                </c:pt>
                <c:pt idx="13">
                  <c:v>-1.6571142382086754</c:v>
                </c:pt>
                <c:pt idx="14">
                  <c:v>-0.81866116809250755</c:v>
                </c:pt>
                <c:pt idx="15">
                  <c:v>-0.38319779767900647</c:v>
                </c:pt>
                <c:pt idx="16">
                  <c:v>-0.17087825312208504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FD-B748-AFCF-530A3642C323}"/>
            </c:ext>
          </c:extLst>
        </c:ser>
        <c:ser>
          <c:idx val="4"/>
          <c:order val="4"/>
          <c:tx>
            <c:strRef>
              <c:f>'Parrt 1 puts'!$H$42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puts'!$I$42:$Y$42</c:f>
              <c:numCache>
                <c:formatCode>General</c:formatCode>
                <c:ptCount val="17"/>
                <c:pt idx="0">
                  <c:v>-49.744035279710602</c:v>
                </c:pt>
                <c:pt idx="1">
                  <c:v>-49.699382138164076</c:v>
                </c:pt>
                <c:pt idx="2">
                  <c:v>-49.488315365673735</c:v>
                </c:pt>
                <c:pt idx="3">
                  <c:v>-48.793118931720997</c:v>
                </c:pt>
                <c:pt idx="4">
                  <c:v>-47.096501783520424</c:v>
                </c:pt>
                <c:pt idx="5">
                  <c:v>-43.875068358505366</c:v>
                </c:pt>
                <c:pt idx="6">
                  <c:v>-38.925508361484987</c:v>
                </c:pt>
                <c:pt idx="7">
                  <c:v>-32.57196731113131</c:v>
                </c:pt>
                <c:pt idx="8">
                  <c:v>-25.576885410967218</c:v>
                </c:pt>
                <c:pt idx="9">
                  <c:v>-18.826439216165006</c:v>
                </c:pt>
                <c:pt idx="10">
                  <c:v>-13.012028815236006</c:v>
                </c:pt>
                <c:pt idx="11">
                  <c:v>-8.473408136161158</c:v>
                </c:pt>
                <c:pt idx="12">
                  <c:v>-5.221216813794177</c:v>
                </c:pt>
                <c:pt idx="13">
                  <c:v>-3.058425410656282</c:v>
                </c:pt>
                <c:pt idx="14">
                  <c:v>-1.7110072638825886</c:v>
                </c:pt>
                <c:pt idx="15">
                  <c:v>-0.91826832539909975</c:v>
                </c:pt>
                <c:pt idx="16">
                  <c:v>-0.47475024340639199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FD-B748-AFCF-530A3642C323}"/>
            </c:ext>
          </c:extLst>
        </c:ser>
        <c:ser>
          <c:idx val="5"/>
          <c:order val="5"/>
          <c:tx>
            <c:strRef>
              <c:f>'Parrt 1 puts'!$H$43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puts'!$I$43:$Y$43</c:f>
              <c:numCache>
                <c:formatCode>General</c:formatCode>
                <c:ptCount val="17"/>
                <c:pt idx="0">
                  <c:v>-59.615741088545718</c:v>
                </c:pt>
                <c:pt idx="1">
                  <c:v>-59.497610389550282</c:v>
                </c:pt>
                <c:pt idx="2">
                  <c:v>-59.067651342831901</c:v>
                </c:pt>
                <c:pt idx="3">
                  <c:v>-57.911532755875669</c:v>
                </c:pt>
                <c:pt idx="4">
                  <c:v>-55.492757242980623</c:v>
                </c:pt>
                <c:pt idx="5">
                  <c:v>-51.39003210986602</c:v>
                </c:pt>
                <c:pt idx="6">
                  <c:v>-45.558439750236126</c:v>
                </c:pt>
                <c:pt idx="7">
                  <c:v>-38.423416226145974</c:v>
                </c:pt>
                <c:pt idx="8">
                  <c:v>-30.741820985414318</c:v>
                </c:pt>
                <c:pt idx="9">
                  <c:v>-23.331210863230879</c:v>
                </c:pt>
                <c:pt idx="10">
                  <c:v>-16.827158447361533</c:v>
                </c:pt>
                <c:pt idx="11">
                  <c:v>-11.567425721491944</c:v>
                </c:pt>
                <c:pt idx="12">
                  <c:v>-7.6059532268932815</c:v>
                </c:pt>
                <c:pt idx="13">
                  <c:v>-4.8016470024207889</c:v>
                </c:pt>
                <c:pt idx="14">
                  <c:v>-2.9212248017103621</c:v>
                </c:pt>
                <c:pt idx="15">
                  <c:v>-1.7188123836696418</c:v>
                </c:pt>
                <c:pt idx="16">
                  <c:v>-0.98137054815928637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FD-B748-AFCF-530A3642C323}"/>
            </c:ext>
          </c:extLst>
        </c:ser>
        <c:ser>
          <c:idx val="6"/>
          <c:order val="6"/>
          <c:tx>
            <c:strRef>
              <c:f>'Parrt 1 puts'!$H$44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puts'!$I$44:$Y$44</c:f>
              <c:numCache>
                <c:formatCode>General</c:formatCode>
                <c:ptCount val="17"/>
                <c:pt idx="0">
                  <c:v>-69.443214691678563</c:v>
                </c:pt>
                <c:pt idx="1">
                  <c:v>-69.202729459779022</c:v>
                </c:pt>
                <c:pt idx="2">
                  <c:v>-68.477647194821671</c:v>
                </c:pt>
                <c:pt idx="3">
                  <c:v>-66.792834360049611</c:v>
                </c:pt>
                <c:pt idx="4">
                  <c:v>-63.6373971929034</c:v>
                </c:pt>
                <c:pt idx="5">
                  <c:v>-58.70170061086521</c:v>
                </c:pt>
                <c:pt idx="6">
                  <c:v>-52.067288526246521</c:v>
                </c:pt>
                <c:pt idx="7">
                  <c:v>-44.22463542897956</c:v>
                </c:pt>
                <c:pt idx="8">
                  <c:v>-35.915594909590865</c:v>
                </c:pt>
                <c:pt idx="9">
                  <c:v>-27.901490922210385</c:v>
                </c:pt>
                <c:pt idx="10">
                  <c:v>-20.772528778888063</c:v>
                </c:pt>
                <c:pt idx="11">
                  <c:v>-14.859597428160155</c:v>
                </c:pt>
                <c:pt idx="12">
                  <c:v>-10.244473451937504</c:v>
                </c:pt>
                <c:pt idx="13">
                  <c:v>-6.8281145547908482</c:v>
                </c:pt>
                <c:pt idx="14">
                  <c:v>-4.4135283421453941</c:v>
                </c:pt>
                <c:pt idx="15">
                  <c:v>-2.7747891614049069</c:v>
                </c:pt>
                <c:pt idx="16">
                  <c:v>-1.7015134616637777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FD-B748-AFCF-530A3642C323}"/>
            </c:ext>
          </c:extLst>
        </c:ser>
        <c:ser>
          <c:idx val="7"/>
          <c:order val="7"/>
          <c:tx>
            <c:strRef>
              <c:f>'Parrt 1 puts'!$H$45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puts'!$I$45:$Y$45</c:f>
              <c:numCache>
                <c:formatCode>General</c:formatCode>
                <c:ptCount val="17"/>
                <c:pt idx="0">
                  <c:v>-79.214630188643611</c:v>
                </c:pt>
                <c:pt idx="1">
                  <c:v>-78.800185672067002</c:v>
                </c:pt>
                <c:pt idx="2">
                  <c:v>-77.716158229035656</c:v>
                </c:pt>
                <c:pt idx="3">
                  <c:v>-75.459956615962383</c:v>
                </c:pt>
                <c:pt idx="4">
                  <c:v>-71.572661144250873</c:v>
                </c:pt>
                <c:pt idx="5">
                  <c:v>-65.852123968914782</c:v>
                </c:pt>
                <c:pt idx="6">
                  <c:v>-58.479342652948603</c:v>
                </c:pt>
                <c:pt idx="7">
                  <c:v>-49.986608952017576</c:v>
                </c:pt>
                <c:pt idx="8">
                  <c:v>-41.096731210161039</c:v>
                </c:pt>
                <c:pt idx="9">
                  <c:v>-32.52387036151238</c:v>
                </c:pt>
                <c:pt idx="10">
                  <c:v>-24.820403087334707</c:v>
                </c:pt>
                <c:pt idx="11">
                  <c:v>-18.308261698945504</c:v>
                </c:pt>
                <c:pt idx="12">
                  <c:v>-13.087469431094345</c:v>
                </c:pt>
                <c:pt idx="13">
                  <c:v>-9.0908489929242116</c:v>
                </c:pt>
                <c:pt idx="14">
                  <c:v>-6.1523368978177171</c:v>
                </c:pt>
                <c:pt idx="15">
                  <c:v>-4.0668157638389451</c:v>
                </c:pt>
                <c:pt idx="16">
                  <c:v>-2.6318913337857794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FD-B748-AFCF-530A3642C323}"/>
            </c:ext>
          </c:extLst>
        </c:ser>
        <c:ser>
          <c:idx val="8"/>
          <c:order val="8"/>
          <c:tx>
            <c:strRef>
              <c:f>'Parrt 1 puts'!$H$46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puts'!$I$46:$Y$46</c:f>
              <c:numCache>
                <c:formatCode>General</c:formatCode>
                <c:ptCount val="17"/>
                <c:pt idx="0">
                  <c:v>-88.919402699541408</c:v>
                </c:pt>
                <c:pt idx="1">
                  <c:v>-88.281318832772101</c:v>
                </c:pt>
                <c:pt idx="2">
                  <c:v>-86.787848942993051</c:v>
                </c:pt>
                <c:pt idx="3">
                  <c:v>-83.935697944585201</c:v>
                </c:pt>
                <c:pt idx="4">
                  <c:v>-79.33152003374272</c:v>
                </c:pt>
                <c:pt idx="5">
                  <c:v>-72.871028885159717</c:v>
                </c:pt>
                <c:pt idx="6">
                  <c:v>-64.813159334649981</c:v>
                </c:pt>
                <c:pt idx="7">
                  <c:v>-55.71673432709904</c:v>
                </c:pt>
                <c:pt idx="8">
                  <c:v>-46.284039504608735</c:v>
                </c:pt>
                <c:pt idx="9">
                  <c:v>-37.188929290105371</c:v>
                </c:pt>
                <c:pt idx="10">
                  <c:v>-28.951588055875796</c:v>
                </c:pt>
                <c:pt idx="11">
                  <c:v>-21.884217828463346</c:v>
                </c:pt>
                <c:pt idx="12">
                  <c:v>-16.098898756528115</c:v>
                </c:pt>
                <c:pt idx="13">
                  <c:v>-11.552875943323929</c:v>
                </c:pt>
                <c:pt idx="14">
                  <c:v>-8.1060435850244819</c:v>
                </c:pt>
                <c:pt idx="15">
                  <c:v>-5.573117343287838</c:v>
                </c:pt>
                <c:pt idx="16">
                  <c:v>-3.7621859416077807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FD-B748-AFCF-530A3642C323}"/>
            </c:ext>
          </c:extLst>
        </c:ser>
        <c:ser>
          <c:idx val="9"/>
          <c:order val="9"/>
          <c:tx>
            <c:strRef>
              <c:f>'Parrt 1 puts'!$H$47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puts'!$I$47:$Y$47</c:f>
              <c:numCache>
                <c:formatCode>General</c:formatCode>
                <c:ptCount val="17"/>
                <c:pt idx="0">
                  <c:v>-98.549024249215705</c:v>
                </c:pt>
                <c:pt idx="1">
                  <c:v>-97.642162356209624</c:v>
                </c:pt>
                <c:pt idx="2">
                  <c:v>-95.700847271534698</c:v>
                </c:pt>
                <c:pt idx="3">
                  <c:v>-92.240828981620467</c:v>
                </c:pt>
                <c:pt idx="4">
                  <c:v>-86.939811441071072</c:v>
                </c:pt>
                <c:pt idx="5">
                  <c:v>-79.780177175508086</c:v>
                </c:pt>
                <c:pt idx="6">
                  <c:v>-71.081972912872317</c:v>
                </c:pt>
                <c:pt idx="7">
                  <c:v>-61.420241114846625</c:v>
                </c:pt>
                <c:pt idx="8">
                  <c:v>-51.476532828002163</c:v>
                </c:pt>
                <c:pt idx="9">
                  <c:v>-41.889720800495205</c:v>
                </c:pt>
                <c:pt idx="10">
                  <c:v>-33.152138842643396</c:v>
                </c:pt>
                <c:pt idx="11">
                  <c:v>-25.566125133901572</c:v>
                </c:pt>
                <c:pt idx="12">
                  <c:v>-19.251686638792744</c:v>
                </c:pt>
                <c:pt idx="13">
                  <c:v>-14.185000790281933</c:v>
                </c:pt>
                <c:pt idx="14">
                  <c:v>-10.247663661348417</c:v>
                </c:pt>
                <c:pt idx="15">
                  <c:v>-7.2725467232320335</c:v>
                </c:pt>
                <c:pt idx="16">
                  <c:v>-5.0791250093462876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FD-B748-AFCF-530A3642C323}"/>
            </c:ext>
          </c:extLst>
        </c:ser>
        <c:ser>
          <c:idx val="10"/>
          <c:order val="10"/>
          <c:tx>
            <c:strRef>
              <c:f>'Parrt 1 puts'!$H$48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puts'!$I$48:$Y$48</c:f>
              <c:numCache>
                <c:formatCode>General</c:formatCode>
                <c:ptCount val="17"/>
                <c:pt idx="0">
                  <c:v>-190.10442651574974</c:v>
                </c:pt>
                <c:pt idx="1">
                  <c:v>-185.16049152267084</c:v>
                </c:pt>
                <c:pt idx="2">
                  <c:v>-178.10765397615398</c:v>
                </c:pt>
                <c:pt idx="3">
                  <c:v>-168.92014647187602</c:v>
                </c:pt>
                <c:pt idx="4">
                  <c:v>-157.81333252461022</c:v>
                </c:pt>
                <c:pt idx="5">
                  <c:v>-145.19373350091146</c:v>
                </c:pt>
                <c:pt idx="6">
                  <c:v>-131.58096309700394</c:v>
                </c:pt>
                <c:pt idx="7">
                  <c:v>-117.52633104385721</c:v>
                </c:pt>
                <c:pt idx="8">
                  <c:v>-103.54544111550688</c:v>
                </c:pt>
                <c:pt idx="9">
                  <c:v>-90.072854957655821</c:v>
                </c:pt>
                <c:pt idx="10">
                  <c:v>-77.439387810982694</c:v>
                </c:pt>
                <c:pt idx="11">
                  <c:v>-65.86808627906116</c:v>
                </c:pt>
                <c:pt idx="12">
                  <c:v>-55.48316192035854</c:v>
                </c:pt>
                <c:pt idx="13">
                  <c:v>-46.326256041769341</c:v>
                </c:pt>
                <c:pt idx="14">
                  <c:v>-38.375493287931832</c:v>
                </c:pt>
                <c:pt idx="15">
                  <c:v>-31.564169863796113</c:v>
                </c:pt>
                <c:pt idx="16">
                  <c:v>-25.797213572700116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FD-B748-AFCF-530A3642C323}"/>
            </c:ext>
          </c:extLst>
        </c:ser>
        <c:ser>
          <c:idx val="11"/>
          <c:order val="11"/>
          <c:tx>
            <c:strRef>
              <c:f>'Parrt 1 puts'!$H$49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puts'!$I$49:$Y$49</c:f>
              <c:numCache>
                <c:formatCode>General</c:formatCode>
                <c:ptCount val="17"/>
                <c:pt idx="0">
                  <c:v>-273.88840052041405</c:v>
                </c:pt>
                <c:pt idx="1">
                  <c:v>-264.42743352052372</c:v>
                </c:pt>
                <c:pt idx="2">
                  <c:v>-252.65717253150868</c:v>
                </c:pt>
                <c:pt idx="3">
                  <c:v>-238.85967896533566</c:v>
                </c:pt>
                <c:pt idx="4">
                  <c:v>-223.4561122147766</c:v>
                </c:pt>
                <c:pt idx="5">
                  <c:v>-206.94088502785391</c:v>
                </c:pt>
                <c:pt idx="6">
                  <c:v>-189.82199268452464</c:v>
                </c:pt>
                <c:pt idx="7">
                  <c:v>-172.57498868906038</c:v>
                </c:pt>
                <c:pt idx="8">
                  <c:v>-155.6127686690331</c:v>
                </c:pt>
                <c:pt idx="9">
                  <c:v>-139.26989065749854</c:v>
                </c:pt>
                <c:pt idx="10">
                  <c:v>-123.79845616845604</c:v>
                </c:pt>
                <c:pt idx="11">
                  <c:v>-109.37211792786213</c:v>
                </c:pt>
                <c:pt idx="12">
                  <c:v>-96.095059103296123</c:v>
                </c:pt>
                <c:pt idx="13">
                  <c:v>-84.013408061792319</c:v>
                </c:pt>
                <c:pt idx="14">
                  <c:v>-73.127252314863256</c:v>
                </c:pt>
                <c:pt idx="15">
                  <c:v>-63.402052128096159</c:v>
                </c:pt>
                <c:pt idx="16">
                  <c:v>-54.778766781951859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FD-B748-AFCF-530A3642C323}"/>
            </c:ext>
          </c:extLst>
        </c:ser>
        <c:ser>
          <c:idx val="12"/>
          <c:order val="12"/>
          <c:tx>
            <c:strRef>
              <c:f>'Parrt 1 puts'!$H$50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puts'!$I$50:$Y$50</c:f>
              <c:numCache>
                <c:formatCode>General</c:formatCode>
                <c:ptCount val="17"/>
                <c:pt idx="0">
                  <c:v>-351.9386236404668</c:v>
                </c:pt>
                <c:pt idx="1">
                  <c:v>-338.34919661091254</c:v>
                </c:pt>
                <c:pt idx="2">
                  <c:v>-322.56582707604917</c:v>
                </c:pt>
                <c:pt idx="3">
                  <c:v>-305.01810319303877</c:v>
                </c:pt>
                <c:pt idx="4">
                  <c:v>-286.19442081618189</c:v>
                </c:pt>
                <c:pt idx="5">
                  <c:v>-266.59064124116679</c:v>
                </c:pt>
                <c:pt idx="6">
                  <c:v>-246.67209312610387</c:v>
                </c:pt>
                <c:pt idx="7">
                  <c:v>-226.84912659159514</c:v>
                </c:pt>
                <c:pt idx="8">
                  <c:v>-207.46435400648329</c:v>
                </c:pt>
                <c:pt idx="9">
                  <c:v>-188.78889319767538</c:v>
                </c:pt>
                <c:pt idx="10">
                  <c:v>-171.02488744895857</c:v>
                </c:pt>
                <c:pt idx="11">
                  <c:v>-154.31193627647784</c:v>
                </c:pt>
                <c:pt idx="12">
                  <c:v>-138.73558039573217</c:v>
                </c:pt>
                <c:pt idx="13">
                  <c:v>-124.33649767000058</c:v>
                </c:pt>
                <c:pt idx="14">
                  <c:v>-111.11951260614404</c:v>
                </c:pt>
                <c:pt idx="15">
                  <c:v>-99.061874914576123</c:v>
                </c:pt>
                <c:pt idx="16">
                  <c:v>-88.120523161914477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FD-B748-AFCF-530A3642C323}"/>
            </c:ext>
          </c:extLst>
        </c:ser>
        <c:ser>
          <c:idx val="13"/>
          <c:order val="13"/>
          <c:tx>
            <c:strRef>
              <c:f>'Parrt 1 puts'!$H$51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'Parrt 1 puts'!$I$37:$Y$37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puts'!$I$51:$Y$51</c:f>
              <c:numCache>
                <c:formatCode>General</c:formatCode>
                <c:ptCount val="17"/>
                <c:pt idx="0">
                  <c:v>-425.71656170608435</c:v>
                </c:pt>
                <c:pt idx="1">
                  <c:v>-408.47066211875557</c:v>
                </c:pt>
                <c:pt idx="2">
                  <c:v>-389.25166110455166</c:v>
                </c:pt>
                <c:pt idx="3">
                  <c:v>-368.55361666166669</c:v>
                </c:pt>
                <c:pt idx="4">
                  <c:v>-346.87687242801871</c:v>
                </c:pt>
                <c:pt idx="5">
                  <c:v>-324.69274685521822</c:v>
                </c:pt>
                <c:pt idx="6">
                  <c:v>-302.42120055938079</c:v>
                </c:pt>
                <c:pt idx="7">
                  <c:v>-280.4192057514328</c:v>
                </c:pt>
                <c:pt idx="8">
                  <c:v>-258.97713521361754</c:v>
                </c:pt>
                <c:pt idx="9">
                  <c:v>-238.32066203088488</c:v>
                </c:pt>
                <c:pt idx="10">
                  <c:v>-218.61608980880683</c:v>
                </c:pt>
                <c:pt idx="11">
                  <c:v>-199.97752423204443</c:v>
                </c:pt>
                <c:pt idx="12">
                  <c:v>-182.47475153256764</c:v>
                </c:pt>
                <c:pt idx="13">
                  <c:v>-166.14106664413509</c:v>
                </c:pt>
                <c:pt idx="14">
                  <c:v>-150.98058483276643</c:v>
                </c:pt>
                <c:pt idx="15">
                  <c:v>-136.97478270717238</c:v>
                </c:pt>
                <c:pt idx="16">
                  <c:v>-124.0881613164734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FD-B748-AFCF-530A3642C32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136075647"/>
        <c:axId val="2136072063"/>
        <c:axId val="1896240127"/>
      </c:surface3DChart>
      <c:catAx>
        <c:axId val="2136075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72063"/>
        <c:crosses val="autoZero"/>
        <c:auto val="1"/>
        <c:lblAlgn val="ctr"/>
        <c:lblOffset val="100"/>
        <c:noMultiLvlLbl val="0"/>
      </c:catAx>
      <c:valAx>
        <c:axId val="213607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75647"/>
        <c:crosses val="autoZero"/>
        <c:crossBetween val="midCat"/>
      </c:valAx>
      <c:serAx>
        <c:axId val="1896240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7206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RhoP</a:t>
            </a:r>
            <a:r>
              <a:rPr lang="it-IT" baseline="0"/>
              <a:t> - sigma 0,1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puts'!$AB$38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puts'!$AC$38:$AS$38</c:f>
              <c:numCache>
                <c:formatCode>General</c:formatCode>
                <c:ptCount val="17"/>
                <c:pt idx="0">
                  <c:v>-9.9900049983337507</c:v>
                </c:pt>
                <c:pt idx="1">
                  <c:v>-9.9900049983337507</c:v>
                </c:pt>
                <c:pt idx="2">
                  <c:v>-9.9900049983337507</c:v>
                </c:pt>
                <c:pt idx="3">
                  <c:v>-9.9900049983337507</c:v>
                </c:pt>
                <c:pt idx="4">
                  <c:v>-9.9900049983241903</c:v>
                </c:pt>
                <c:pt idx="5">
                  <c:v>-9.9900035001622403</c:v>
                </c:pt>
                <c:pt idx="6">
                  <c:v>-9.9854434547536055</c:v>
                </c:pt>
                <c:pt idx="7">
                  <c:v>-9.4494234402450239</c:v>
                </c:pt>
                <c:pt idx="8">
                  <c:v>-4.9319898584384116</c:v>
                </c:pt>
                <c:pt idx="9">
                  <c:v>-0.59475160906577318</c:v>
                </c:pt>
                <c:pt idx="10">
                  <c:v>-1.2224207973859987E-2</c:v>
                </c:pt>
                <c:pt idx="11">
                  <c:v>-4.5889459193277377E-5</c:v>
                </c:pt>
                <c:pt idx="12">
                  <c:v>-3.7020182591963376E-8</c:v>
                </c:pt>
                <c:pt idx="13">
                  <c:v>-7.615549204354104E-12</c:v>
                </c:pt>
                <c:pt idx="14">
                  <c:v>-4.6807319848133936E-16</c:v>
                </c:pt>
                <c:pt idx="15">
                  <c:v>-9.9014289886287907E-21</c:v>
                </c:pt>
                <c:pt idx="16">
                  <c:v>-8.165935038302829E-26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5-3F45-8698-E84C72E53346}"/>
            </c:ext>
          </c:extLst>
        </c:ser>
        <c:ser>
          <c:idx val="1"/>
          <c:order val="1"/>
          <c:tx>
            <c:strRef>
              <c:f>'Parrt 1 puts'!$AB$39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puts'!$AC$39:$AS$39</c:f>
              <c:numCache>
                <c:formatCode>General</c:formatCode>
                <c:ptCount val="17"/>
                <c:pt idx="0">
                  <c:v>-19.96003997334666</c:v>
                </c:pt>
                <c:pt idx="1">
                  <c:v>-19.96003997334666</c:v>
                </c:pt>
                <c:pt idx="2">
                  <c:v>-19.960039973346642</c:v>
                </c:pt>
                <c:pt idx="3">
                  <c:v>-19.960039971898233</c:v>
                </c:pt>
                <c:pt idx="4">
                  <c:v>-19.960033197089469</c:v>
                </c:pt>
                <c:pt idx="5">
                  <c:v>-19.95700377223957</c:v>
                </c:pt>
                <c:pt idx="6">
                  <c:v>-19.764250540073473</c:v>
                </c:pt>
                <c:pt idx="7">
                  <c:v>-17.357631408340378</c:v>
                </c:pt>
                <c:pt idx="8">
                  <c:v>-9.8019788801767227</c:v>
                </c:pt>
                <c:pt idx="9">
                  <c:v>-2.6503101786800833</c:v>
                </c:pt>
                <c:pt idx="10">
                  <c:v>-0.31212121757166289</c:v>
                </c:pt>
                <c:pt idx="11">
                  <c:v>-1.643256976706154E-2</c:v>
                </c:pt>
                <c:pt idx="12">
                  <c:v>-4.1376194053933257E-4</c:v>
                </c:pt>
                <c:pt idx="13">
                  <c:v>-5.3758969650157476E-6</c:v>
                </c:pt>
                <c:pt idx="14">
                  <c:v>-3.8775380325376679E-8</c:v>
                </c:pt>
                <c:pt idx="15">
                  <c:v>-1.6597823077329575E-10</c:v>
                </c:pt>
                <c:pt idx="16">
                  <c:v>-4.4756006533481521E-13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5-3F45-8698-E84C72E53346}"/>
            </c:ext>
          </c:extLst>
        </c:ser>
        <c:ser>
          <c:idx val="2"/>
          <c:order val="2"/>
          <c:tx>
            <c:strRef>
              <c:f>'Parrt 1 puts'!$AB$40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puts'!$AC$40:$AS$40</c:f>
              <c:numCache>
                <c:formatCode>General</c:formatCode>
                <c:ptCount val="17"/>
                <c:pt idx="0">
                  <c:v>-29.910134865101192</c:v>
                </c:pt>
                <c:pt idx="1">
                  <c:v>-29.910134865101121</c:v>
                </c:pt>
                <c:pt idx="2">
                  <c:v>-29.91013486377048</c:v>
                </c:pt>
                <c:pt idx="3">
                  <c:v>-29.910132259838008</c:v>
                </c:pt>
                <c:pt idx="4">
                  <c:v>-29.909357825878445</c:v>
                </c:pt>
                <c:pt idx="5">
                  <c:v>-29.861017224298617</c:v>
                </c:pt>
                <c:pt idx="6">
                  <c:v>-29.043783160633652</c:v>
                </c:pt>
                <c:pt idx="7">
                  <c:v>-24.47697507234966</c:v>
                </c:pt>
                <c:pt idx="8">
                  <c:v>-14.628325566737619</c:v>
                </c:pt>
                <c:pt idx="9">
                  <c:v>-5.3618495455553878</c:v>
                </c:pt>
                <c:pt idx="10">
                  <c:v>-1.1536916845379723</c:v>
                </c:pt>
                <c:pt idx="11">
                  <c:v>-0.14815132448374985</c:v>
                </c:pt>
                <c:pt idx="12">
                  <c:v>-1.1821674012054745E-2</c:v>
                </c:pt>
                <c:pt idx="13">
                  <c:v>-6.1411164212452909E-4</c:v>
                </c:pt>
                <c:pt idx="14">
                  <c:v>-2.1742039088202225E-5</c:v>
                </c:pt>
                <c:pt idx="15">
                  <c:v>-5.473460729992493E-7</c:v>
                </c:pt>
                <c:pt idx="16">
                  <c:v>-1.0180530527490308E-8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45-3F45-8698-E84C72E53346}"/>
            </c:ext>
          </c:extLst>
        </c:ser>
        <c:ser>
          <c:idx val="3"/>
          <c:order val="3"/>
          <c:tx>
            <c:strRef>
              <c:f>'Parrt 1 puts'!$AB$41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puts'!$AC$41:$AS$41</c:f>
              <c:numCache>
                <c:formatCode>General</c:formatCode>
                <c:ptCount val="17"/>
                <c:pt idx="0">
                  <c:v>-39.840319573759643</c:v>
                </c:pt>
                <c:pt idx="1">
                  <c:v>-39.840319573519693</c:v>
                </c:pt>
                <c:pt idx="2">
                  <c:v>-39.840319165809852</c:v>
                </c:pt>
                <c:pt idx="3">
                  <c:v>-39.840194648520054</c:v>
                </c:pt>
                <c:pt idx="4">
                  <c:v>-39.830932167047479</c:v>
                </c:pt>
                <c:pt idx="5">
                  <c:v>-39.618250939212942</c:v>
                </c:pt>
                <c:pt idx="6">
                  <c:v>-37.804449596512057</c:v>
                </c:pt>
                <c:pt idx="7">
                  <c:v>-31.16017325276664</c:v>
                </c:pt>
                <c:pt idx="8">
                  <c:v>-19.417631512966548</c:v>
                </c:pt>
                <c:pt idx="9">
                  <c:v>-8.4050787077902438</c:v>
                </c:pt>
                <c:pt idx="10">
                  <c:v>-2.4681032286023106</c:v>
                </c:pt>
                <c:pt idx="11">
                  <c:v>-0.49793903766825615</c:v>
                </c:pt>
                <c:pt idx="12">
                  <c:v>-7.0994678821790252E-2</c:v>
                </c:pt>
                <c:pt idx="13">
                  <c:v>-7.3922110985878775E-3</c:v>
                </c:pt>
                <c:pt idx="14">
                  <c:v>-5.8077750670825509E-4</c:v>
                </c:pt>
                <c:pt idx="15">
                  <c:v>-3.5498023253741948E-5</c:v>
                </c:pt>
                <c:pt idx="16">
                  <c:v>-1.735525551059683E-6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45-3F45-8698-E84C72E53346}"/>
            </c:ext>
          </c:extLst>
        </c:ser>
        <c:ser>
          <c:idx val="4"/>
          <c:order val="4"/>
          <c:tx>
            <c:strRef>
              <c:f>'Parrt 1 puts'!$AB$42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puts'!$AC$42:$AS$42</c:f>
              <c:numCache>
                <c:formatCode>General</c:formatCode>
                <c:ptCount val="17"/>
                <c:pt idx="0">
                  <c:v>-49.750623959617862</c:v>
                </c:pt>
                <c:pt idx="1">
                  <c:v>-49.750623925100776</c:v>
                </c:pt>
                <c:pt idx="2">
                  <c:v>-49.750610334612155</c:v>
                </c:pt>
                <c:pt idx="3">
                  <c:v>-49.749254581248643</c:v>
                </c:pt>
                <c:pt idx="4">
                  <c:v>-49.705693331611975</c:v>
                </c:pt>
                <c:pt idx="5">
                  <c:v>-49.162693233839569</c:v>
                </c:pt>
                <c:pt idx="6">
                  <c:v>-46.124764352636227</c:v>
                </c:pt>
                <c:pt idx="7">
                  <c:v>-37.557538029528146</c:v>
                </c:pt>
                <c:pt idx="8">
                  <c:v>-24.173738548666901</c:v>
                </c:pt>
                <c:pt idx="9">
                  <c:v>-11.647512386205332</c:v>
                </c:pt>
                <c:pt idx="10">
                  <c:v>-4.1439734620382689</c:v>
                </c:pt>
                <c:pt idx="11">
                  <c:v>-1.1002792784816784</c:v>
                </c:pt>
                <c:pt idx="12">
                  <c:v>-0.22275567745076927</c:v>
                </c:pt>
                <c:pt idx="13">
                  <c:v>-3.5258563277928014E-2</c:v>
                </c:pt>
                <c:pt idx="14">
                  <c:v>-4.4740300836920979E-3</c:v>
                </c:pt>
                <c:pt idx="15">
                  <c:v>-4.6600046454232697E-4</c:v>
                </c:pt>
                <c:pt idx="16">
                  <c:v>-4.0710561486007701E-5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45-3F45-8698-E84C72E53346}"/>
            </c:ext>
          </c:extLst>
        </c:ser>
        <c:ser>
          <c:idx val="5"/>
          <c:order val="5"/>
          <c:tx>
            <c:strRef>
              <c:f>'Parrt 1 puts'!$AB$43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puts'!$AC$43:$AS$43</c:f>
              <c:numCache>
                <c:formatCode>General</c:formatCode>
                <c:ptCount val="17"/>
                <c:pt idx="0">
                  <c:v>-59.641077841587936</c:v>
                </c:pt>
                <c:pt idx="1">
                  <c:v>-59.641076847476221</c:v>
                </c:pt>
                <c:pt idx="2">
                  <c:v>-59.640929545940025</c:v>
                </c:pt>
                <c:pt idx="3">
                  <c:v>-59.63399142553007</c:v>
                </c:pt>
                <c:pt idx="4">
                  <c:v>-59.507405122365846</c:v>
                </c:pt>
                <c:pt idx="5">
                  <c:v>-58.464424984096155</c:v>
                </c:pt>
                <c:pt idx="6">
                  <c:v>-54.084164328407518</c:v>
                </c:pt>
                <c:pt idx="7">
                  <c:v>-43.747332474639968</c:v>
                </c:pt>
                <c:pt idx="8">
                  <c:v>-28.899256857821804</c:v>
                </c:pt>
                <c:pt idx="9">
                  <c:v>-15.021961569853937</c:v>
                </c:pt>
                <c:pt idx="10">
                  <c:v>-6.0946395009041217</c:v>
                </c:pt>
                <c:pt idx="11">
                  <c:v>-1.9479340505072655</c:v>
                </c:pt>
                <c:pt idx="12">
                  <c:v>-0.49902996063027294</c:v>
                </c:pt>
                <c:pt idx="13">
                  <c:v>-0.10454860691588219</c:v>
                </c:pt>
                <c:pt idx="14">
                  <c:v>-1.8277187067678866E-2</c:v>
                </c:pt>
                <c:pt idx="15">
                  <c:v>-2.717622405464722E-3</c:v>
                </c:pt>
                <c:pt idx="16">
                  <c:v>-3.497611816204572E-4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45-3F45-8698-E84C72E53346}"/>
            </c:ext>
          </c:extLst>
        </c:ser>
        <c:ser>
          <c:idx val="6"/>
          <c:order val="6"/>
          <c:tx>
            <c:strRef>
              <c:f>'Parrt 1 puts'!$AB$44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puts'!$AC$44:$AS$44</c:f>
              <c:numCache>
                <c:formatCode>General</c:formatCode>
                <c:ptCount val="17"/>
                <c:pt idx="0">
                  <c:v>-69.51171095909271</c:v>
                </c:pt>
                <c:pt idx="1">
                  <c:v>-69.511699629717839</c:v>
                </c:pt>
                <c:pt idx="2">
                  <c:v>-69.510866599683723</c:v>
                </c:pt>
                <c:pt idx="3">
                  <c:v>-69.487999767534276</c:v>
                </c:pt>
                <c:pt idx="4">
                  <c:v>-69.210769581279649</c:v>
                </c:pt>
                <c:pt idx="5">
                  <c:v>-67.518489921089667</c:v>
                </c:pt>
                <c:pt idx="6">
                  <c:v>-61.746316022743407</c:v>
                </c:pt>
                <c:pt idx="7">
                  <c:v>-49.7760308811824</c:v>
                </c:pt>
                <c:pt idx="8">
                  <c:v>-33.596116095735596</c:v>
                </c:pt>
                <c:pt idx="9">
                  <c:v>-18.489405725331288</c:v>
                </c:pt>
                <c:pt idx="10">
                  <c:v>-8.2579818420475526</c:v>
                </c:pt>
                <c:pt idx="11">
                  <c:v>-3.0181976038431837</c:v>
                </c:pt>
                <c:pt idx="12">
                  <c:v>-0.91586807596606812</c:v>
                </c:pt>
                <c:pt idx="13">
                  <c:v>-0.23461919494972105</c:v>
                </c:pt>
                <c:pt idx="14">
                  <c:v>-5.159700013576192E-2</c:v>
                </c:pt>
                <c:pt idx="15">
                  <c:v>-9.8976324948288549E-3</c:v>
                </c:pt>
                <c:pt idx="16">
                  <c:v>-1.6805717595808304E-3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45-3F45-8698-E84C72E53346}"/>
            </c:ext>
          </c:extLst>
        </c:ser>
        <c:ser>
          <c:idx val="7"/>
          <c:order val="7"/>
          <c:tx>
            <c:strRef>
              <c:f>'Parrt 1 puts'!$AB$45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puts'!$AC$45:$AS$45</c:f>
              <c:numCache>
                <c:formatCode>General</c:formatCode>
                <c:ptCount val="17"/>
                <c:pt idx="0">
                  <c:v>-79.362552608576479</c:v>
                </c:pt>
                <c:pt idx="1">
                  <c:v>-79.362480654308257</c:v>
                </c:pt>
                <c:pt idx="2">
                  <c:v>-79.35936043085654</c:v>
                </c:pt>
                <c:pt idx="3">
                  <c:v>-79.30240855022825</c:v>
                </c:pt>
                <c:pt idx="4">
                  <c:v>-78.795837941602983</c:v>
                </c:pt>
                <c:pt idx="5">
                  <c:v>-76.333065645166869</c:v>
                </c:pt>
                <c:pt idx="6">
                  <c:v>-69.160045612128513</c:v>
                </c:pt>
                <c:pt idx="7">
                  <c:v>-55.673809412580411</c:v>
                </c:pt>
                <c:pt idx="8">
                  <c:v>-38.265821976803807</c:v>
                </c:pt>
                <c:pt idx="9">
                  <c:v>-22.025034744081637</c:v>
                </c:pt>
                <c:pt idx="10">
                  <c:v>-10.589364670422441</c:v>
                </c:pt>
                <c:pt idx="11">
                  <c:v>-4.2850602886025966</c:v>
                </c:pt>
                <c:pt idx="12">
                  <c:v>-1.4776758266337846</c:v>
                </c:pt>
                <c:pt idx="13">
                  <c:v>-0.44045297688068447</c:v>
                </c:pt>
                <c:pt idx="14">
                  <c:v>-0.11511350758450069</c:v>
                </c:pt>
                <c:pt idx="15">
                  <c:v>-2.674028017491022E-2</c:v>
                </c:pt>
                <c:pt idx="16">
                  <c:v>-5.5908141161773164E-3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45-3F45-8698-E84C72E53346}"/>
            </c:ext>
          </c:extLst>
        </c:ser>
        <c:ser>
          <c:idx val="8"/>
          <c:order val="8"/>
          <c:tx>
            <c:strRef>
              <c:f>'Parrt 1 puts'!$AB$46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puts'!$AC$46:$AS$46</c:f>
              <c:numCache>
                <c:formatCode>General</c:formatCode>
                <c:ptCount val="17"/>
                <c:pt idx="0">
                  <c:v>-89.19362987855996</c:v>
                </c:pt>
                <c:pt idx="1">
                  <c:v>-89.193321512612059</c:v>
                </c:pt>
                <c:pt idx="2">
                  <c:v>-89.184472786438263</c:v>
                </c:pt>
                <c:pt idx="3">
                  <c:v>-89.067167653905841</c:v>
                </c:pt>
                <c:pt idx="4">
                  <c:v>-88.248936205981082</c:v>
                </c:pt>
                <c:pt idx="5">
                  <c:v>-84.922150791862009</c:v>
                </c:pt>
                <c:pt idx="6">
                  <c:v>-76.362775076181975</c:v>
                </c:pt>
                <c:pt idx="7">
                  <c:v>-61.461560731262416</c:v>
                </c:pt>
                <c:pt idx="8">
                  <c:v>-42.909594584950781</c:v>
                </c:pt>
                <c:pt idx="9">
                  <c:v>-25.612022988471978</c:v>
                </c:pt>
                <c:pt idx="10">
                  <c:v>-13.056052320905744</c:v>
                </c:pt>
                <c:pt idx="11">
                  <c:v>-5.7238493731413032</c:v>
                </c:pt>
                <c:pt idx="12">
                  <c:v>-2.1817588452681833</c:v>
                </c:pt>
                <c:pt idx="13">
                  <c:v>-0.73201992281897332</c:v>
                </c:pt>
                <c:pt idx="14">
                  <c:v>-0.218891033534764</c:v>
                </c:pt>
                <c:pt idx="15">
                  <c:v>-5.9028090815702067E-2</c:v>
                </c:pt>
                <c:pt idx="16">
                  <c:v>-1.4513415048132002E-2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45-3F45-8698-E84C72E53346}"/>
            </c:ext>
          </c:extLst>
        </c:ser>
        <c:ser>
          <c:idx val="9"/>
          <c:order val="9"/>
          <c:tx>
            <c:strRef>
              <c:f>'Parrt 1 puts'!$AB$47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puts'!$AC$47:$AS$47</c:f>
              <c:numCache>
                <c:formatCode>General</c:formatCode>
                <c:ptCount val="17"/>
                <c:pt idx="0">
                  <c:v>-99.004962430033643</c:v>
                </c:pt>
                <c:pt idx="1">
                  <c:v>-99.003961536586417</c:v>
                </c:pt>
                <c:pt idx="2">
                  <c:v>-98.983357421253245</c:v>
                </c:pt>
                <c:pt idx="3">
                  <c:v>-98.772259095825916</c:v>
                </c:pt>
                <c:pt idx="4">
                  <c:v>-97.561925382655403</c:v>
                </c:pt>
                <c:pt idx="5">
                  <c:v>-93.301664808441942</c:v>
                </c:pt>
                <c:pt idx="6">
                  <c:v>-83.383533155302388</c:v>
                </c:pt>
                <c:pt idx="7">
                  <c:v>-67.154464766556188</c:v>
                </c:pt>
                <c:pt idx="8">
                  <c:v>-47.528450546914641</c:v>
                </c:pt>
                <c:pt idx="9">
                  <c:v>-29.238396974088875</c:v>
                </c:pt>
                <c:pt idx="10">
                  <c:v>-15.633468393362243</c:v>
                </c:pt>
                <c:pt idx="11">
                  <c:v>-7.3126821154321586</c:v>
                </c:pt>
                <c:pt idx="12">
                  <c:v>-3.0215639479525973</c:v>
                </c:pt>
                <c:pt idx="13">
                  <c:v>-1.1149292047401196</c:v>
                </c:pt>
                <c:pt idx="14">
                  <c:v>-0.37142887060016444</c:v>
                </c:pt>
                <c:pt idx="15">
                  <c:v>-0.11288829945233647</c:v>
                </c:pt>
                <c:pt idx="16">
                  <c:v>-3.1605882700216033E-2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845-3F45-8698-E84C72E53346}"/>
            </c:ext>
          </c:extLst>
        </c:ser>
        <c:ser>
          <c:idx val="10"/>
          <c:order val="10"/>
          <c:tx>
            <c:strRef>
              <c:f>'Parrt 1 puts'!$AB$48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puts'!$AC$48:$AS$48</c:f>
              <c:numCache>
                <c:formatCode>General</c:formatCode>
                <c:ptCount val="17"/>
                <c:pt idx="0">
                  <c:v>-196.00071765528571</c:v>
                </c:pt>
                <c:pt idx="1">
                  <c:v>-195.75290746741561</c:v>
                </c:pt>
                <c:pt idx="2">
                  <c:v>-194.64474795042801</c:v>
                </c:pt>
                <c:pt idx="3">
                  <c:v>-191.17921496304345</c:v>
                </c:pt>
                <c:pt idx="4">
                  <c:v>-183.12350274293627</c:v>
                </c:pt>
                <c:pt idx="5">
                  <c:v>-168.51347130193406</c:v>
                </c:pt>
                <c:pt idx="6">
                  <c:v>-147.0180213210559</c:v>
                </c:pt>
                <c:pt idx="7">
                  <c:v>-120.53541901517708</c:v>
                </c:pt>
                <c:pt idx="8">
                  <c:v>-92.494293545844172</c:v>
                </c:pt>
                <c:pt idx="9">
                  <c:v>-66.420495083359441</c:v>
                </c:pt>
                <c:pt idx="10">
                  <c:v>-44.744114329833884</c:v>
                </c:pt>
                <c:pt idx="11">
                  <c:v>-28.387565416432974</c:v>
                </c:pt>
                <c:pt idx="12">
                  <c:v>-17.041305844647876</c:v>
                </c:pt>
                <c:pt idx="13">
                  <c:v>-9.7269983363962158</c:v>
                </c:pt>
                <c:pt idx="14">
                  <c:v>-5.3044518844668342</c:v>
                </c:pt>
                <c:pt idx="15">
                  <c:v>-2.7763060015189756</c:v>
                </c:pt>
                <c:pt idx="16">
                  <c:v>-1.4005521022504215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845-3F45-8698-E84C72E53346}"/>
            </c:ext>
          </c:extLst>
        </c:ser>
        <c:ser>
          <c:idx val="11"/>
          <c:order val="11"/>
          <c:tx>
            <c:strRef>
              <c:f>'Parrt 1 puts'!$AB$49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puts'!$AC$49:$AS$49</c:f>
              <c:numCache>
                <c:formatCode>General</c:formatCode>
                <c:ptCount val="17"/>
                <c:pt idx="0">
                  <c:v>-290.52211402699146</c:v>
                </c:pt>
                <c:pt idx="1">
                  <c:v>-288.75049425784914</c:v>
                </c:pt>
                <c:pt idx="2">
                  <c:v>-284.06869415859762</c:v>
                </c:pt>
                <c:pt idx="3">
                  <c:v>-274.33364363860733</c:v>
                </c:pt>
                <c:pt idx="4">
                  <c:v>-257.72999483671151</c:v>
                </c:pt>
                <c:pt idx="5">
                  <c:v>-233.72499898052826</c:v>
                </c:pt>
                <c:pt idx="6">
                  <c:v>-203.51967276272819</c:v>
                </c:pt>
                <c:pt idx="7">
                  <c:v>-169.72697086452214</c:v>
                </c:pt>
                <c:pt idx="8">
                  <c:v>-135.52089139551933</c:v>
                </c:pt>
                <c:pt idx="9">
                  <c:v>-103.73893022772121</c:v>
                </c:pt>
                <c:pt idx="10">
                  <c:v>-76.306938538913073</c:v>
                </c:pt>
                <c:pt idx="11">
                  <c:v>-54.089660745686842</c:v>
                </c:pt>
                <c:pt idx="12">
                  <c:v>-37.061971310998416</c:v>
                </c:pt>
                <c:pt idx="13">
                  <c:v>-24.623428923447239</c:v>
                </c:pt>
                <c:pt idx="14">
                  <c:v>-15.909940709285955</c:v>
                </c:pt>
                <c:pt idx="15">
                  <c:v>-10.025507523116193</c:v>
                </c:pt>
                <c:pt idx="16">
                  <c:v>-6.1771701030619957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845-3F45-8698-E84C72E53346}"/>
            </c:ext>
          </c:extLst>
        </c:ser>
        <c:ser>
          <c:idx val="12"/>
          <c:order val="12"/>
          <c:tx>
            <c:strRef>
              <c:f>'Parrt 1 puts'!$AB$50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puts'!$AC$50:$AS$50</c:f>
              <c:numCache>
                <c:formatCode>General</c:formatCode>
                <c:ptCount val="17"/>
                <c:pt idx="0">
                  <c:v>-381.60199409351753</c:v>
                </c:pt>
                <c:pt idx="1">
                  <c:v>-376.632542383236</c:v>
                </c:pt>
                <c:pt idx="2">
                  <c:v>-366.57910800281894</c:v>
                </c:pt>
                <c:pt idx="3">
                  <c:v>-349.58079648603314</c:v>
                </c:pt>
                <c:pt idx="4">
                  <c:v>-324.79221622975729</c:v>
                </c:pt>
                <c:pt idx="5">
                  <c:v>-292.83005382871437</c:v>
                </c:pt>
                <c:pt idx="6">
                  <c:v>-255.66162545287617</c:v>
                </c:pt>
                <c:pt idx="7">
                  <c:v>-216.04977247507242</c:v>
                </c:pt>
                <c:pt idx="8">
                  <c:v>-176.85142165444597</c:v>
                </c:pt>
                <c:pt idx="9">
                  <c:v>-140.44498566974727</c:v>
                </c:pt>
                <c:pt idx="10">
                  <c:v>-108.42371938523891</c:v>
                </c:pt>
                <c:pt idx="11">
                  <c:v>-81.551953305242591</c:v>
                </c:pt>
                <c:pt idx="12">
                  <c:v>-59.900537227292027</c:v>
                </c:pt>
                <c:pt idx="13">
                  <c:v>-43.061133337451025</c:v>
                </c:pt>
                <c:pt idx="14">
                  <c:v>-30.361441765510087</c:v>
                </c:pt>
                <c:pt idx="15">
                  <c:v>-21.037948457823834</c:v>
                </c:pt>
                <c:pt idx="16">
                  <c:v>-14.352340135387855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45-3F45-8698-E84C72E53346}"/>
            </c:ext>
          </c:extLst>
        </c:ser>
        <c:ser>
          <c:idx val="13"/>
          <c:order val="13"/>
          <c:tx>
            <c:strRef>
              <c:f>'Parrt 1 puts'!$AB$51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puts'!$AC$37:$AS$37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puts'!$AC$51:$AS$51</c:f>
              <c:numCache>
                <c:formatCode>General</c:formatCode>
                <c:ptCount val="17"/>
                <c:pt idx="0">
                  <c:v>-468.52697276379229</c:v>
                </c:pt>
                <c:pt idx="1">
                  <c:v>-459.07104705252272</c:v>
                </c:pt>
                <c:pt idx="2">
                  <c:v>-442.79826431888432</c:v>
                </c:pt>
                <c:pt idx="3">
                  <c:v>-418.51840910857254</c:v>
                </c:pt>
                <c:pt idx="4">
                  <c:v>-386.30610577321522</c:v>
                </c:pt>
                <c:pt idx="5">
                  <c:v>-347.54296402903975</c:v>
                </c:pt>
                <c:pt idx="6">
                  <c:v>-304.55786504962981</c:v>
                </c:pt>
                <c:pt idx="7">
                  <c:v>-260.06737133094066</c:v>
                </c:pt>
                <c:pt idx="8">
                  <c:v>-216.63757703673949</c:v>
                </c:pt>
                <c:pt idx="9">
                  <c:v>-176.31042837691092</c:v>
                </c:pt>
                <c:pt idx="10">
                  <c:v>-140.4364280234748</c:v>
                </c:pt>
                <c:pt idx="11">
                  <c:v>-109.68174400128406</c:v>
                </c:pt>
                <c:pt idx="12">
                  <c:v>-84.145321734060673</c:v>
                </c:pt>
                <c:pt idx="13">
                  <c:v>-63.521830954418718</c:v>
                </c:pt>
                <c:pt idx="14">
                  <c:v>-47.263294150338993</c:v>
                </c:pt>
                <c:pt idx="15">
                  <c:v>-34.71291167976382</c:v>
                </c:pt>
                <c:pt idx="16">
                  <c:v>-25.201588710677392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845-3F45-8698-E84C72E53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124991"/>
        <c:axId val="2134312255"/>
        <c:axId val="1894986751"/>
      </c:line3DChart>
      <c:catAx>
        <c:axId val="213812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4312255"/>
        <c:crosses val="autoZero"/>
        <c:auto val="1"/>
        <c:lblAlgn val="ctr"/>
        <c:lblOffset val="100"/>
        <c:noMultiLvlLbl val="0"/>
      </c:catAx>
      <c:valAx>
        <c:axId val="213431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8124991"/>
        <c:crosses val="autoZero"/>
        <c:crossBetween val="between"/>
      </c:valAx>
      <c:serAx>
        <c:axId val="189498675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43122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RhoP</a:t>
            </a:r>
            <a:r>
              <a:rPr lang="it-IT" baseline="0"/>
              <a:t> - sigma 0,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'Parrt 1 puts'!$H$90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puts'!$I$90:$Y$90</c:f>
              <c:numCache>
                <c:formatCode>General</c:formatCode>
                <c:ptCount val="17"/>
                <c:pt idx="0">
                  <c:v>-9.9900047030714276</c:v>
                </c:pt>
                <c:pt idx="1">
                  <c:v>-9.9899815209394234</c:v>
                </c:pt>
                <c:pt idx="2">
                  <c:v>-9.9892721932446804</c:v>
                </c:pt>
                <c:pt idx="3">
                  <c:v>-9.9792886943120109</c:v>
                </c:pt>
                <c:pt idx="4">
                  <c:v>-9.9056254487734439</c:v>
                </c:pt>
                <c:pt idx="5">
                  <c:v>-9.5898079367803177</c:v>
                </c:pt>
                <c:pt idx="6">
                  <c:v>-8.7353656633138801</c:v>
                </c:pt>
                <c:pt idx="7">
                  <c:v>-7.1750558994645957</c:v>
                </c:pt>
                <c:pt idx="8">
                  <c:v>-5.1420047719604014</c:v>
                </c:pt>
                <c:pt idx="9">
                  <c:v>-3.1622218849540329</c:v>
                </c:pt>
                <c:pt idx="10">
                  <c:v>-1.6641455853283134</c:v>
                </c:pt>
                <c:pt idx="11">
                  <c:v>-0.75379242114053902</c:v>
                </c:pt>
                <c:pt idx="12">
                  <c:v>-0.29688947395648652</c:v>
                </c:pt>
                <c:pt idx="13">
                  <c:v>-0.10289433281621699</c:v>
                </c:pt>
                <c:pt idx="14">
                  <c:v>-3.1763475348564357E-2</c:v>
                </c:pt>
                <c:pt idx="15">
                  <c:v>-8.8365776347315104E-3</c:v>
                </c:pt>
                <c:pt idx="16">
                  <c:v>-2.2396787586628024E-3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D0-7E48-A294-281F4F0E1094}"/>
            </c:ext>
          </c:extLst>
        </c:ser>
        <c:ser>
          <c:idx val="1"/>
          <c:order val="1"/>
          <c:tx>
            <c:strRef>
              <c:f>'Parrt 1 puts'!$H$91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puts'!$I$91:$Y$91</c:f>
              <c:numCache>
                <c:formatCode>General</c:formatCode>
                <c:ptCount val="17"/>
                <c:pt idx="0">
                  <c:v>-19.958906720312346</c:v>
                </c:pt>
                <c:pt idx="1">
                  <c:v>-19.949039646523602</c:v>
                </c:pt>
                <c:pt idx="2">
                  <c:v>-19.893027320196222</c:v>
                </c:pt>
                <c:pt idx="3">
                  <c:v>-19.679989179304897</c:v>
                </c:pt>
                <c:pt idx="4">
                  <c:v>-19.099023964378901</c:v>
                </c:pt>
                <c:pt idx="5">
                  <c:v>-17.900138464702653</c:v>
                </c:pt>
                <c:pt idx="6">
                  <c:v>-15.944882974268877</c:v>
                </c:pt>
                <c:pt idx="7">
                  <c:v>-13.333997377192361</c:v>
                </c:pt>
                <c:pt idx="8">
                  <c:v>-10.395295434007169</c:v>
                </c:pt>
                <c:pt idx="9">
                  <c:v>-7.5392221644094572</c:v>
                </c:pt>
                <c:pt idx="10">
                  <c:v>-5.0937365645645345</c:v>
                </c:pt>
                <c:pt idx="11">
                  <c:v>-3.217504179638051</c:v>
                </c:pt>
                <c:pt idx="12">
                  <c:v>-1.909087290644865</c:v>
                </c:pt>
                <c:pt idx="13">
                  <c:v>-1.0695711321091932</c:v>
                </c:pt>
                <c:pt idx="14">
                  <c:v>-0.56878041459199835</c:v>
                </c:pt>
                <c:pt idx="15">
                  <c:v>-0.28855089414024354</c:v>
                </c:pt>
                <c:pt idx="16">
                  <c:v>-0.14031351479492518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0-7E48-A294-281F4F0E1094}"/>
            </c:ext>
          </c:extLst>
        </c:ser>
        <c:ser>
          <c:idx val="2"/>
          <c:order val="2"/>
          <c:tx>
            <c:strRef>
              <c:f>'Parrt 1 puts'!$H$92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puts'!$I$92:$Y$92</c:f>
              <c:numCache>
                <c:formatCode>General</c:formatCode>
                <c:ptCount val="17"/>
                <c:pt idx="0">
                  <c:v>-29.887547417898265</c:v>
                </c:pt>
                <c:pt idx="1">
                  <c:v>-29.80184840206001</c:v>
                </c:pt>
                <c:pt idx="2">
                  <c:v>-29.529580115074584</c:v>
                </c:pt>
                <c:pt idx="3">
                  <c:v>-28.869660557168263</c:v>
                </c:pt>
                <c:pt idx="4">
                  <c:v>-27.591313342368476</c:v>
                </c:pt>
                <c:pt idx="5">
                  <c:v>-25.537879201417176</c:v>
                </c:pt>
                <c:pt idx="6">
                  <c:v>-22.720559225843822</c:v>
                </c:pt>
                <c:pt idx="7">
                  <c:v>-19.338834480645485</c:v>
                </c:pt>
                <c:pt idx="8">
                  <c:v>-15.717041819193842</c:v>
                </c:pt>
                <c:pt idx="9">
                  <c:v>-12.199458879506277</c:v>
                </c:pt>
                <c:pt idx="10">
                  <c:v>-9.0591488575332875</c:v>
                </c:pt>
                <c:pt idx="11">
                  <c:v>-6.4527989326634039</c:v>
                </c:pt>
                <c:pt idx="12">
                  <c:v>-4.4223954983262015</c:v>
                </c:pt>
                <c:pt idx="13">
                  <c:v>-2.9256345887026747</c:v>
                </c:pt>
                <c:pt idx="14">
                  <c:v>-1.8742566154243019</c:v>
                </c:pt>
                <c:pt idx="15">
                  <c:v>-1.1663257841904269</c:v>
                </c:pt>
                <c:pt idx="16">
                  <c:v>-0.70704134141144293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D0-7E48-A294-281F4F0E1094}"/>
            </c:ext>
          </c:extLst>
        </c:ser>
        <c:ser>
          <c:idx val="3"/>
          <c:order val="3"/>
          <c:tx>
            <c:strRef>
              <c:f>'Parrt 1 puts'!$H$93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puts'!$I$93:$Y$93</c:f>
              <c:numCache>
                <c:formatCode>General</c:formatCode>
                <c:ptCount val="17"/>
                <c:pt idx="0">
                  <c:v>-39.727301203731983</c:v>
                </c:pt>
                <c:pt idx="1">
                  <c:v>-39.460495109785846</c:v>
                </c:pt>
                <c:pt idx="2">
                  <c:v>-38.829467704337567</c:v>
                </c:pt>
                <c:pt idx="3">
                  <c:v>-37.612570933400946</c:v>
                </c:pt>
                <c:pt idx="4">
                  <c:v>-35.630152749774361</c:v>
                </c:pt>
                <c:pt idx="5">
                  <c:v>-32.824500784124311</c:v>
                </c:pt>
                <c:pt idx="6">
                  <c:v>-29.296712274180511</c:v>
                </c:pt>
                <c:pt idx="7">
                  <c:v>-25.283630479182271</c:v>
                </c:pt>
                <c:pt idx="8">
                  <c:v>-21.091857886389079</c:v>
                </c:pt>
                <c:pt idx="9">
                  <c:v>-17.022082337465495</c:v>
                </c:pt>
                <c:pt idx="10">
                  <c:v>-13.311773507029775</c:v>
                </c:pt>
                <c:pt idx="11">
                  <c:v>-10.108355896176427</c:v>
                </c:pt>
                <c:pt idx="12">
                  <c:v>-7.4702107031297329</c:v>
                </c:pt>
                <c:pt idx="13">
                  <c:v>-5.3851866590454209</c:v>
                </c:pt>
                <c:pt idx="14">
                  <c:v>-3.7955110917255102</c:v>
                </c:pt>
                <c:pt idx="15">
                  <c:v>-2.6210787015647563</c:v>
                </c:pt>
                <c:pt idx="16">
                  <c:v>-1.7770843695835294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D0-7E48-A294-281F4F0E1094}"/>
            </c:ext>
          </c:extLst>
        </c:ser>
        <c:ser>
          <c:idx val="4"/>
          <c:order val="4"/>
          <c:tx>
            <c:strRef>
              <c:f>'Parrt 1 puts'!$H$94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puts'!$I$94:$Y$94</c:f>
              <c:numCache>
                <c:formatCode>General</c:formatCode>
                <c:ptCount val="17"/>
                <c:pt idx="0">
                  <c:v>-49.433351210635081</c:v>
                </c:pt>
                <c:pt idx="1">
                  <c:v>-48.890399982000055</c:v>
                </c:pt>
                <c:pt idx="2">
                  <c:v>-47.816504058929119</c:v>
                </c:pt>
                <c:pt idx="3">
                  <c:v>-46.013059686234932</c:v>
                </c:pt>
                <c:pt idx="4">
                  <c:v>-43.367000036610236</c:v>
                </c:pt>
                <c:pt idx="5">
                  <c:v>-39.89765623363617</c:v>
                </c:pt>
                <c:pt idx="6">
                  <c:v>-35.758896429098662</c:v>
                </c:pt>
                <c:pt idx="7">
                  <c:v>-31.200732377082804</c:v>
                </c:pt>
                <c:pt idx="8">
                  <c:v>-26.51080242202806</c:v>
                </c:pt>
                <c:pt idx="9">
                  <c:v>-21.958303940413394</c:v>
                </c:pt>
                <c:pt idx="10">
                  <c:v>-17.755193759705694</c:v>
                </c:pt>
                <c:pt idx="11">
                  <c:v>-14.039122756068322</c:v>
                </c:pt>
                <c:pt idx="12">
                  <c:v>-10.874809064143808</c:v>
                </c:pt>
                <c:pt idx="13">
                  <c:v>-8.2670405339206496</c:v>
                </c:pt>
                <c:pt idx="14">
                  <c:v>-6.1784478908191653</c:v>
                </c:pt>
                <c:pt idx="15">
                  <c:v>-4.5469811740087032</c:v>
                </c:pt>
                <c:pt idx="16">
                  <c:v>-3.300248120287566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D0-7E48-A294-281F4F0E1094}"/>
            </c:ext>
          </c:extLst>
        </c:ser>
        <c:ser>
          <c:idx val="5"/>
          <c:order val="5"/>
          <c:tx>
            <c:strRef>
              <c:f>'Parrt 1 puts'!$H$95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puts'!$I$95:$Y$95</c:f>
              <c:numCache>
                <c:formatCode>General</c:formatCode>
                <c:ptCount val="17"/>
                <c:pt idx="0">
                  <c:v>-58.981988989516651</c:v>
                </c:pt>
                <c:pt idx="1">
                  <c:v>-58.094117623133862</c:v>
                </c:pt>
                <c:pt idx="2">
                  <c:v>-56.536508987617061</c:v>
                </c:pt>
                <c:pt idx="3">
                  <c:v>-54.152295085709461</c:v>
                </c:pt>
                <c:pt idx="4">
                  <c:v>-50.890833069967684</c:v>
                </c:pt>
                <c:pt idx="5">
                  <c:v>-46.827795145290693</c:v>
                </c:pt>
                <c:pt idx="6">
                  <c:v>-42.148338138168448</c:v>
                </c:pt>
                <c:pt idx="7">
                  <c:v>-37.104981227197861</c:v>
                </c:pt>
                <c:pt idx="8">
                  <c:v>-31.967811425022305</c:v>
                </c:pt>
                <c:pt idx="9">
                  <c:v>-26.981864563056945</c:v>
                </c:pt>
                <c:pt idx="10">
                  <c:v>-22.339610469459533</c:v>
                </c:pt>
                <c:pt idx="11">
                  <c:v>-18.169714673388679</c:v>
                </c:pt>
                <c:pt idx="12">
                  <c:v>-14.538880066773128</c:v>
                </c:pt>
                <c:pt idx="13">
                  <c:v>-11.461881193040135</c:v>
                </c:pt>
                <c:pt idx="14">
                  <c:v>-8.9151454622707469</c:v>
                </c:pt>
                <c:pt idx="15">
                  <c:v>-6.8504379043218835</c:v>
                </c:pt>
                <c:pt idx="16">
                  <c:v>-5.2066109365743571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D0-7E48-A294-281F4F0E1094}"/>
            </c:ext>
          </c:extLst>
        </c:ser>
        <c:ser>
          <c:idx val="6"/>
          <c:order val="6"/>
          <c:tx>
            <c:strRef>
              <c:f>'Parrt 1 puts'!$H$96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puts'!$I$96:$Y$96</c:f>
              <c:numCache>
                <c:formatCode>General</c:formatCode>
                <c:ptCount val="17"/>
                <c:pt idx="0">
                  <c:v>-68.366780363485475</c:v>
                </c:pt>
                <c:pt idx="1">
                  <c:v>-67.089416355798889</c:v>
                </c:pt>
                <c:pt idx="2">
                  <c:v>-65.033286603069058</c:v>
                </c:pt>
                <c:pt idx="3">
                  <c:v>-62.088320880276157</c:v>
                </c:pt>
                <c:pt idx="4">
                  <c:v>-58.257023016842247</c:v>
                </c:pt>
                <c:pt idx="5">
                  <c:v>-53.655724320155244</c:v>
                </c:pt>
                <c:pt idx="6">
                  <c:v>-48.488129083332396</c:v>
                </c:pt>
                <c:pt idx="7">
                  <c:v>-43.004230654885539</c:v>
                </c:pt>
                <c:pt idx="8">
                  <c:v>-37.458411170844059</c:v>
                </c:pt>
                <c:pt idx="9">
                  <c:v>-32.07637400813222</c:v>
                </c:pt>
                <c:pt idx="10">
                  <c:v>-27.035040597686351</c:v>
                </c:pt>
                <c:pt idx="11">
                  <c:v>-22.455066198211746</c:v>
                </c:pt>
                <c:pt idx="12">
                  <c:v>-18.403073516187138</c:v>
                </c:pt>
                <c:pt idx="13">
                  <c:v>-14.899902887802657</c:v>
                </c:pt>
                <c:pt idx="14">
                  <c:v>-11.93152827586785</c:v>
                </c:pt>
                <c:pt idx="15">
                  <c:v>-9.4601690411796859</c:v>
                </c:pt>
                <c:pt idx="16">
                  <c:v>-7.4340926919874715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D0-7E48-A294-281F4F0E1094}"/>
            </c:ext>
          </c:extLst>
        </c:ser>
        <c:ser>
          <c:idx val="7"/>
          <c:order val="7"/>
          <c:tx>
            <c:strRef>
              <c:f>'Parrt 1 puts'!$H$97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puts'!$I$97:$Y$97</c:f>
              <c:numCache>
                <c:formatCode>General</c:formatCode>
                <c:ptCount val="17"/>
                <c:pt idx="0">
                  <c:v>-77.591406824195047</c:v>
                </c:pt>
                <c:pt idx="1">
                  <c:v>-75.898139189468822</c:v>
                </c:pt>
                <c:pt idx="2">
                  <c:v>-73.343428698687674</c:v>
                </c:pt>
                <c:pt idx="3">
                  <c:v>-69.862694084171665</c:v>
                </c:pt>
                <c:pt idx="4">
                  <c:v>-65.502063668732958</c:v>
                </c:pt>
                <c:pt idx="5">
                  <c:v>-60.407187755530899</c:v>
                </c:pt>
                <c:pt idx="6">
                  <c:v>-54.792489416524297</c:v>
                </c:pt>
                <c:pt idx="7">
                  <c:v>-48.902993481693983</c:v>
                </c:pt>
                <c:pt idx="8">
                  <c:v>-42.979118922043497</c:v>
                </c:pt>
                <c:pt idx="9">
                  <c:v>-37.230616861503464</c:v>
                </c:pt>
                <c:pt idx="10">
                  <c:v>-31.821602385224949</c:v>
                </c:pt>
                <c:pt idx="11">
                  <c:v>-26.865623644703923</c:v>
                </c:pt>
                <c:pt idx="12">
                  <c:v>-22.428193300019537</c:v>
                </c:pt>
                <c:pt idx="13">
                  <c:v>-18.533873828520893</c:v>
                </c:pt>
                <c:pt idx="14">
                  <c:v>-15.175389567661915</c:v>
                </c:pt>
                <c:pt idx="15">
                  <c:v>-12.322920074328623</c:v>
                </c:pt>
                <c:pt idx="16">
                  <c:v>-9.9324338308932525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D0-7E48-A294-281F4F0E1094}"/>
            </c:ext>
          </c:extLst>
        </c:ser>
        <c:ser>
          <c:idx val="8"/>
          <c:order val="8"/>
          <c:tx>
            <c:strRef>
              <c:f>'Parrt 1 puts'!$H$98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puts'!$I$98:$Y$98</c:f>
              <c:numCache>
                <c:formatCode>General</c:formatCode>
                <c:ptCount val="17"/>
                <c:pt idx="0">
                  <c:v>-86.664540920771529</c:v>
                </c:pt>
                <c:pt idx="1">
                  <c:v>-84.541627587568698</c:v>
                </c:pt>
                <c:pt idx="2">
                  <c:v>-81.496374700015892</c:v>
                </c:pt>
                <c:pt idx="3">
                  <c:v>-77.505757645217741</c:v>
                </c:pt>
                <c:pt idx="4">
                  <c:v>-72.651182904195082</c:v>
                </c:pt>
                <c:pt idx="5">
                  <c:v>-67.099459943799786</c:v>
                </c:pt>
                <c:pt idx="6">
                  <c:v>-61.070764584295283</c:v>
                </c:pt>
                <c:pt idx="7">
                  <c:v>-54.803992710897987</c:v>
                </c:pt>
                <c:pt idx="8">
                  <c:v>-48.527119824799549</c:v>
                </c:pt>
                <c:pt idx="9">
                  <c:v>-42.436420601664423</c:v>
                </c:pt>
                <c:pt idx="10">
                  <c:v>-36.685204488746514</c:v>
                </c:pt>
                <c:pt idx="11">
                  <c:v>-31.380692898533173</c:v>
                </c:pt>
                <c:pt idx="12">
                  <c:v>-26.586768500550551</c:v>
                </c:pt>
                <c:pt idx="13">
                  <c:v>-22.330249044173474</c:v>
                </c:pt>
                <c:pt idx="14">
                  <c:v>-18.608715802051261</c:v>
                </c:pt>
                <c:pt idx="15">
                  <c:v>-15.398474228507226</c:v>
                </c:pt>
                <c:pt idx="16">
                  <c:v>-12.661761696303445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CD0-7E48-A294-281F4F0E1094}"/>
            </c:ext>
          </c:extLst>
        </c:ser>
        <c:ser>
          <c:idx val="9"/>
          <c:order val="9"/>
          <c:tx>
            <c:strRef>
              <c:f>'Parrt 1 puts'!$H$99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puts'!$I$99:$Y$99</c:f>
              <c:numCache>
                <c:formatCode>General</c:formatCode>
                <c:ptCount val="17"/>
                <c:pt idx="0">
                  <c:v>-95.596857167456889</c:v>
                </c:pt>
                <c:pt idx="1">
                  <c:v>-93.039121185323026</c:v>
                </c:pt>
                <c:pt idx="2">
                  <c:v>-89.515635172001197</c:v>
                </c:pt>
                <c:pt idx="3">
                  <c:v>-85.040177182801159</c:v>
                </c:pt>
                <c:pt idx="4">
                  <c:v>-79.722509078333061</c:v>
                </c:pt>
                <c:pt idx="5">
                  <c:v>-73.744682235929218</c:v>
                </c:pt>
                <c:pt idx="6">
                  <c:v>-67.329392708838</c:v>
                </c:pt>
                <c:pt idx="7">
                  <c:v>-60.708914287474698</c:v>
                </c:pt>
                <c:pt idx="8">
                  <c:v>-54.10007490839682</c:v>
                </c:pt>
                <c:pt idx="9">
                  <c:v>-47.687551231937881</c:v>
                </c:pt>
                <c:pt idx="10">
                  <c:v>-41.615360732585692</c:v>
                </c:pt>
                <c:pt idx="11">
                  <c:v>-35.985059430073733</c:v>
                </c:pt>
                <c:pt idx="12">
                  <c:v>-30.858646759735258</c:v>
                </c:pt>
                <c:pt idx="13">
                  <c:v>-26.264243948021651</c:v>
                </c:pt>
                <c:pt idx="14">
                  <c:v>-22.20297125661569</c:v>
                </c:pt>
                <c:pt idx="15">
                  <c:v>-18.655900747507157</c:v>
                </c:pt>
                <c:pt idx="16">
                  <c:v>-15.590384736980177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CD0-7E48-A294-281F4F0E1094}"/>
            </c:ext>
          </c:extLst>
        </c:ser>
        <c:ser>
          <c:idx val="10"/>
          <c:order val="10"/>
          <c:tx>
            <c:strRef>
              <c:f>'Parrt 1 puts'!$H$100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puts'!$I$100:$Y$100</c:f>
              <c:numCache>
                <c:formatCode>General</c:formatCode>
                <c:ptCount val="17"/>
                <c:pt idx="0">
                  <c:v>-179.27899437333633</c:v>
                </c:pt>
                <c:pt idx="1">
                  <c:v>-172.72488638506934</c:v>
                </c:pt>
                <c:pt idx="2">
                  <c:v>-165.20578868565337</c:v>
                </c:pt>
                <c:pt idx="3">
                  <c:v>-156.91096395405174</c:v>
                </c:pt>
                <c:pt idx="4">
                  <c:v>-148.04925745616106</c:v>
                </c:pt>
                <c:pt idx="5">
                  <c:v>-138.82985664860107</c:v>
                </c:pt>
                <c:pt idx="6">
                  <c:v>-129.44838850232225</c:v>
                </c:pt>
                <c:pt idx="7">
                  <c:v>-120.07810348839539</c:v>
                </c:pt>
                <c:pt idx="8">
                  <c:v>-110.86531138504709</c:v>
                </c:pt>
                <c:pt idx="9">
                  <c:v>-101.92804553013124</c:v>
                </c:pt>
                <c:pt idx="10">
                  <c:v>-93.35697263426313</c:v>
                </c:pt>
                <c:pt idx="11">
                  <c:v>-85.217715397490352</c:v>
                </c:pt>
                <c:pt idx="12">
                  <c:v>-77.553939892221237</c:v>
                </c:pt>
                <c:pt idx="13">
                  <c:v>-70.390737490687044</c:v>
                </c:pt>
                <c:pt idx="14">
                  <c:v>-63.737982812093172</c:v>
                </c:pt>
                <c:pt idx="15">
                  <c:v>-57.59346885548976</c:v>
                </c:pt>
                <c:pt idx="16">
                  <c:v>-51.945709399191088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CD0-7E48-A294-281F4F0E1094}"/>
            </c:ext>
          </c:extLst>
        </c:ser>
        <c:ser>
          <c:idx val="11"/>
          <c:order val="11"/>
          <c:tx>
            <c:strRef>
              <c:f>'Parrt 1 puts'!$H$101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puts'!$I$101:$Y$101</c:f>
              <c:numCache>
                <c:formatCode>General</c:formatCode>
                <c:ptCount val="17"/>
                <c:pt idx="0">
                  <c:v>-256.78638170961966</c:v>
                </c:pt>
                <c:pt idx="1">
                  <c:v>-247.10158142886695</c:v>
                </c:pt>
                <c:pt idx="2">
                  <c:v>-236.65161061527402</c:v>
                </c:pt>
                <c:pt idx="3">
                  <c:v>-225.65495032723408</c:v>
                </c:pt>
                <c:pt idx="4">
                  <c:v>-214.31725195190504</c:v>
                </c:pt>
                <c:pt idx="5">
                  <c:v>-202.82342641574002</c:v>
                </c:pt>
                <c:pt idx="6">
                  <c:v>-191.33364425328784</c:v>
                </c:pt>
                <c:pt idx="7">
                  <c:v>-179.98214198901894</c:v>
                </c:pt>
                <c:pt idx="8">
                  <c:v>-168.87790619090958</c:v>
                </c:pt>
                <c:pt idx="9">
                  <c:v>-158.10651312244383</c:v>
                </c:pt>
                <c:pt idx="10">
                  <c:v>-147.73259413933513</c:v>
                </c:pt>
                <c:pt idx="11">
                  <c:v>-137.80255722579832</c:v>
                </c:pt>
                <c:pt idx="12">
                  <c:v>-128.34731996842194</c:v>
                </c:pt>
                <c:pt idx="13">
                  <c:v>-119.38490201379494</c:v>
                </c:pt>
                <c:pt idx="14">
                  <c:v>-110.92279122342143</c:v>
                </c:pt>
                <c:pt idx="15">
                  <c:v>-102.96004319123742</c:v>
                </c:pt>
                <c:pt idx="16">
                  <c:v>-95.489103756833387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D0-7E48-A294-281F4F0E1094}"/>
            </c:ext>
          </c:extLst>
        </c:ser>
        <c:ser>
          <c:idx val="12"/>
          <c:order val="12"/>
          <c:tx>
            <c:strRef>
              <c:f>'Parrt 1 puts'!$H$102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puts'!$I$102:$Y$102</c:f>
              <c:numCache>
                <c:formatCode>General</c:formatCode>
                <c:ptCount val="17"/>
                <c:pt idx="0">
                  <c:v>-330.88619900105743</c:v>
                </c:pt>
                <c:pt idx="1">
                  <c:v>-318.70353394131871</c:v>
                </c:pt>
                <c:pt idx="2">
                  <c:v>-305.95598963054812</c:v>
                </c:pt>
                <c:pt idx="3">
                  <c:v>-292.85488771785356</c:v>
                </c:pt>
                <c:pt idx="4">
                  <c:v>-279.58587625836896</c:v>
                </c:pt>
                <c:pt idx="5">
                  <c:v>-266.30737119348515</c:v>
                </c:pt>
                <c:pt idx="6">
                  <c:v>-253.15111590315632</c:v>
                </c:pt>
                <c:pt idx="7">
                  <c:v>-240.22399761725208</c:v>
                </c:pt>
                <c:pt idx="8">
                  <c:v>-227.61052302236479</c:v>
                </c:pt>
                <c:pt idx="9">
                  <c:v>-215.37555560688662</c:v>
                </c:pt>
                <c:pt idx="10">
                  <c:v>-203.56706241422415</c:v>
                </c:pt>
                <c:pt idx="11">
                  <c:v>-192.21871941265309</c:v>
                </c:pt>
                <c:pt idx="12">
                  <c:v>-181.35229356803777</c:v>
                </c:pt>
                <c:pt idx="13">
                  <c:v>-170.97976498941946</c:v>
                </c:pt>
                <c:pt idx="14">
                  <c:v>-161.10518122145066</c:v>
                </c:pt>
                <c:pt idx="15">
                  <c:v>-151.72625308121351</c:v>
                </c:pt>
                <c:pt idx="16">
                  <c:v>-142.83571112354716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CD0-7E48-A294-281F4F0E1094}"/>
            </c:ext>
          </c:extLst>
        </c:ser>
        <c:ser>
          <c:idx val="13"/>
          <c:order val="13"/>
          <c:tx>
            <c:strRef>
              <c:f>'Parrt 1 puts'!$H$103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numRef>
              <c:f>'Parrt 1 puts'!$I$89:$Y$89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'Parrt 1 puts'!$I$103:$Y$103</c:f>
              <c:numCache>
                <c:formatCode>General</c:formatCode>
                <c:ptCount val="17"/>
                <c:pt idx="0">
                  <c:v>-402.70142293204839</c:v>
                </c:pt>
                <c:pt idx="1">
                  <c:v>-388.45819777009785</c:v>
                </c:pt>
                <c:pt idx="2">
                  <c:v>-373.82699537451458</c:v>
                </c:pt>
                <c:pt idx="3">
                  <c:v>-359.00190517536214</c:v>
                </c:pt>
                <c:pt idx="4">
                  <c:v>-344.1464906013303</c:v>
                </c:pt>
                <c:pt idx="5">
                  <c:v>-329.39567853055053</c:v>
                </c:pt>
                <c:pt idx="6">
                  <c:v>-314.85852336066733</c:v>
                </c:pt>
                <c:pt idx="7">
                  <c:v>-300.62131035960545</c:v>
                </c:pt>
                <c:pt idx="8">
                  <c:v>-286.75067475462072</c:v>
                </c:pt>
                <c:pt idx="9">
                  <c:v>-273.29655259278366</c:v>
                </c:pt>
                <c:pt idx="10">
                  <c:v>-260.2948690108625</c:v>
                </c:pt>
                <c:pt idx="11">
                  <c:v>-247.7699254578053</c:v>
                </c:pt>
                <c:pt idx="12">
                  <c:v>-235.73648104321256</c:v>
                </c:pt>
                <c:pt idx="13">
                  <c:v>-224.20154235855063</c:v>
                </c:pt>
                <c:pt idx="14">
                  <c:v>-213.16588608881554</c:v>
                </c:pt>
                <c:pt idx="15">
                  <c:v>-202.62534298220109</c:v>
                </c:pt>
                <c:pt idx="16">
                  <c:v>-192.57187255069329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CD0-7E48-A294-281F4F0E1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747071"/>
        <c:axId val="1835538559"/>
        <c:axId val="1975489023"/>
      </c:line3DChart>
      <c:catAx>
        <c:axId val="2135747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5538559"/>
        <c:crosses val="autoZero"/>
        <c:auto val="1"/>
        <c:lblAlgn val="ctr"/>
        <c:lblOffset val="100"/>
        <c:noMultiLvlLbl val="0"/>
      </c:catAx>
      <c:valAx>
        <c:axId val="183553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5747071"/>
        <c:crosses val="autoZero"/>
        <c:crossBetween val="between"/>
      </c:valAx>
      <c:serAx>
        <c:axId val="19754890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553855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skew</a:t>
            </a:r>
            <a:r>
              <a:rPr lang="it-IT" baseline="0"/>
              <a:t> (Calls)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2'!$J$2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2'!$J$3:$J$9</c:f>
              <c:numCache>
                <c:formatCode>0.0000</c:formatCode>
                <c:ptCount val="7"/>
                <c:pt idx="0">
                  <c:v>114.2791</c:v>
                </c:pt>
                <c:pt idx="1">
                  <c:v>100.5277</c:v>
                </c:pt>
                <c:pt idx="2">
                  <c:v>87.930300000000003</c:v>
                </c:pt>
                <c:pt idx="3">
                  <c:v>79.768299999999996</c:v>
                </c:pt>
                <c:pt idx="4">
                  <c:v>73.406999999999996</c:v>
                </c:pt>
                <c:pt idx="5">
                  <c:v>69.980999999999995</c:v>
                </c:pt>
                <c:pt idx="6">
                  <c:v>68.353800000000007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B-8646-87E0-325E7F66F9A4}"/>
            </c:ext>
          </c:extLst>
        </c:ser>
        <c:ser>
          <c:idx val="1"/>
          <c:order val="1"/>
          <c:tx>
            <c:strRef>
              <c:f>'Part 2'!$K$2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2'!$K$3:$K$9</c:f>
              <c:numCache>
                <c:formatCode>0.0000</c:formatCode>
                <c:ptCount val="7"/>
                <c:pt idx="0">
                  <c:v>91.877099999999999</c:v>
                </c:pt>
                <c:pt idx="1">
                  <c:v>83.1126</c:v>
                </c:pt>
                <c:pt idx="2">
                  <c:v>76.605199999999996</c:v>
                </c:pt>
                <c:pt idx="3">
                  <c:v>71.442300000000003</c:v>
                </c:pt>
                <c:pt idx="4">
                  <c:v>67.550299999999993</c:v>
                </c:pt>
                <c:pt idx="5">
                  <c:v>64.609800000000007</c:v>
                </c:pt>
                <c:pt idx="6">
                  <c:v>62.5379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5B-8646-87E0-325E7F66F9A4}"/>
            </c:ext>
          </c:extLst>
        </c:ser>
        <c:ser>
          <c:idx val="2"/>
          <c:order val="2"/>
          <c:tx>
            <c:strRef>
              <c:f>'Part 2'!$L$2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2'!$L$3:$L$9</c:f>
              <c:numCache>
                <c:formatCode>0.0000</c:formatCode>
                <c:ptCount val="7"/>
                <c:pt idx="0">
                  <c:v>73.288899999999998</c:v>
                </c:pt>
                <c:pt idx="1">
                  <c:v>68.568899999999999</c:v>
                </c:pt>
                <c:pt idx="2">
                  <c:v>64.480900000000005</c:v>
                </c:pt>
                <c:pt idx="3">
                  <c:v>61.162300000000002</c:v>
                </c:pt>
                <c:pt idx="4">
                  <c:v>59.513500000000001</c:v>
                </c:pt>
                <c:pt idx="5">
                  <c:v>57.0518</c:v>
                </c:pt>
                <c:pt idx="6">
                  <c:v>56.067900000000002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5B-8646-87E0-325E7F66F9A4}"/>
            </c:ext>
          </c:extLst>
        </c:ser>
        <c:ser>
          <c:idx val="3"/>
          <c:order val="3"/>
          <c:tx>
            <c:strRef>
              <c:f>'Part 2'!$M$2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2'!$M$3:$M$9</c:f>
              <c:numCache>
                <c:formatCode>0.0000</c:formatCode>
                <c:ptCount val="7"/>
                <c:pt idx="0">
                  <c:v>67.235900000000001</c:v>
                </c:pt>
                <c:pt idx="1">
                  <c:v>63.013100000000001</c:v>
                </c:pt>
                <c:pt idx="2">
                  <c:v>60.695599999999999</c:v>
                </c:pt>
                <c:pt idx="3">
                  <c:v>57.8748</c:v>
                </c:pt>
                <c:pt idx="4">
                  <c:v>55.6252</c:v>
                </c:pt>
                <c:pt idx="5">
                  <c:v>54.727200000000003</c:v>
                </c:pt>
                <c:pt idx="6">
                  <c:v>53.347200000000001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5B-8646-87E0-325E7F66F9A4}"/>
            </c:ext>
          </c:extLst>
        </c:ser>
        <c:ser>
          <c:idx val="4"/>
          <c:order val="4"/>
          <c:tx>
            <c:strRef>
              <c:f>'Part 2'!$N$2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2'!$N$3:$N$9</c:f>
              <c:numCache>
                <c:formatCode>0.0000</c:formatCode>
                <c:ptCount val="7"/>
                <c:pt idx="0">
                  <c:v>63.125100000000003</c:v>
                </c:pt>
                <c:pt idx="1">
                  <c:v>59.612699999999997</c:v>
                </c:pt>
                <c:pt idx="2">
                  <c:v>57.430300000000003</c:v>
                </c:pt>
                <c:pt idx="3">
                  <c:v>55.2273</c:v>
                </c:pt>
                <c:pt idx="4">
                  <c:v>53.829500000000003</c:v>
                </c:pt>
                <c:pt idx="5">
                  <c:v>52.04</c:v>
                </c:pt>
                <c:pt idx="6">
                  <c:v>50.569099999999999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5B-8646-87E0-325E7F66F9A4}"/>
            </c:ext>
          </c:extLst>
        </c:ser>
        <c:ser>
          <c:idx val="5"/>
          <c:order val="5"/>
          <c:tx>
            <c:strRef>
              <c:f>'Part 2'!$O$2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2'!$O$3:$O$9</c:f>
              <c:numCache>
                <c:formatCode>0.0000</c:formatCode>
                <c:ptCount val="7"/>
                <c:pt idx="0">
                  <c:v>67.706900000000005</c:v>
                </c:pt>
                <c:pt idx="1">
                  <c:v>64.227199999999996</c:v>
                </c:pt>
                <c:pt idx="2">
                  <c:v>61.632300000000001</c:v>
                </c:pt>
                <c:pt idx="3">
                  <c:v>58.943300000000001</c:v>
                </c:pt>
                <c:pt idx="4">
                  <c:v>57.168300000000002</c:v>
                </c:pt>
                <c:pt idx="5">
                  <c:v>55.650599999999997</c:v>
                </c:pt>
                <c:pt idx="6">
                  <c:v>54.044600000000003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5B-8646-87E0-325E7F66F9A4}"/>
            </c:ext>
          </c:extLst>
        </c:ser>
        <c:ser>
          <c:idx val="6"/>
          <c:order val="6"/>
          <c:tx>
            <c:strRef>
              <c:f>'Part 2'!$P$2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  <a:sp3d/>
          </c:spPr>
          <c:cat>
            <c:numRef>
              <c:f>'Part 2'!$I$3:$I$9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2'!$P$3:$P$9</c:f>
              <c:numCache>
                <c:formatCode>0.0000</c:formatCode>
                <c:ptCount val="7"/>
                <c:pt idx="0">
                  <c:v>68.872900000000001</c:v>
                </c:pt>
                <c:pt idx="1">
                  <c:v>65.578999999999994</c:v>
                </c:pt>
                <c:pt idx="2">
                  <c:v>62.453400000000002</c:v>
                </c:pt>
                <c:pt idx="3">
                  <c:v>60.033099999999997</c:v>
                </c:pt>
                <c:pt idx="4">
                  <c:v>58.523200000000003</c:v>
                </c:pt>
                <c:pt idx="5">
                  <c:v>56.770099999999999</c:v>
                </c:pt>
                <c:pt idx="6">
                  <c:v>55.0685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5B-8646-87E0-325E7F66F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615743"/>
        <c:axId val="1920617983"/>
        <c:axId val="1990946815"/>
      </c:line3DChart>
      <c:catAx>
        <c:axId val="1920615743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0617983"/>
        <c:crosses val="autoZero"/>
        <c:auto val="1"/>
        <c:lblAlgn val="ctr"/>
        <c:lblOffset val="100"/>
        <c:noMultiLvlLbl val="0"/>
      </c:catAx>
      <c:valAx>
        <c:axId val="192061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0615743"/>
        <c:crosses val="autoZero"/>
        <c:crossBetween val="between"/>
      </c:valAx>
      <c:serAx>
        <c:axId val="19909468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061798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</a:t>
            </a:r>
            <a:r>
              <a:rPr lang="it-IT" baseline="0"/>
              <a:t> smirk (Put)</a:t>
            </a:r>
            <a:endParaRPr lang="it-IT"/>
          </a:p>
        </c:rich>
      </c:tx>
      <c:layout>
        <c:manualLayout>
          <c:xMode val="edge"/>
          <c:yMode val="edge"/>
          <c:x val="0.35704855643044625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2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'Part 2'!$J$18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2'!$J$19:$J$31</c:f>
              <c:numCache>
                <c:formatCode>0.0000</c:formatCode>
                <c:ptCount val="13"/>
                <c:pt idx="0">
                  <c:v>56.1233</c:v>
                </c:pt>
                <c:pt idx="1">
                  <c:v>53.742100000000001</c:v>
                </c:pt>
                <c:pt idx="2">
                  <c:v>50.667740000000002</c:v>
                </c:pt>
                <c:pt idx="3">
                  <c:v>47.1783</c:v>
                </c:pt>
                <c:pt idx="4">
                  <c:v>44.373199999999997</c:v>
                </c:pt>
                <c:pt idx="5">
                  <c:v>41.324399999999997</c:v>
                </c:pt>
                <c:pt idx="6">
                  <c:v>37.508499999999998</c:v>
                </c:pt>
                <c:pt idx="7">
                  <c:v>31.2227</c:v>
                </c:pt>
                <c:pt idx="8">
                  <c:v>20.601500000000001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9-E641-96B4-D95FE9A762E7}"/>
            </c:ext>
          </c:extLst>
        </c:ser>
        <c:ser>
          <c:idx val="1"/>
          <c:order val="1"/>
          <c:tx>
            <c:strRef>
              <c:f>'Part 2'!$K$18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2'!$K$19:$K$31</c:f>
              <c:numCache>
                <c:formatCode>0.0000</c:formatCode>
                <c:ptCount val="13"/>
                <c:pt idx="0">
                  <c:v>54.6892</c:v>
                </c:pt>
                <c:pt idx="1">
                  <c:v>53.254899999999999</c:v>
                </c:pt>
                <c:pt idx="2">
                  <c:v>50.741500000000002</c:v>
                </c:pt>
                <c:pt idx="3">
                  <c:v>49.321399999999997</c:v>
                </c:pt>
                <c:pt idx="4">
                  <c:v>46.509300000000003</c:v>
                </c:pt>
                <c:pt idx="5">
                  <c:v>44.456899999999997</c:v>
                </c:pt>
                <c:pt idx="6">
                  <c:v>42.297199999999997</c:v>
                </c:pt>
                <c:pt idx="7">
                  <c:v>39.450000000000003</c:v>
                </c:pt>
                <c:pt idx="8">
                  <c:v>37.340899999999998</c:v>
                </c:pt>
                <c:pt idx="9">
                  <c:v>33.077500000000001</c:v>
                </c:pt>
                <c:pt idx="10">
                  <c:v>29.3218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59-E641-96B4-D95FE9A762E7}"/>
            </c:ext>
          </c:extLst>
        </c:ser>
        <c:ser>
          <c:idx val="2"/>
          <c:order val="2"/>
          <c:tx>
            <c:strRef>
              <c:f>'Part 2'!$L$18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2'!$L$19:$L$31</c:f>
              <c:numCache>
                <c:formatCode>0.0000</c:formatCode>
                <c:ptCount val="13"/>
                <c:pt idx="0">
                  <c:v>50.148800000000001</c:v>
                </c:pt>
                <c:pt idx="1">
                  <c:v>48.643799999999999</c:v>
                </c:pt>
                <c:pt idx="2">
                  <c:v>47.710299999999997</c:v>
                </c:pt>
                <c:pt idx="3">
                  <c:v>46.2913</c:v>
                </c:pt>
                <c:pt idx="4">
                  <c:v>44.932200000000002</c:v>
                </c:pt>
                <c:pt idx="5">
                  <c:v>43.777900000000002</c:v>
                </c:pt>
                <c:pt idx="6">
                  <c:v>42.192500000000003</c:v>
                </c:pt>
                <c:pt idx="7">
                  <c:v>41.202199999999998</c:v>
                </c:pt>
                <c:pt idx="8">
                  <c:v>39.6327</c:v>
                </c:pt>
                <c:pt idx="9">
                  <c:v>37.952599999999997</c:v>
                </c:pt>
                <c:pt idx="10">
                  <c:v>37.243099999999998</c:v>
                </c:pt>
                <c:pt idx="11">
                  <c:v>35.857900000000001</c:v>
                </c:pt>
                <c:pt idx="12">
                  <c:v>34.751199999999997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59-E641-96B4-D95FE9A762E7}"/>
            </c:ext>
          </c:extLst>
        </c:ser>
        <c:ser>
          <c:idx val="3"/>
          <c:order val="3"/>
          <c:tx>
            <c:strRef>
              <c:f>'Part 2'!$M$18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2'!$M$19:$M$31</c:f>
              <c:numCache>
                <c:formatCode>0.0000</c:formatCode>
                <c:ptCount val="13"/>
                <c:pt idx="0">
                  <c:v>48.290700000000001</c:v>
                </c:pt>
                <c:pt idx="1">
                  <c:v>47.286499999999997</c:v>
                </c:pt>
                <c:pt idx="2">
                  <c:v>46.3003</c:v>
                </c:pt>
                <c:pt idx="3">
                  <c:v>45.104799999999997</c:v>
                </c:pt>
                <c:pt idx="4">
                  <c:v>44.198999999999998</c:v>
                </c:pt>
                <c:pt idx="5">
                  <c:v>43.447000000000003</c:v>
                </c:pt>
                <c:pt idx="6">
                  <c:v>42.4011</c:v>
                </c:pt>
                <c:pt idx="7">
                  <c:v>41.508400000000002</c:v>
                </c:pt>
                <c:pt idx="8">
                  <c:v>40.985399999999998</c:v>
                </c:pt>
                <c:pt idx="9">
                  <c:v>39.520499999999998</c:v>
                </c:pt>
                <c:pt idx="10">
                  <c:v>38.640099999999997</c:v>
                </c:pt>
                <c:pt idx="11">
                  <c:v>38.020800000000001</c:v>
                </c:pt>
                <c:pt idx="12">
                  <c:v>36.887599999999999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59-E641-96B4-D95FE9A762E7}"/>
            </c:ext>
          </c:extLst>
        </c:ser>
        <c:ser>
          <c:idx val="4"/>
          <c:order val="4"/>
          <c:tx>
            <c:strRef>
              <c:f>'Part 2'!$N$18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2'!$N$19:$N$31</c:f>
              <c:numCache>
                <c:formatCode>0.0000</c:formatCode>
                <c:ptCount val="13"/>
                <c:pt idx="0">
                  <c:v>46.378300000000003</c:v>
                </c:pt>
                <c:pt idx="1">
                  <c:v>45.893599999999999</c:v>
                </c:pt>
                <c:pt idx="2">
                  <c:v>44.640799999999999</c:v>
                </c:pt>
                <c:pt idx="3">
                  <c:v>43.589399999999998</c:v>
                </c:pt>
                <c:pt idx="4">
                  <c:v>43.086500000000001</c:v>
                </c:pt>
                <c:pt idx="5">
                  <c:v>43.0792</c:v>
                </c:pt>
                <c:pt idx="6">
                  <c:v>41.897199999999998</c:v>
                </c:pt>
                <c:pt idx="7">
                  <c:v>41.1965</c:v>
                </c:pt>
                <c:pt idx="8">
                  <c:v>40.4452</c:v>
                </c:pt>
                <c:pt idx="9">
                  <c:v>39.489400000000003</c:v>
                </c:pt>
                <c:pt idx="10">
                  <c:v>38.517299999999999</c:v>
                </c:pt>
                <c:pt idx="11">
                  <c:v>37.778300000000002</c:v>
                </c:pt>
                <c:pt idx="12">
                  <c:v>37.4544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59-E641-96B4-D95FE9A762E7}"/>
            </c:ext>
          </c:extLst>
        </c:ser>
        <c:ser>
          <c:idx val="5"/>
          <c:order val="5"/>
          <c:tx>
            <c:strRef>
              <c:f>'Part 2'!$O$18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2'!$O$19:$O$31</c:f>
              <c:numCache>
                <c:formatCode>General</c:formatCode>
                <c:ptCount val="13"/>
                <c:pt idx="0" formatCode="0.0000">
                  <c:v>42.551299999999998</c:v>
                </c:pt>
                <c:pt idx="1">
                  <c:v>41</c:v>
                </c:pt>
                <c:pt idx="2" formatCode="0.0000">
                  <c:v>40.596600000000002</c:v>
                </c:pt>
                <c:pt idx="3" formatCode="0.0000">
                  <c:v>39</c:v>
                </c:pt>
                <c:pt idx="4" formatCode="0.0000">
                  <c:v>38.855600000000003</c:v>
                </c:pt>
                <c:pt idx="5" formatCode="0.0000">
                  <c:v>38.86</c:v>
                </c:pt>
                <c:pt idx="6" formatCode="0.0000">
                  <c:v>38.929600000000001</c:v>
                </c:pt>
                <c:pt idx="7" formatCode="0.0000">
                  <c:v>36</c:v>
                </c:pt>
                <c:pt idx="8" formatCode="0.0000">
                  <c:v>35.065399999999997</c:v>
                </c:pt>
                <c:pt idx="9" formatCode="0.0000">
                  <c:v>34</c:v>
                </c:pt>
                <c:pt idx="10" formatCode="0.0000">
                  <c:v>33.470300000000002</c:v>
                </c:pt>
                <c:pt idx="11" formatCode="0.0000">
                  <c:v>32</c:v>
                </c:pt>
                <c:pt idx="12" formatCode="0.0000">
                  <c:v>31.460799999999999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59-E641-96B4-D95FE9A762E7}"/>
            </c:ext>
          </c:extLst>
        </c:ser>
        <c:ser>
          <c:idx val="6"/>
          <c:order val="6"/>
          <c:tx>
            <c:strRef>
              <c:f>'Part 2'!$P$18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'Part 2'!$I$19:$I$31</c:f>
              <c:numCache>
                <c:formatCode>0.0</c:formatCode>
                <c:ptCount val="13"/>
                <c:pt idx="0">
                  <c:v>5.6</c:v>
                </c:pt>
                <c:pt idx="1">
                  <c:v>5.8</c:v>
                </c:pt>
                <c:pt idx="2">
                  <c:v>6</c:v>
                </c:pt>
                <c:pt idx="3">
                  <c:v>6.2</c:v>
                </c:pt>
                <c:pt idx="4">
                  <c:v>6.4</c:v>
                </c:pt>
                <c:pt idx="5">
                  <c:v>6.6</c:v>
                </c:pt>
                <c:pt idx="6">
                  <c:v>6.8</c:v>
                </c:pt>
                <c:pt idx="7">
                  <c:v>7</c:v>
                </c:pt>
                <c:pt idx="8">
                  <c:v>7.2</c:v>
                </c:pt>
                <c:pt idx="9">
                  <c:v>7.4</c:v>
                </c:pt>
                <c:pt idx="10">
                  <c:v>7.6</c:v>
                </c:pt>
                <c:pt idx="11">
                  <c:v>7.8</c:v>
                </c:pt>
                <c:pt idx="12">
                  <c:v>8</c:v>
                </c:pt>
              </c:numCache>
            </c:numRef>
          </c:cat>
          <c:val>
            <c:numRef>
              <c:f>'Part 2'!$P$19:$P$31</c:f>
              <c:numCache>
                <c:formatCode>0.0000</c:formatCode>
                <c:ptCount val="13"/>
                <c:pt idx="0">
                  <c:v>38.360300000000002</c:v>
                </c:pt>
                <c:pt idx="1">
                  <c:v>37</c:v>
                </c:pt>
                <c:pt idx="2">
                  <c:v>37.625599999999999</c:v>
                </c:pt>
                <c:pt idx="3">
                  <c:v>36</c:v>
                </c:pt>
                <c:pt idx="4">
                  <c:v>35.011699999999998</c:v>
                </c:pt>
                <c:pt idx="5">
                  <c:v>33</c:v>
                </c:pt>
                <c:pt idx="6">
                  <c:v>32.729199999999999</c:v>
                </c:pt>
                <c:pt idx="7">
                  <c:v>32</c:v>
                </c:pt>
                <c:pt idx="8">
                  <c:v>31.839700000000001</c:v>
                </c:pt>
                <c:pt idx="9">
                  <c:v>31</c:v>
                </c:pt>
                <c:pt idx="10">
                  <c:v>30.346499999999999</c:v>
                </c:pt>
                <c:pt idx="11">
                  <c:v>29</c:v>
                </c:pt>
                <c:pt idx="12">
                  <c:v>28.514199999999999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59-E641-96B4-D95FE9A76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765759"/>
        <c:axId val="1888861503"/>
        <c:axId val="83931136"/>
      </c:line3DChart>
      <c:catAx>
        <c:axId val="1944765759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861503"/>
        <c:crosses val="autoZero"/>
        <c:auto val="1"/>
        <c:lblAlgn val="ctr"/>
        <c:lblOffset val="100"/>
        <c:noMultiLvlLbl val="0"/>
      </c:catAx>
      <c:valAx>
        <c:axId val="188886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44765759"/>
        <c:crosses val="autoZero"/>
        <c:crossBetween val="between"/>
      </c:valAx>
      <c:serAx>
        <c:axId val="839311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86150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Ref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9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2'!$I$44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2'!$I$45:$I$51</c:f>
              <c:numCache>
                <c:formatCode>0.0000</c:formatCode>
                <c:ptCount val="7"/>
                <c:pt idx="0">
                  <c:v>0.74450000000000005</c:v>
                </c:pt>
                <c:pt idx="1">
                  <c:v>0.68010000000000004</c:v>
                </c:pt>
                <c:pt idx="2">
                  <c:v>0.59489999999999998</c:v>
                </c:pt>
                <c:pt idx="3">
                  <c:v>0.49049999999999999</c:v>
                </c:pt>
                <c:pt idx="4">
                  <c:v>0.37890000000000001</c:v>
                </c:pt>
                <c:pt idx="5">
                  <c:v>0.2752</c:v>
                </c:pt>
                <c:pt idx="6">
                  <c:v>0.18779999999999999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6-BE43-97C4-6E0E105DFF05}"/>
            </c:ext>
          </c:extLst>
        </c:ser>
        <c:ser>
          <c:idx val="1"/>
          <c:order val="1"/>
          <c:tx>
            <c:strRef>
              <c:f>'Part 2'!$J$44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2'!$J$45:$J$51</c:f>
              <c:numCache>
                <c:formatCode>0.0000</c:formatCode>
                <c:ptCount val="7"/>
                <c:pt idx="0">
                  <c:v>0.73119999999999996</c:v>
                </c:pt>
                <c:pt idx="1">
                  <c:v>0.67279999999999995</c:v>
                </c:pt>
                <c:pt idx="2">
                  <c:v>0.60129999999999995</c:v>
                </c:pt>
                <c:pt idx="3">
                  <c:v>0.52049999999999996</c:v>
                </c:pt>
                <c:pt idx="4">
                  <c:v>0.43530000000000002</c:v>
                </c:pt>
                <c:pt idx="5">
                  <c:v>0.35210000000000002</c:v>
                </c:pt>
                <c:pt idx="6">
                  <c:v>0.2762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6-BE43-97C4-6E0E105DFF05}"/>
            </c:ext>
          </c:extLst>
        </c:ser>
        <c:ser>
          <c:idx val="2"/>
          <c:order val="2"/>
          <c:tx>
            <c:strRef>
              <c:f>'Part 2'!$K$44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2'!$K$45:$K$51</c:f>
              <c:numCache>
                <c:formatCode>0.0000</c:formatCode>
                <c:ptCount val="7"/>
                <c:pt idx="0">
                  <c:v>0.72430000000000005</c:v>
                </c:pt>
                <c:pt idx="1">
                  <c:v>0.67410000000000003</c:v>
                </c:pt>
                <c:pt idx="2">
                  <c:v>0.61719999999999997</c:v>
                </c:pt>
                <c:pt idx="3">
                  <c:v>0.55700000000000005</c:v>
                </c:pt>
                <c:pt idx="4">
                  <c:v>0.49330000000000002</c:v>
                </c:pt>
                <c:pt idx="5">
                  <c:v>0.43209999999999998</c:v>
                </c:pt>
                <c:pt idx="6">
                  <c:v>0.3725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66-BE43-97C4-6E0E105DFF05}"/>
            </c:ext>
          </c:extLst>
        </c:ser>
        <c:ser>
          <c:idx val="3"/>
          <c:order val="3"/>
          <c:tx>
            <c:strRef>
              <c:f>'Part 2'!$L$44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2'!$L$45:$L$51</c:f>
              <c:numCache>
                <c:formatCode>0.0000</c:formatCode>
                <c:ptCount val="7"/>
                <c:pt idx="0">
                  <c:v>0.72460000000000002</c:v>
                </c:pt>
                <c:pt idx="1">
                  <c:v>0.68</c:v>
                </c:pt>
                <c:pt idx="2">
                  <c:v>0.60629999999999995</c:v>
                </c:pt>
                <c:pt idx="3">
                  <c:v>0.57909999999999995</c:v>
                </c:pt>
                <c:pt idx="4">
                  <c:v>0.5272</c:v>
                </c:pt>
                <c:pt idx="5">
                  <c:v>0.44700000000000001</c:v>
                </c:pt>
                <c:pt idx="6">
                  <c:v>0.4239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66-BE43-97C4-6E0E105DFF05}"/>
            </c:ext>
          </c:extLst>
        </c:ser>
        <c:ser>
          <c:idx val="4"/>
          <c:order val="4"/>
          <c:tx>
            <c:strRef>
              <c:f>'Part 2'!$M$44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2'!$M$45:$M$51</c:f>
              <c:numCache>
                <c:formatCode>0.0000</c:formatCode>
                <c:ptCount val="7"/>
                <c:pt idx="0">
                  <c:v>0.72729999999999995</c:v>
                </c:pt>
                <c:pt idx="1">
                  <c:v>0.68620000000000003</c:v>
                </c:pt>
                <c:pt idx="2">
                  <c:v>0.6421</c:v>
                </c:pt>
                <c:pt idx="3">
                  <c:v>0.59550000000000003</c:v>
                </c:pt>
                <c:pt idx="4">
                  <c:v>0.54800000000000004</c:v>
                </c:pt>
                <c:pt idx="5">
                  <c:v>0.50360000000000005</c:v>
                </c:pt>
                <c:pt idx="6">
                  <c:v>0.45760000000000001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66-BE43-97C4-6E0E105DFF05}"/>
            </c:ext>
          </c:extLst>
        </c:ser>
        <c:ser>
          <c:idx val="5"/>
          <c:order val="5"/>
          <c:tx>
            <c:strRef>
              <c:f>'Part 2'!$N$44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2'!$N$45:$N$51</c:f>
              <c:numCache>
                <c:formatCode>0.0000</c:formatCode>
                <c:ptCount val="7"/>
                <c:pt idx="0">
                  <c:v>0.71220000000000006</c:v>
                </c:pt>
                <c:pt idx="1">
                  <c:v>0.6744</c:v>
                </c:pt>
                <c:pt idx="2">
                  <c:v>0.63480000000000003</c:v>
                </c:pt>
                <c:pt idx="3">
                  <c:v>0.59379999999999999</c:v>
                </c:pt>
                <c:pt idx="4">
                  <c:v>0.55210000000000004</c:v>
                </c:pt>
                <c:pt idx="5">
                  <c:v>0.51090000000000002</c:v>
                </c:pt>
                <c:pt idx="6">
                  <c:v>0.47049999999999997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66-BE43-97C4-6E0E105DFF05}"/>
            </c:ext>
          </c:extLst>
        </c:ser>
        <c:ser>
          <c:idx val="6"/>
          <c:order val="6"/>
          <c:tx>
            <c:strRef>
              <c:f>'Part 2'!$O$44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2'!$H$45:$H$51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2'!$O$45:$O$51</c:f>
              <c:numCache>
                <c:formatCode>0.0000</c:formatCode>
                <c:ptCount val="7"/>
                <c:pt idx="0">
                  <c:v>0.72599999999999998</c:v>
                </c:pt>
                <c:pt idx="1">
                  <c:v>0.69520000000000004</c:v>
                </c:pt>
                <c:pt idx="2">
                  <c:v>0.6633</c:v>
                </c:pt>
                <c:pt idx="3">
                  <c:v>0.63049999999999995</c:v>
                </c:pt>
                <c:pt idx="4">
                  <c:v>0.59870000000000001</c:v>
                </c:pt>
                <c:pt idx="5">
                  <c:v>0.56610000000000005</c:v>
                </c:pt>
                <c:pt idx="6">
                  <c:v>0.53449999999999998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66-BE43-97C4-6E0E105DFF0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71288447"/>
        <c:axId val="1871294719"/>
        <c:axId val="1794932223"/>
      </c:surface3DChart>
      <c:catAx>
        <c:axId val="1871288447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1294719"/>
        <c:crosses val="autoZero"/>
        <c:auto val="1"/>
        <c:lblAlgn val="ctr"/>
        <c:lblOffset val="100"/>
        <c:noMultiLvlLbl val="0"/>
      </c:catAx>
      <c:valAx>
        <c:axId val="187129471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1288447"/>
        <c:crosses val="autoZero"/>
        <c:crossBetween val="midCat"/>
      </c:valAx>
      <c:serAx>
        <c:axId val="17949322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129471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 Ref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2'!$I$57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2'!$I$58:$I$64</c:f>
              <c:numCache>
                <c:formatCode>0.0000</c:formatCode>
                <c:ptCount val="7"/>
                <c:pt idx="0">
                  <c:v>0.1489</c:v>
                </c:pt>
                <c:pt idx="1">
                  <c:v>0.1903</c:v>
                </c:pt>
                <c:pt idx="2">
                  <c:v>0.2215</c:v>
                </c:pt>
                <c:pt idx="3">
                  <c:v>0.26850000000000002</c:v>
                </c:pt>
                <c:pt idx="4">
                  <c:v>0.27139999999999997</c:v>
                </c:pt>
                <c:pt idx="5">
                  <c:v>0.24909999999999999</c:v>
                </c:pt>
                <c:pt idx="6">
                  <c:v>0.20810000000000001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B-484F-B20D-621835EC0899}"/>
            </c:ext>
          </c:extLst>
        </c:ser>
        <c:ser>
          <c:idx val="1"/>
          <c:order val="1"/>
          <c:tx>
            <c:strRef>
              <c:f>'Part 2'!$J$57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2'!$J$58:$J$64</c:f>
              <c:numCache>
                <c:formatCode>0.0000</c:formatCode>
                <c:ptCount val="7"/>
                <c:pt idx="0">
                  <c:v>0.12939999999999999</c:v>
                </c:pt>
                <c:pt idx="1">
                  <c:v>0.15770000000000001</c:v>
                </c:pt>
                <c:pt idx="2">
                  <c:v>0.182</c:v>
                </c:pt>
                <c:pt idx="3">
                  <c:v>0.20250000000000001</c:v>
                </c:pt>
                <c:pt idx="4">
                  <c:v>0.2114</c:v>
                </c:pt>
                <c:pt idx="5">
                  <c:v>0.2074</c:v>
                </c:pt>
                <c:pt idx="6">
                  <c:v>0.19270000000000001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B-484F-B20D-621835EC0899}"/>
            </c:ext>
          </c:extLst>
        </c:ser>
        <c:ser>
          <c:idx val="2"/>
          <c:order val="2"/>
          <c:tx>
            <c:strRef>
              <c:f>'Part 2'!$K$57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2'!$K$58:$K$64</c:f>
              <c:numCache>
                <c:formatCode>0.0000</c:formatCode>
                <c:ptCount val="7"/>
                <c:pt idx="0">
                  <c:v>0.1067</c:v>
                </c:pt>
                <c:pt idx="1">
                  <c:v>0.1227</c:v>
                </c:pt>
                <c:pt idx="2">
                  <c:v>0.13830000000000001</c:v>
                </c:pt>
                <c:pt idx="3">
                  <c:v>0.16059999999999999</c:v>
                </c:pt>
                <c:pt idx="4">
                  <c:v>0.15790000000000001</c:v>
                </c:pt>
                <c:pt idx="5">
                  <c:v>0.16039999999999999</c:v>
                </c:pt>
                <c:pt idx="6">
                  <c:v>0.15759999999999999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3B-484F-B20D-621835EC0899}"/>
            </c:ext>
          </c:extLst>
        </c:ser>
        <c:ser>
          <c:idx val="3"/>
          <c:order val="3"/>
          <c:tx>
            <c:strRef>
              <c:f>'Part 2'!$L$57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2'!$L$58:$L$64</c:f>
              <c:numCache>
                <c:formatCode>0.0000</c:formatCode>
                <c:ptCount val="7"/>
                <c:pt idx="0">
                  <c:v>9.2799999999999994E-2</c:v>
                </c:pt>
                <c:pt idx="1">
                  <c:v>0.1047</c:v>
                </c:pt>
                <c:pt idx="2">
                  <c:v>0.11700000000000001</c:v>
                </c:pt>
                <c:pt idx="3">
                  <c:v>0.1265</c:v>
                </c:pt>
                <c:pt idx="4">
                  <c:v>0.13189999999999999</c:v>
                </c:pt>
                <c:pt idx="5">
                  <c:v>0.13769999999999999</c:v>
                </c:pt>
                <c:pt idx="6">
                  <c:v>0.13650000000000001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3B-484F-B20D-621835EC0899}"/>
            </c:ext>
          </c:extLst>
        </c:ser>
        <c:ser>
          <c:idx val="4"/>
          <c:order val="4"/>
          <c:tx>
            <c:strRef>
              <c:f>'Part 2'!$M$57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2'!$M$58:$M$64</c:f>
              <c:numCache>
                <c:formatCode>0.0000</c:formatCode>
                <c:ptCount val="7"/>
                <c:pt idx="0">
                  <c:v>8.4000000000000005E-2</c:v>
                </c:pt>
                <c:pt idx="1">
                  <c:v>9.4200000000000006E-2</c:v>
                </c:pt>
                <c:pt idx="2">
                  <c:v>0.10340000000000001</c:v>
                </c:pt>
                <c:pt idx="3">
                  <c:v>0.1123</c:v>
                </c:pt>
                <c:pt idx="4">
                  <c:v>0.11840000000000001</c:v>
                </c:pt>
                <c:pt idx="5">
                  <c:v>0.1207</c:v>
                </c:pt>
                <c:pt idx="6">
                  <c:v>0.12280000000000001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3B-484F-B20D-621835EC0899}"/>
            </c:ext>
          </c:extLst>
        </c:ser>
        <c:ser>
          <c:idx val="5"/>
          <c:order val="5"/>
          <c:tx>
            <c:strRef>
              <c:f>'Part 2'!$N$57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2'!$N$58:$N$64</c:f>
              <c:numCache>
                <c:formatCode>0.0000</c:formatCode>
                <c:ptCount val="7"/>
                <c:pt idx="0">
                  <c:v>7.4200000000000002E-2</c:v>
                </c:pt>
                <c:pt idx="1">
                  <c:v>8.2600000000000007E-2</c:v>
                </c:pt>
                <c:pt idx="2">
                  <c:v>9.0399999999999994E-2</c:v>
                </c:pt>
                <c:pt idx="3">
                  <c:v>9.7000000000000003E-2</c:v>
                </c:pt>
                <c:pt idx="4">
                  <c:v>0.1023</c:v>
                </c:pt>
                <c:pt idx="5">
                  <c:v>0.1062</c:v>
                </c:pt>
                <c:pt idx="6">
                  <c:v>0.1085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3B-484F-B20D-621835EC0899}"/>
            </c:ext>
          </c:extLst>
        </c:ser>
        <c:ser>
          <c:idx val="6"/>
          <c:order val="6"/>
          <c:tx>
            <c:strRef>
              <c:f>'Part 2'!$O$57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/>
            <a:effectLst/>
            <a:sp3d/>
          </c:spPr>
          <c:cat>
            <c:numRef>
              <c:f>'Part 2'!$H$58:$H$64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2'!$O$58:$O$64</c:f>
              <c:numCache>
                <c:formatCode>0.0000</c:formatCode>
                <c:ptCount val="7"/>
                <c:pt idx="0">
                  <c:v>5.6399999999999999E-2</c:v>
                </c:pt>
                <c:pt idx="1">
                  <c:v>6.2199999999999998E-2</c:v>
                </c:pt>
                <c:pt idx="2">
                  <c:v>6.7799999999999999E-2</c:v>
                </c:pt>
                <c:pt idx="3">
                  <c:v>7.2900000000000006E-2</c:v>
                </c:pt>
                <c:pt idx="4">
                  <c:v>7.6999999999999999E-2</c:v>
                </c:pt>
                <c:pt idx="5">
                  <c:v>8.09E-2</c:v>
                </c:pt>
                <c:pt idx="6">
                  <c:v>8.3799999999999999E-2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3B-484F-B20D-621835EC089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 w="25400"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 w="25400"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 w="25400"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 w="25400"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 w="25400"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 w="25400"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</c:bandFmts>
        <c:axId val="75905024"/>
        <c:axId val="76717504"/>
        <c:axId val="1790109183"/>
      </c:surface3DChart>
      <c:catAx>
        <c:axId val="759050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717504"/>
        <c:crosses val="autoZero"/>
        <c:auto val="1"/>
        <c:lblAlgn val="ctr"/>
        <c:lblOffset val="100"/>
        <c:noMultiLvlLbl val="0"/>
      </c:catAx>
      <c:valAx>
        <c:axId val="767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905024"/>
        <c:crosses val="autoZero"/>
        <c:crossBetween val="midCat"/>
      </c:valAx>
      <c:serAx>
        <c:axId val="17901091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717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 Ref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2'!$I$76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2'!$I$77:$I$83</c:f>
              <c:numCache>
                <c:formatCode>0.0000</c:formatCode>
                <c:ptCount val="7"/>
                <c:pt idx="0">
                  <c:v>6.3E-3</c:v>
                </c:pt>
                <c:pt idx="1">
                  <c:v>6.6E-3</c:v>
                </c:pt>
                <c:pt idx="2">
                  <c:v>7.4000000000000003E-3</c:v>
                </c:pt>
                <c:pt idx="3">
                  <c:v>7.6E-3</c:v>
                </c:pt>
                <c:pt idx="4">
                  <c:v>7.3000000000000001E-3</c:v>
                </c:pt>
                <c:pt idx="5">
                  <c:v>6.4000000000000003E-3</c:v>
                </c:pt>
                <c:pt idx="6">
                  <c:v>4.8999999999999998E-3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6646-BD94-C3C7FFE7D1A7}"/>
            </c:ext>
          </c:extLst>
        </c:ser>
        <c:ser>
          <c:idx val="1"/>
          <c:order val="1"/>
          <c:tx>
            <c:strRef>
              <c:f>'Part 2'!$J$76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2'!$J$77:$J$83</c:f>
              <c:numCache>
                <c:formatCode>0.0000</c:formatCode>
                <c:ptCount val="7"/>
                <c:pt idx="0">
                  <c:v>9.1999999999999998E-3</c:v>
                </c:pt>
                <c:pt idx="1">
                  <c:v>1.03E-2</c:v>
                </c:pt>
                <c:pt idx="2">
                  <c:v>1.0699999999999999E-2</c:v>
                </c:pt>
                <c:pt idx="3">
                  <c:v>1.11E-2</c:v>
                </c:pt>
                <c:pt idx="4">
                  <c:v>1.06E-2</c:v>
                </c:pt>
                <c:pt idx="5">
                  <c:v>1.0500000000000001E-2</c:v>
                </c:pt>
                <c:pt idx="6">
                  <c:v>9.5999999999999992E-3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6646-BD94-C3C7FFE7D1A7}"/>
            </c:ext>
          </c:extLst>
        </c:ser>
        <c:ser>
          <c:idx val="2"/>
          <c:order val="2"/>
          <c:tx>
            <c:strRef>
              <c:f>'Part 2'!$K$76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2'!$K$77:$K$83</c:f>
              <c:numCache>
                <c:formatCode>0.0000</c:formatCode>
                <c:ptCount val="7"/>
                <c:pt idx="0">
                  <c:v>1.4E-2</c:v>
                </c:pt>
                <c:pt idx="1">
                  <c:v>1.5800000000000002E-2</c:v>
                </c:pt>
                <c:pt idx="2">
                  <c:v>1.6400000000000001E-2</c:v>
                </c:pt>
                <c:pt idx="3">
                  <c:v>1.67E-2</c:v>
                </c:pt>
                <c:pt idx="4">
                  <c:v>1.7600000000000001E-2</c:v>
                </c:pt>
                <c:pt idx="5">
                  <c:v>1.67E-2</c:v>
                </c:pt>
                <c:pt idx="6">
                  <c:v>1.7299999999999999E-2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6646-BD94-C3C7FFE7D1A7}"/>
            </c:ext>
          </c:extLst>
        </c:ser>
        <c:ser>
          <c:idx val="3"/>
          <c:order val="3"/>
          <c:tx>
            <c:strRef>
              <c:f>'Part 2'!$L$76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2'!$L$77:$L$83</c:f>
              <c:numCache>
                <c:formatCode>0.0000</c:formatCode>
                <c:ptCount val="7"/>
                <c:pt idx="0">
                  <c:v>1.7299999999999999E-2</c:v>
                </c:pt>
                <c:pt idx="1">
                  <c:v>1.9599999999999999E-2</c:v>
                </c:pt>
                <c:pt idx="2">
                  <c:v>2.0400000000000001E-2</c:v>
                </c:pt>
                <c:pt idx="3">
                  <c:v>2.1100000000000001E-2</c:v>
                </c:pt>
                <c:pt idx="4">
                  <c:v>2.1899999999999999E-2</c:v>
                </c:pt>
                <c:pt idx="5">
                  <c:v>2.12E-2</c:v>
                </c:pt>
                <c:pt idx="6">
                  <c:v>2.1499999999999998E-2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81-6646-BD94-C3C7FFE7D1A7}"/>
            </c:ext>
          </c:extLst>
        </c:ser>
        <c:ser>
          <c:idx val="4"/>
          <c:order val="4"/>
          <c:tx>
            <c:strRef>
              <c:f>'Part 2'!$M$76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2'!$M$77:$M$83</c:f>
              <c:numCache>
                <c:formatCode>0.0000</c:formatCode>
                <c:ptCount val="7"/>
                <c:pt idx="0">
                  <c:v>2.1700000000000001E-2</c:v>
                </c:pt>
                <c:pt idx="1">
                  <c:v>2.2599999999999999E-2</c:v>
                </c:pt>
                <c:pt idx="2">
                  <c:v>2.35E-2</c:v>
                </c:pt>
                <c:pt idx="3">
                  <c:v>2.4400000000000002E-2</c:v>
                </c:pt>
                <c:pt idx="4">
                  <c:v>2.53E-2</c:v>
                </c:pt>
                <c:pt idx="5">
                  <c:v>2.4199999999999999E-2</c:v>
                </c:pt>
                <c:pt idx="6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81-6646-BD94-C3C7FFE7D1A7}"/>
            </c:ext>
          </c:extLst>
        </c:ser>
        <c:ser>
          <c:idx val="5"/>
          <c:order val="5"/>
          <c:tx>
            <c:strRef>
              <c:f>'Part 2'!$N$76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2'!$N$77:$N$83</c:f>
              <c:numCache>
                <c:formatCode>0.0000</c:formatCode>
                <c:ptCount val="7"/>
                <c:pt idx="0">
                  <c:v>2.3300000000000001E-2</c:v>
                </c:pt>
                <c:pt idx="1">
                  <c:v>2.4400000000000002E-2</c:v>
                </c:pt>
                <c:pt idx="2">
                  <c:v>2.5399999999999999E-2</c:v>
                </c:pt>
                <c:pt idx="3">
                  <c:v>2.64E-2</c:v>
                </c:pt>
                <c:pt idx="4">
                  <c:v>2.7400000000000001E-2</c:v>
                </c:pt>
                <c:pt idx="5">
                  <c:v>2.6200000000000001E-2</c:v>
                </c:pt>
                <c:pt idx="6">
                  <c:v>2.7099999999999999E-2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81-6646-BD94-C3C7FFE7D1A7}"/>
            </c:ext>
          </c:extLst>
        </c:ser>
        <c:ser>
          <c:idx val="6"/>
          <c:order val="6"/>
          <c:tx>
            <c:strRef>
              <c:f>'Part 2'!$O$76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/>
            <a:effectLst/>
            <a:sp3d/>
          </c:spPr>
          <c:cat>
            <c:numRef>
              <c:f>'Part 2'!$H$77:$H$83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2'!$O$77:$O$83</c:f>
              <c:numCache>
                <c:formatCode>0.0000</c:formatCode>
                <c:ptCount val="7"/>
                <c:pt idx="0">
                  <c:v>2.8500000000000001E-2</c:v>
                </c:pt>
                <c:pt idx="1">
                  <c:v>0.03</c:v>
                </c:pt>
                <c:pt idx="2">
                  <c:v>3.1399999999999997E-2</c:v>
                </c:pt>
                <c:pt idx="3">
                  <c:v>3.2800000000000003E-2</c:v>
                </c:pt>
                <c:pt idx="4">
                  <c:v>3.4099999999999998E-2</c:v>
                </c:pt>
                <c:pt idx="5">
                  <c:v>3.27E-2</c:v>
                </c:pt>
                <c:pt idx="6">
                  <c:v>3.3500000000000002E-2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81-6646-BD94-C3C7FFE7D1A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 w="25400"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 w="25400"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 w="25400"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 w="25400"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 w="25400"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 w="25400"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 w="25400"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 w="25400"/>
              <a:effectLst/>
              <a:sp3d/>
            </c:spPr>
          </c:bandFmt>
        </c:bandFmts>
        <c:axId val="65063552"/>
        <c:axId val="65066688"/>
        <c:axId val="91792384"/>
      </c:surface3DChart>
      <c:catAx>
        <c:axId val="6506355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066688"/>
        <c:crosses val="autoZero"/>
        <c:auto val="1"/>
        <c:lblAlgn val="ctr"/>
        <c:lblOffset val="100"/>
        <c:noMultiLvlLbl val="0"/>
      </c:catAx>
      <c:valAx>
        <c:axId val="6506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063552"/>
        <c:crosses val="autoZero"/>
        <c:crossBetween val="midCat"/>
      </c:valAx>
      <c:serAx>
        <c:axId val="917923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0666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 Ref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2'!$I$92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2'!$I$93:$I$99</c:f>
              <c:numCache>
                <c:formatCode>0.0000</c:formatCode>
                <c:ptCount val="7"/>
                <c:pt idx="0">
                  <c:v>-1.21E-2</c:v>
                </c:pt>
                <c:pt idx="1">
                  <c:v>-1.11E-2</c:v>
                </c:pt>
                <c:pt idx="2">
                  <c:v>-1.0999999999999999E-2</c:v>
                </c:pt>
                <c:pt idx="3">
                  <c:v>-1.0200000000000001E-2</c:v>
                </c:pt>
                <c:pt idx="4">
                  <c:v>-8.9999999999999993E-3</c:v>
                </c:pt>
                <c:pt idx="5">
                  <c:v>-7.6E-3</c:v>
                </c:pt>
                <c:pt idx="6">
                  <c:v>-5.8999999999999999E-3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97-5049-9E00-4F0E913E76FB}"/>
            </c:ext>
          </c:extLst>
        </c:ser>
        <c:ser>
          <c:idx val="1"/>
          <c:order val="1"/>
          <c:tx>
            <c:strRef>
              <c:f>'Part 2'!$J$92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2'!$J$93:$J$99</c:f>
              <c:numCache>
                <c:formatCode>0.0000</c:formatCode>
                <c:ptCount val="7"/>
                <c:pt idx="0">
                  <c:v>-6.7000000000000002E-3</c:v>
                </c:pt>
                <c:pt idx="1">
                  <c:v>-6.7999999999999996E-3</c:v>
                </c:pt>
                <c:pt idx="2">
                  <c:v>-6.4999999999999997E-3</c:v>
                </c:pt>
                <c:pt idx="3">
                  <c:v>-6.1999999999999998E-3</c:v>
                </c:pt>
                <c:pt idx="4">
                  <c:v>-5.5999999999999999E-3</c:v>
                </c:pt>
                <c:pt idx="5">
                  <c:v>-5.4999999999999997E-3</c:v>
                </c:pt>
                <c:pt idx="6">
                  <c:v>-4.7000000000000002E-3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97-5049-9E00-4F0E913E76FB}"/>
            </c:ext>
          </c:extLst>
        </c:ser>
        <c:ser>
          <c:idx val="2"/>
          <c:order val="2"/>
          <c:tx>
            <c:strRef>
              <c:f>'Part 2'!$K$92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2'!$K$93:$K$99</c:f>
              <c:numCache>
                <c:formatCode>0.0000</c:formatCode>
                <c:ptCount val="7"/>
                <c:pt idx="0">
                  <c:v>-3.5000000000000001E-3</c:v>
                </c:pt>
                <c:pt idx="1">
                  <c:v>-3.7000000000000002E-3</c:v>
                </c:pt>
                <c:pt idx="2">
                  <c:v>-3.5999999999999999E-3</c:v>
                </c:pt>
                <c:pt idx="3">
                  <c:v>-3.5000000000000001E-3</c:v>
                </c:pt>
                <c:pt idx="4">
                  <c:v>-3.5000000000000001E-3</c:v>
                </c:pt>
                <c:pt idx="5">
                  <c:v>-3.2000000000000002E-3</c:v>
                </c:pt>
                <c:pt idx="6">
                  <c:v>-3.2000000000000002E-3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97-5049-9E00-4F0E913E76FB}"/>
            </c:ext>
          </c:extLst>
        </c:ser>
        <c:ser>
          <c:idx val="3"/>
          <c:order val="3"/>
          <c:tx>
            <c:strRef>
              <c:f>'Part 2'!$L$92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2'!$L$93:$L$99</c:f>
              <c:numCache>
                <c:formatCode>0.0000</c:formatCode>
                <c:ptCount val="7"/>
                <c:pt idx="0">
                  <c:v>-2.5999999999999999E-3</c:v>
                </c:pt>
                <c:pt idx="1">
                  <c:v>-2.7000000000000001E-3</c:v>
                </c:pt>
                <c:pt idx="2">
                  <c:v>-2.7000000000000001E-3</c:v>
                </c:pt>
                <c:pt idx="3">
                  <c:v>-2.5999999999999999E-3</c:v>
                </c:pt>
                <c:pt idx="4">
                  <c:v>-2.5999999999999999E-3</c:v>
                </c:pt>
                <c:pt idx="5">
                  <c:v>-2.3999999999999998E-3</c:v>
                </c:pt>
                <c:pt idx="6">
                  <c:v>-2.5000000000000001E-3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97-5049-9E00-4F0E913E76FB}"/>
            </c:ext>
          </c:extLst>
        </c:ser>
        <c:ser>
          <c:idx val="4"/>
          <c:order val="4"/>
          <c:tx>
            <c:strRef>
              <c:f>'Part 2'!$M$92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2'!$M$93:$M$99</c:f>
              <c:numCache>
                <c:formatCode>0.0000</c:formatCode>
                <c:ptCount val="7"/>
                <c:pt idx="0">
                  <c:v>-2.2000000000000001E-3</c:v>
                </c:pt>
                <c:pt idx="1">
                  <c:v>-2.2000000000000001E-3</c:v>
                </c:pt>
                <c:pt idx="2">
                  <c:v>-2.2000000000000001E-3</c:v>
                </c:pt>
                <c:pt idx="3">
                  <c:v>-2.2000000000000001E-3</c:v>
                </c:pt>
                <c:pt idx="4">
                  <c:v>-2.2000000000000001E-3</c:v>
                </c:pt>
                <c:pt idx="5">
                  <c:v>-2E-3</c:v>
                </c:pt>
                <c:pt idx="6">
                  <c:v>-2E-3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97-5049-9E00-4F0E913E76FB}"/>
            </c:ext>
          </c:extLst>
        </c:ser>
        <c:ser>
          <c:idx val="5"/>
          <c:order val="5"/>
          <c:tx>
            <c:strRef>
              <c:f>'Part 2'!$N$92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2'!$N$93:$N$99</c:f>
              <c:numCache>
                <c:formatCode>0.0000</c:formatCode>
                <c:ptCount val="7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-1.9E-3</c:v>
                </c:pt>
                <c:pt idx="5">
                  <c:v>-1.9E-3</c:v>
                </c:pt>
                <c:pt idx="6">
                  <c:v>-1.9E-3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97-5049-9E00-4F0E913E76FB}"/>
            </c:ext>
          </c:extLst>
        </c:ser>
        <c:ser>
          <c:idx val="6"/>
          <c:order val="6"/>
          <c:tx>
            <c:strRef>
              <c:f>'Part 2'!$O$92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2'!$H$93:$H$99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2'!$O$93:$O$99</c:f>
              <c:numCache>
                <c:formatCode>0.0000</c:formatCode>
                <c:ptCount val="7"/>
                <c:pt idx="0">
                  <c:v>-1.4E-3</c:v>
                </c:pt>
                <c:pt idx="1">
                  <c:v>-1.4E-3</c:v>
                </c:pt>
                <c:pt idx="2">
                  <c:v>-1.4E-3</c:v>
                </c:pt>
                <c:pt idx="3">
                  <c:v>-1.4E-3</c:v>
                </c:pt>
                <c:pt idx="4">
                  <c:v>-1.4E-3</c:v>
                </c:pt>
                <c:pt idx="5">
                  <c:v>-1.2999999999999999E-3</c:v>
                </c:pt>
                <c:pt idx="6">
                  <c:v>-1.2999999999999999E-3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97-5049-9E00-4F0E913E76F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1113344"/>
        <c:axId val="75108288"/>
        <c:axId val="86003712"/>
      </c:surface3DChart>
      <c:catAx>
        <c:axId val="11111334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108288"/>
        <c:crosses val="autoZero"/>
        <c:auto val="1"/>
        <c:lblAlgn val="ctr"/>
        <c:lblOffset val="100"/>
        <c:noMultiLvlLbl val="0"/>
      </c:catAx>
      <c:valAx>
        <c:axId val="751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113344"/>
        <c:crosses val="autoZero"/>
        <c:crossBetween val="midCat"/>
      </c:valAx>
      <c:serAx>
        <c:axId val="86003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1082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Ref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2'!$I$109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2'!$I$110:$I$116</c:f>
              <c:numCache>
                <c:formatCode>0.0000</c:formatCode>
                <c:ptCount val="7"/>
                <c:pt idx="0">
                  <c:v>2.8999999999999998E-3</c:v>
                </c:pt>
                <c:pt idx="1">
                  <c:v>2.8999999999999998E-3</c:v>
                </c:pt>
                <c:pt idx="2">
                  <c:v>2.5999999999999999E-3</c:v>
                </c:pt>
                <c:pt idx="3">
                  <c:v>2.3E-3</c:v>
                </c:pt>
                <c:pt idx="4">
                  <c:v>1.8E-3</c:v>
                </c:pt>
                <c:pt idx="5">
                  <c:v>1.2999999999999999E-3</c:v>
                </c:pt>
                <c:pt idx="6">
                  <c:v>8.9999999999999998E-4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0-7F4E-B680-4C65A948D4F1}"/>
            </c:ext>
          </c:extLst>
        </c:ser>
        <c:ser>
          <c:idx val="1"/>
          <c:order val="1"/>
          <c:tx>
            <c:strRef>
              <c:f>'Part 2'!$J$109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2'!$J$110:$J$116</c:f>
              <c:numCache>
                <c:formatCode>0.0000</c:formatCode>
                <c:ptCount val="7"/>
                <c:pt idx="0">
                  <c:v>5.8999999999999999E-3</c:v>
                </c:pt>
                <c:pt idx="1">
                  <c:v>5.7999999999999996E-3</c:v>
                </c:pt>
                <c:pt idx="2">
                  <c:v>5.4000000000000003E-3</c:v>
                </c:pt>
                <c:pt idx="3">
                  <c:v>4.8999999999999998E-3</c:v>
                </c:pt>
                <c:pt idx="4">
                  <c:v>4.1999999999999997E-3</c:v>
                </c:pt>
                <c:pt idx="5">
                  <c:v>3.5000000000000001E-3</c:v>
                </c:pt>
                <c:pt idx="6">
                  <c:v>2.8E-3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0-7F4E-B680-4C65A948D4F1}"/>
            </c:ext>
          </c:extLst>
        </c:ser>
        <c:ser>
          <c:idx val="2"/>
          <c:order val="2"/>
          <c:tx>
            <c:strRef>
              <c:f>'Part 2'!$K$109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2'!$K$110:$K$116</c:f>
              <c:numCache>
                <c:formatCode>0.0000</c:formatCode>
                <c:ptCount val="7"/>
                <c:pt idx="0">
                  <c:v>1.29E-2</c:v>
                </c:pt>
                <c:pt idx="1">
                  <c:v>1.2699999999999999E-2</c:v>
                </c:pt>
                <c:pt idx="2">
                  <c:v>1.2200000000000001E-2</c:v>
                </c:pt>
                <c:pt idx="3">
                  <c:v>1.15E-2</c:v>
                </c:pt>
                <c:pt idx="4">
                  <c:v>1.0500000000000001E-2</c:v>
                </c:pt>
                <c:pt idx="5">
                  <c:v>9.4000000000000004E-3</c:v>
                </c:pt>
                <c:pt idx="6">
                  <c:v>8.3000000000000001E-3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40-7F4E-B680-4C65A948D4F1}"/>
            </c:ext>
          </c:extLst>
        </c:ser>
        <c:ser>
          <c:idx val="3"/>
          <c:order val="3"/>
          <c:tx>
            <c:strRef>
              <c:f>'Part 2'!$L$109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2'!$L$110:$L$116</c:f>
              <c:numCache>
                <c:formatCode>0.0000</c:formatCode>
                <c:ptCount val="7"/>
                <c:pt idx="0">
                  <c:v>1.9400000000000001E-2</c:v>
                </c:pt>
                <c:pt idx="1">
                  <c:v>1.9099999999999999E-2</c:v>
                </c:pt>
                <c:pt idx="2">
                  <c:v>1.8599999999999998E-2</c:v>
                </c:pt>
                <c:pt idx="3">
                  <c:v>1.78E-2</c:v>
                </c:pt>
                <c:pt idx="4">
                  <c:v>1.67E-2</c:v>
                </c:pt>
                <c:pt idx="5">
                  <c:v>1.47E-2</c:v>
                </c:pt>
                <c:pt idx="6">
                  <c:v>1.41E-2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40-7F4E-B680-4C65A948D4F1}"/>
            </c:ext>
          </c:extLst>
        </c:ser>
        <c:ser>
          <c:idx val="4"/>
          <c:order val="4"/>
          <c:tx>
            <c:strRef>
              <c:f>'Part 2'!$M$109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2'!$M$110:$M$116</c:f>
              <c:numCache>
                <c:formatCode>0.0000</c:formatCode>
                <c:ptCount val="7"/>
                <c:pt idx="0">
                  <c:v>2.5399999999999999E-2</c:v>
                </c:pt>
                <c:pt idx="1">
                  <c:v>2.52E-2</c:v>
                </c:pt>
                <c:pt idx="2">
                  <c:v>2.47E-2</c:v>
                </c:pt>
                <c:pt idx="3">
                  <c:v>2.3900000000000001E-2</c:v>
                </c:pt>
                <c:pt idx="4">
                  <c:v>2.2700000000000001E-2</c:v>
                </c:pt>
                <c:pt idx="5">
                  <c:v>2.1299999999999999E-2</c:v>
                </c:pt>
                <c:pt idx="6">
                  <c:v>1.9900000000000001E-2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40-7F4E-B680-4C65A948D4F1}"/>
            </c:ext>
          </c:extLst>
        </c:ser>
        <c:ser>
          <c:idx val="5"/>
          <c:order val="5"/>
          <c:tx>
            <c:strRef>
              <c:f>'Part 2'!$N$109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2'!$N$110:$N$116</c:f>
              <c:numCache>
                <c:formatCode>0.0000</c:formatCode>
                <c:ptCount val="7"/>
                <c:pt idx="0">
                  <c:v>2.75E-2</c:v>
                </c:pt>
                <c:pt idx="1">
                  <c:v>2.75E-2</c:v>
                </c:pt>
                <c:pt idx="2">
                  <c:v>2.7300000000000001E-2</c:v>
                </c:pt>
                <c:pt idx="3">
                  <c:v>2.6599999999999999E-2</c:v>
                </c:pt>
                <c:pt idx="4">
                  <c:v>2.5700000000000001E-2</c:v>
                </c:pt>
                <c:pt idx="5">
                  <c:v>2.4500000000000001E-2</c:v>
                </c:pt>
                <c:pt idx="6">
                  <c:v>2.3199999999999998E-2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40-7F4E-B680-4C65A948D4F1}"/>
            </c:ext>
          </c:extLst>
        </c:ser>
        <c:ser>
          <c:idx val="6"/>
          <c:order val="6"/>
          <c:tx>
            <c:strRef>
              <c:f>'Part 2'!$O$109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2'!$H$110:$H$116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2'!$O$110:$O$116</c:f>
              <c:numCache>
                <c:formatCode>0.0000</c:formatCode>
                <c:ptCount val="7"/>
                <c:pt idx="0">
                  <c:v>3.9199999999999999E-2</c:v>
                </c:pt>
                <c:pt idx="1">
                  <c:v>4.0099999999999997E-2</c:v>
                </c:pt>
                <c:pt idx="2">
                  <c:v>4.0500000000000001E-2</c:v>
                </c:pt>
                <c:pt idx="3">
                  <c:v>4.0399999999999998E-2</c:v>
                </c:pt>
                <c:pt idx="4">
                  <c:v>0.04</c:v>
                </c:pt>
                <c:pt idx="5">
                  <c:v>3.9300000000000002E-2</c:v>
                </c:pt>
                <c:pt idx="6">
                  <c:v>3.8399999999999997E-2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40-7F4E-B680-4C65A948D4F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4874560"/>
        <c:axId val="2064003775"/>
        <c:axId val="22878720"/>
      </c:surface3DChart>
      <c:catAx>
        <c:axId val="9487456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4003775"/>
        <c:crosses val="autoZero"/>
        <c:auto val="1"/>
        <c:lblAlgn val="ctr"/>
        <c:lblOffset val="100"/>
        <c:noMultiLvlLbl val="0"/>
      </c:catAx>
      <c:valAx>
        <c:axId val="206400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874560"/>
        <c:crosses val="autoZero"/>
        <c:crossBetween val="midCat"/>
      </c:valAx>
      <c:serAx>
        <c:axId val="22878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40037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VBA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9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3'!$G$21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3'!$G$22:$G$28</c:f>
              <c:numCache>
                <c:formatCode>0.0000</c:formatCode>
                <c:ptCount val="7"/>
                <c:pt idx="0">
                  <c:v>0.77266755926954755</c:v>
                </c:pt>
                <c:pt idx="1">
                  <c:v>0.71850567434527901</c:v>
                </c:pt>
                <c:pt idx="2">
                  <c:v>0.646568253279039</c:v>
                </c:pt>
                <c:pt idx="3">
                  <c:v>0.55299244771242217</c:v>
                </c:pt>
                <c:pt idx="4">
                  <c:v>0.44496992872602303</c:v>
                </c:pt>
                <c:pt idx="5">
                  <c:v>0.33786678366063688</c:v>
                </c:pt>
                <c:pt idx="6">
                  <c:v>0.2453742973929231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C-6C4B-ABD3-F5BDD7C8FC05}"/>
            </c:ext>
          </c:extLst>
        </c:ser>
        <c:ser>
          <c:idx val="1"/>
          <c:order val="1"/>
          <c:tx>
            <c:strRef>
              <c:f>'Part 3'!$H$21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3'!$H$22:$H$28</c:f>
              <c:numCache>
                <c:formatCode>0.0000</c:formatCode>
                <c:ptCount val="7"/>
                <c:pt idx="0">
                  <c:v>0.74166922707326111</c:v>
                </c:pt>
                <c:pt idx="1">
                  <c:v>0.68914971045972706</c:v>
                </c:pt>
                <c:pt idx="2">
                  <c:v>0.62444727258979049</c:v>
                </c:pt>
                <c:pt idx="3">
                  <c:v>0.54965251137727111</c:v>
                </c:pt>
                <c:pt idx="4">
                  <c:v>0.46864156328254841</c:v>
                </c:pt>
                <c:pt idx="5">
                  <c:v>0.38675942937112584</c:v>
                </c:pt>
                <c:pt idx="6">
                  <c:v>0.30990606697983547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C-6C4B-ABD3-F5BDD7C8FC05}"/>
            </c:ext>
          </c:extLst>
        </c:ser>
        <c:ser>
          <c:idx val="2"/>
          <c:order val="2"/>
          <c:tx>
            <c:strRef>
              <c:f>'Part 3'!$I$21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3'!$I$22:$I$28</c:f>
              <c:numCache>
                <c:formatCode>0.0000</c:formatCode>
                <c:ptCount val="7"/>
                <c:pt idx="0">
                  <c:v>0.69644778997871448</c:v>
                </c:pt>
                <c:pt idx="1">
                  <c:v>0.64875430328018091</c:v>
                </c:pt>
                <c:pt idx="2">
                  <c:v>0.59516908238517563</c:v>
                </c:pt>
                <c:pt idx="3">
                  <c:v>0.53690526607370948</c:v>
                </c:pt>
                <c:pt idx="4">
                  <c:v>0.47858979521009898</c:v>
                </c:pt>
                <c:pt idx="5">
                  <c:v>0.41732172640660692</c:v>
                </c:pt>
                <c:pt idx="6">
                  <c:v>0.36205783310509404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5C-6C4B-ABD3-F5BDD7C8FC05}"/>
            </c:ext>
          </c:extLst>
        </c:ser>
        <c:ser>
          <c:idx val="3"/>
          <c:order val="3"/>
          <c:tx>
            <c:strRef>
              <c:f>'Part 3'!$J$21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3'!$J$22:$J$28</c:f>
              <c:numCache>
                <c:formatCode>0.0000</c:formatCode>
                <c:ptCount val="7"/>
                <c:pt idx="0">
                  <c:v>0.66497511409176635</c:v>
                </c:pt>
                <c:pt idx="1">
                  <c:v>0.62162683244641781</c:v>
                </c:pt>
                <c:pt idx="2">
                  <c:v>0.57550255818285845</c:v>
                </c:pt>
                <c:pt idx="3">
                  <c:v>0.52594120461986893</c:v>
                </c:pt>
                <c:pt idx="4">
                  <c:v>0.47505677082040604</c:v>
                </c:pt>
                <c:pt idx="5">
                  <c:v>0.42780489149015244</c:v>
                </c:pt>
                <c:pt idx="6">
                  <c:v>0.37975539951376119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5C-6C4B-ABD3-F5BDD7C8FC05}"/>
            </c:ext>
          </c:extLst>
        </c:ser>
        <c:ser>
          <c:idx val="4"/>
          <c:order val="4"/>
          <c:tx>
            <c:strRef>
              <c:f>'Part 3'!$K$21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3'!$K$22:$K$28</c:f>
              <c:numCache>
                <c:formatCode>0.0000</c:formatCode>
                <c:ptCount val="7"/>
                <c:pt idx="0">
                  <c:v>0.63952023356331922</c:v>
                </c:pt>
                <c:pt idx="1">
                  <c:v>0.59921204316278054</c:v>
                </c:pt>
                <c:pt idx="2">
                  <c:v>0.55722276385764302</c:v>
                </c:pt>
                <c:pt idx="3">
                  <c:v>0.51316159400584571</c:v>
                </c:pt>
                <c:pt idx="4">
                  <c:v>0.46988126140160458</c:v>
                </c:pt>
                <c:pt idx="5">
                  <c:v>0.42483977300853909</c:v>
                </c:pt>
                <c:pt idx="6">
                  <c:v>0.38094605827508821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5C-6C4B-ABD3-F5BDD7C8FC05}"/>
            </c:ext>
          </c:extLst>
        </c:ser>
        <c:ser>
          <c:idx val="5"/>
          <c:order val="5"/>
          <c:tx>
            <c:strRef>
              <c:f>'Part 3'!$L$21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3'!$L$22:$L$28</c:f>
              <c:numCache>
                <c:formatCode>0.0000</c:formatCode>
                <c:ptCount val="7"/>
                <c:pt idx="0">
                  <c:v>0.62340829683162313</c:v>
                </c:pt>
                <c:pt idx="1">
                  <c:v>0.58882822226500509</c:v>
                </c:pt>
                <c:pt idx="2">
                  <c:v>0.55315534486250628</c:v>
                </c:pt>
                <c:pt idx="3">
                  <c:v>0.51529083137438314</c:v>
                </c:pt>
                <c:pt idx="4">
                  <c:v>0.47832927222912858</c:v>
                </c:pt>
                <c:pt idx="5">
                  <c:v>0.44164463221735523</c:v>
                </c:pt>
                <c:pt idx="6">
                  <c:v>0.40436670114241924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5C-6C4B-ABD3-F5BDD7C8FC05}"/>
            </c:ext>
          </c:extLst>
        </c:ser>
        <c:ser>
          <c:idx val="6"/>
          <c:order val="6"/>
          <c:tx>
            <c:strRef>
              <c:f>'Part 3'!$M$21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3'!$F$22:$F$28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3'!$M$22:$M$28</c:f>
              <c:numCache>
                <c:formatCode>0.0000</c:formatCode>
                <c:ptCount val="7"/>
                <c:pt idx="0">
                  <c:v>0.57026817886774006</c:v>
                </c:pt>
                <c:pt idx="1">
                  <c:v>0.54383444295038819</c:v>
                </c:pt>
                <c:pt idx="2">
                  <c:v>0.51595885667208308</c:v>
                </c:pt>
                <c:pt idx="3">
                  <c:v>0.48840810329358392</c:v>
                </c:pt>
                <c:pt idx="4">
                  <c:v>0.46286246529975111</c:v>
                </c:pt>
                <c:pt idx="5">
                  <c:v>0.43589708566493213</c:v>
                </c:pt>
                <c:pt idx="6">
                  <c:v>0.40855197622299499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5C-6C4B-ABD3-F5BDD7C8FC0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878656"/>
        <c:axId val="1888860607"/>
        <c:axId val="1978899967"/>
      </c:surface3DChart>
      <c:catAx>
        <c:axId val="7687865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860607"/>
        <c:crosses val="autoZero"/>
        <c:auto val="1"/>
        <c:lblAlgn val="ctr"/>
        <c:lblOffset val="100"/>
        <c:noMultiLvlLbl val="0"/>
      </c:catAx>
      <c:valAx>
        <c:axId val="188886060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878656"/>
        <c:crosses val="autoZero"/>
        <c:crossBetween val="midCat"/>
      </c:valAx>
      <c:serAx>
        <c:axId val="19788999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8606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 VBA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3'!$G$32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3'!$G$33:$G$39</c:f>
              <c:numCache>
                <c:formatCode>0.0000</c:formatCode>
                <c:ptCount val="7"/>
                <c:pt idx="0">
                  <c:v>0.12819124703279619</c:v>
                </c:pt>
                <c:pt idx="1">
                  <c:v>0.16401217519218753</c:v>
                </c:pt>
                <c:pt idx="2">
                  <c:v>0.20755829048516264</c:v>
                </c:pt>
                <c:pt idx="3">
                  <c:v>0.244377795829436</c:v>
                </c:pt>
                <c:pt idx="4">
                  <c:v>0.26615161222031536</c:v>
                </c:pt>
                <c:pt idx="5">
                  <c:v>0.25876783742434767</c:v>
                </c:pt>
                <c:pt idx="6">
                  <c:v>0.22832953361254385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3-2942-9C56-D76166917018}"/>
            </c:ext>
          </c:extLst>
        </c:ser>
        <c:ser>
          <c:idx val="1"/>
          <c:order val="1"/>
          <c:tx>
            <c:strRef>
              <c:f>'Part 3'!$H$32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3'!$H$33:$H$39</c:f>
              <c:numCache>
                <c:formatCode>0.0000</c:formatCode>
                <c:ptCount val="7"/>
                <c:pt idx="0">
                  <c:v>0.11463987119578781</c:v>
                </c:pt>
                <c:pt idx="1">
                  <c:v>0.13986031639874533</c:v>
                </c:pt>
                <c:pt idx="2">
                  <c:v>0.16434351791942445</c:v>
                </c:pt>
                <c:pt idx="3">
                  <c:v>0.18508041859018631</c:v>
                </c:pt>
                <c:pt idx="4">
                  <c:v>0.19763986325563598</c:v>
                </c:pt>
                <c:pt idx="5">
                  <c:v>0.19959784534804309</c:v>
                </c:pt>
                <c:pt idx="6">
                  <c:v>0.19054926782785458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3-2942-9C56-D76166917018}"/>
            </c:ext>
          </c:extLst>
        </c:ser>
        <c:ser>
          <c:idx val="2"/>
          <c:order val="2"/>
          <c:tx>
            <c:strRef>
              <c:f>'Part 3'!$I$32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3'!$I$33:$I$39</c:f>
              <c:numCache>
                <c:formatCode>0.0000</c:formatCode>
                <c:ptCount val="7"/>
                <c:pt idx="0">
                  <c:v>9.6153613847938607E-2</c:v>
                </c:pt>
                <c:pt idx="1">
                  <c:v>0.11094723847301401</c:v>
                </c:pt>
                <c:pt idx="2">
                  <c:v>0.12503921869295406</c:v>
                </c:pt>
                <c:pt idx="3">
                  <c:v>0.13667523394387057</c:v>
                </c:pt>
                <c:pt idx="4">
                  <c:v>0.14209904330826661</c:v>
                </c:pt>
                <c:pt idx="5">
                  <c:v>0.14629875862332123</c:v>
                </c:pt>
                <c:pt idx="6">
                  <c:v>0.14371926398800919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3-2942-9C56-D76166917018}"/>
            </c:ext>
          </c:extLst>
        </c:ser>
        <c:ser>
          <c:idx val="3"/>
          <c:order val="3"/>
          <c:tx>
            <c:strRef>
              <c:f>'Part 3'!$J$32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3'!$J$33:$J$39</c:f>
              <c:numCache>
                <c:formatCode>0.0000</c:formatCode>
                <c:ptCount val="7"/>
                <c:pt idx="0">
                  <c:v>8.3518752029888274E-2</c:v>
                </c:pt>
                <c:pt idx="1">
                  <c:v>9.5075677174850909E-2</c:v>
                </c:pt>
                <c:pt idx="2">
                  <c:v>0.10352894430793692</c:v>
                </c:pt>
                <c:pt idx="3">
                  <c:v>0.11198690645940497</c:v>
                </c:pt>
                <c:pt idx="4">
                  <c:v>0.11795980330498557</c:v>
                </c:pt>
                <c:pt idx="5">
                  <c:v>0.11925337796850674</c:v>
                </c:pt>
                <c:pt idx="6">
                  <c:v>0.11962670322504192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3-2942-9C56-D76166917018}"/>
            </c:ext>
          </c:extLst>
        </c:ser>
        <c:ser>
          <c:idx val="4"/>
          <c:order val="4"/>
          <c:tx>
            <c:strRef>
              <c:f>'Part 3'!$K$32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3'!$K$33:$K$39</c:f>
              <c:numCache>
                <c:formatCode>0.0000</c:formatCode>
                <c:ptCount val="7"/>
                <c:pt idx="0">
                  <c:v>7.5391663630228284E-2</c:v>
                </c:pt>
                <c:pt idx="1">
                  <c:v>8.4589386766574196E-2</c:v>
                </c:pt>
                <c:pt idx="2">
                  <c:v>9.1591543976689782E-2</c:v>
                </c:pt>
                <c:pt idx="3">
                  <c:v>9.7896811226177174E-2</c:v>
                </c:pt>
                <c:pt idx="4">
                  <c:v>0.10163621277061885</c:v>
                </c:pt>
                <c:pt idx="5">
                  <c:v>0.10483365220011326</c:v>
                </c:pt>
                <c:pt idx="6">
                  <c:v>0.10597801686143293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13-2942-9C56-D76166917018}"/>
            </c:ext>
          </c:extLst>
        </c:ser>
        <c:ser>
          <c:idx val="5"/>
          <c:order val="5"/>
          <c:tx>
            <c:strRef>
              <c:f>'Part 3'!$L$32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3'!$L$33:$L$39</c:f>
              <c:numCache>
                <c:formatCode>0.0000</c:formatCode>
                <c:ptCount val="7"/>
                <c:pt idx="0">
                  <c:v>6.0911919129445824E-2</c:v>
                </c:pt>
                <c:pt idx="1">
                  <c:v>6.7619175581512245E-2</c:v>
                </c:pt>
                <c:pt idx="2">
                  <c:v>7.3291190614021215E-2</c:v>
                </c:pt>
                <c:pt idx="3">
                  <c:v>7.883469974604905E-2</c:v>
                </c:pt>
                <c:pt idx="4">
                  <c:v>8.2564654340619603E-2</c:v>
                </c:pt>
                <c:pt idx="5">
                  <c:v>8.5203278991146214E-2</c:v>
                </c:pt>
                <c:pt idx="6">
                  <c:v>8.7177260280751137E-2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13-2942-9C56-D76166917018}"/>
            </c:ext>
          </c:extLst>
        </c:ser>
        <c:ser>
          <c:idx val="6"/>
          <c:order val="6"/>
          <c:tx>
            <c:strRef>
              <c:f>'Part 3'!$M$32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3'!$F$33:$F$39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3'!$M$33:$M$39</c:f>
              <c:numCache>
                <c:formatCode>0.0000</c:formatCode>
                <c:ptCount val="7"/>
                <c:pt idx="0">
                  <c:v>3.9419617176514397E-2</c:v>
                </c:pt>
                <c:pt idx="1">
                  <c:v>4.3394362491357794E-2</c:v>
                </c:pt>
                <c:pt idx="2">
                  <c:v>4.7362434609089142E-2</c:v>
                </c:pt>
                <c:pt idx="3">
                  <c:v>5.0702073598878003E-2</c:v>
                </c:pt>
                <c:pt idx="4">
                  <c:v>5.3001333743035055E-2</c:v>
                </c:pt>
                <c:pt idx="5">
                  <c:v>5.5327121549487754E-2</c:v>
                </c:pt>
                <c:pt idx="6">
                  <c:v>5.7341113705295883E-2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13-2942-9C56-D7616691701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063754431"/>
        <c:axId val="77817920"/>
        <c:axId val="1888887807"/>
      </c:surface3DChart>
      <c:catAx>
        <c:axId val="2063754431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817920"/>
        <c:crosses val="autoZero"/>
        <c:auto val="1"/>
        <c:lblAlgn val="ctr"/>
        <c:lblOffset val="100"/>
        <c:noMultiLvlLbl val="0"/>
      </c:catAx>
      <c:valAx>
        <c:axId val="7781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754431"/>
        <c:crosses val="autoZero"/>
        <c:crossBetween val="midCat"/>
      </c:valAx>
      <c:serAx>
        <c:axId val="18888878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8179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 - VBA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3'!$G$46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3'!$G$47:$G$53</c:f>
              <c:numCache>
                <c:formatCode>0.0000</c:formatCode>
                <c:ptCount val="7"/>
                <c:pt idx="0">
                  <c:v>5.9065305826922739E-3</c:v>
                </c:pt>
                <c:pt idx="1">
                  <c:v>6.6476647290911496E-3</c:v>
                </c:pt>
                <c:pt idx="2">
                  <c:v>7.3584427125857766E-3</c:v>
                </c:pt>
                <c:pt idx="3">
                  <c:v>7.8595802586839385E-3</c:v>
                </c:pt>
                <c:pt idx="4">
                  <c:v>7.8772358750993487E-3</c:v>
                </c:pt>
                <c:pt idx="5">
                  <c:v>7.3012583113752465E-3</c:v>
                </c:pt>
                <c:pt idx="6">
                  <c:v>6.2926275321045118E-3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F-454B-971E-047618A807D8}"/>
            </c:ext>
          </c:extLst>
        </c:ser>
        <c:ser>
          <c:idx val="1"/>
          <c:order val="1"/>
          <c:tx>
            <c:strRef>
              <c:f>'Part 3'!$H$46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3'!$H$47:$H$53</c:f>
              <c:numCache>
                <c:formatCode>0.0000</c:formatCode>
                <c:ptCount val="7"/>
                <c:pt idx="0">
                  <c:v>9.0413333762388234E-3</c:v>
                </c:pt>
                <c:pt idx="1">
                  <c:v>9.9781697923090554E-3</c:v>
                </c:pt>
                <c:pt idx="2">
                  <c:v>1.0806880392902445E-2</c:v>
                </c:pt>
                <c:pt idx="3">
                  <c:v>1.1350249693645816E-2</c:v>
                </c:pt>
                <c:pt idx="4">
                  <c:v>1.1460177435116202E-2</c:v>
                </c:pt>
                <c:pt idx="5">
                  <c:v>1.1069901597405001E-2</c:v>
                </c:pt>
                <c:pt idx="6">
                  <c:v>1.0229162856160465E-2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F-454B-971E-047618A807D8}"/>
            </c:ext>
          </c:extLst>
        </c:ser>
        <c:ser>
          <c:idx val="2"/>
          <c:order val="2"/>
          <c:tx>
            <c:strRef>
              <c:f>'Part 3'!$I$46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3'!$I$47:$I$53</c:f>
              <c:numCache>
                <c:formatCode>0.0000</c:formatCode>
                <c:ptCount val="7"/>
                <c:pt idx="0">
                  <c:v>1.4389610766530747E-2</c:v>
                </c:pt>
                <c:pt idx="1">
                  <c:v>1.553420067332565E-2</c:v>
                </c:pt>
                <c:pt idx="2">
                  <c:v>1.646351537782139E-2</c:v>
                </c:pt>
                <c:pt idx="3">
                  <c:v>1.7069424001796615E-2</c:v>
                </c:pt>
                <c:pt idx="4">
                  <c:v>1.7268391163923452E-2</c:v>
                </c:pt>
                <c:pt idx="5">
                  <c:v>1.7043360250631554E-2</c:v>
                </c:pt>
                <c:pt idx="6">
                  <c:v>1.6454114165236577E-2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F-454B-971E-047618A807D8}"/>
            </c:ext>
          </c:extLst>
        </c:ser>
        <c:ser>
          <c:idx val="3"/>
          <c:order val="3"/>
          <c:tx>
            <c:strRef>
              <c:f>'Part 3'!$J$46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3'!$J$47:$J$53</c:f>
              <c:numCache>
                <c:formatCode>0.0000</c:formatCode>
                <c:ptCount val="7"/>
                <c:pt idx="0">
                  <c:v>1.8112670184654595E-2</c:v>
                </c:pt>
                <c:pt idx="1">
                  <c:v>1.9324022446214575E-2</c:v>
                </c:pt>
                <c:pt idx="2">
                  <c:v>2.026825010047649E-2</c:v>
                </c:pt>
                <c:pt idx="3">
                  <c:v>2.0905184808842198E-2</c:v>
                </c:pt>
                <c:pt idx="4">
                  <c:v>2.1164250119209936E-2</c:v>
                </c:pt>
                <c:pt idx="5">
                  <c:v>2.1050924752751447E-2</c:v>
                </c:pt>
                <c:pt idx="6">
                  <c:v>2.0584343676569056E-2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CF-454B-971E-047618A807D8}"/>
            </c:ext>
          </c:extLst>
        </c:ser>
        <c:ser>
          <c:idx val="4"/>
          <c:order val="4"/>
          <c:tx>
            <c:strRef>
              <c:f>'Part 3'!$K$46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3'!$K$47:$K$53</c:f>
              <c:numCache>
                <c:formatCode>0.0000</c:formatCode>
                <c:ptCount val="7"/>
                <c:pt idx="0">
                  <c:v>2.0983149914024179E-2</c:v>
                </c:pt>
                <c:pt idx="1">
                  <c:v>2.2233096172740639E-2</c:v>
                </c:pt>
                <c:pt idx="2">
                  <c:v>2.3192189053156322E-2</c:v>
                </c:pt>
                <c:pt idx="3">
                  <c:v>2.3837880317256425E-2</c:v>
                </c:pt>
                <c:pt idx="4">
                  <c:v>2.4122043547209225E-2</c:v>
                </c:pt>
                <c:pt idx="5">
                  <c:v>2.4053777062572831E-2</c:v>
                </c:pt>
                <c:pt idx="6">
                  <c:v>2.3629051581704415E-2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CF-454B-971E-047618A807D8}"/>
            </c:ext>
          </c:extLst>
        </c:ser>
        <c:ser>
          <c:idx val="5"/>
          <c:order val="5"/>
          <c:tx>
            <c:strRef>
              <c:f>'Part 3'!$L$46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3'!$L$47:$L$53</c:f>
              <c:numCache>
                <c:formatCode>0.0000</c:formatCode>
                <c:ptCount val="7"/>
                <c:pt idx="0">
                  <c:v>2.3064776342281736E-2</c:v>
                </c:pt>
                <c:pt idx="1">
                  <c:v>2.4288623097751611E-2</c:v>
                </c:pt>
                <c:pt idx="2">
                  <c:v>2.5262375538699065E-2</c:v>
                </c:pt>
                <c:pt idx="3">
                  <c:v>2.5987583599951368E-2</c:v>
                </c:pt>
                <c:pt idx="4">
                  <c:v>2.6397541413323192E-2</c:v>
                </c:pt>
                <c:pt idx="5">
                  <c:v>2.6517965095133156E-2</c:v>
                </c:pt>
                <c:pt idx="6">
                  <c:v>2.6349328876778735E-2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CF-454B-971E-047618A807D8}"/>
            </c:ext>
          </c:extLst>
        </c:ser>
        <c:ser>
          <c:idx val="6"/>
          <c:order val="6"/>
          <c:tx>
            <c:strRef>
              <c:f>'Part 3'!$M$46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3'!$F$47:$F$53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3'!$M$47:$M$53</c:f>
              <c:numCache>
                <c:formatCode>0.0000</c:formatCode>
                <c:ptCount val="7"/>
                <c:pt idx="0">
                  <c:v>2.8036697386414348E-2</c:v>
                </c:pt>
                <c:pt idx="1">
                  <c:v>2.9387604348698585E-2</c:v>
                </c:pt>
                <c:pt idx="2">
                  <c:v>3.0546129391058302E-2</c:v>
                </c:pt>
                <c:pt idx="3">
                  <c:v>3.1432764102568983E-2</c:v>
                </c:pt>
                <c:pt idx="4">
                  <c:v>3.2031770575531276E-2</c:v>
                </c:pt>
                <c:pt idx="5">
                  <c:v>3.2435740498927036E-2</c:v>
                </c:pt>
                <c:pt idx="6">
                  <c:v>3.2608847709539444E-2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CF-454B-971E-047618A807D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44729151"/>
        <c:axId val="1885316735"/>
        <c:axId val="1969253887"/>
      </c:surface3DChart>
      <c:catAx>
        <c:axId val="1944729151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5316735"/>
        <c:crosses val="autoZero"/>
        <c:auto val="1"/>
        <c:lblAlgn val="ctr"/>
        <c:lblOffset val="100"/>
        <c:noMultiLvlLbl val="0"/>
      </c:catAx>
      <c:valAx>
        <c:axId val="18853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44729151"/>
        <c:crosses val="autoZero"/>
        <c:crossBetween val="midCat"/>
      </c:valAx>
      <c:serAx>
        <c:axId val="19692538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53167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 - VBA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3'!$G$64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3'!$G$65:$G$71</c:f>
              <c:numCache>
                <c:formatCode>0.0000</c:formatCode>
                <c:ptCount val="7"/>
                <c:pt idx="0">
                  <c:v>-1.4017726454008025E-2</c:v>
                </c:pt>
                <c:pt idx="1">
                  <c:v>-1.4006014585957176E-2</c:v>
                </c:pt>
                <c:pt idx="2">
                  <c:v>-1.3689699891810247E-2</c:v>
                </c:pt>
                <c:pt idx="3">
                  <c:v>-1.3439723225831457E-2</c:v>
                </c:pt>
                <c:pt idx="4">
                  <c:v>-1.2546295531471617E-2</c:v>
                </c:pt>
                <c:pt idx="5">
                  <c:v>-1.1210424748669953E-2</c:v>
                </c:pt>
                <c:pt idx="6">
                  <c:v>-9.5233759004206449E-3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8-924A-9643-3BFD237CF585}"/>
            </c:ext>
          </c:extLst>
        </c:ser>
        <c:ser>
          <c:idx val="1"/>
          <c:order val="1"/>
          <c:tx>
            <c:strRef>
              <c:f>'Part 3'!$H$64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3'!$H$65:$H$71</c:f>
              <c:numCache>
                <c:formatCode>0.0000</c:formatCode>
                <c:ptCount val="7"/>
                <c:pt idx="0">
                  <c:v>-7.4204290672932396E-3</c:v>
                </c:pt>
                <c:pt idx="1">
                  <c:v>-7.5448515689602209E-3</c:v>
                </c:pt>
                <c:pt idx="2">
                  <c:v>-7.6900918463149509E-3</c:v>
                </c:pt>
                <c:pt idx="3">
                  <c:v>-7.6822960208973567E-3</c:v>
                </c:pt>
                <c:pt idx="4">
                  <c:v>-7.4663626888507081E-3</c:v>
                </c:pt>
                <c:pt idx="5">
                  <c:v>-7.0051071331280875E-3</c:v>
                </c:pt>
                <c:pt idx="6">
                  <c:v>-6.3475765342803593E-3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8-924A-9643-3BFD237CF585}"/>
            </c:ext>
          </c:extLst>
        </c:ser>
        <c:ser>
          <c:idx val="2"/>
          <c:order val="2"/>
          <c:tx>
            <c:strRef>
              <c:f>'Part 3'!$I$64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3'!$I$65:$I$71</c:f>
              <c:numCache>
                <c:formatCode>0.0000</c:formatCode>
                <c:ptCount val="7"/>
                <c:pt idx="0">
                  <c:v>-3.254698101893229E-3</c:v>
                </c:pt>
                <c:pt idx="1">
                  <c:v>-3.4290537059923692E-3</c:v>
                </c:pt>
                <c:pt idx="2">
                  <c:v>-3.5480338035921459E-3</c:v>
                </c:pt>
                <c:pt idx="3">
                  <c:v>-3.6092190502807556E-3</c:v>
                </c:pt>
                <c:pt idx="4">
                  <c:v>-3.6716840859161845E-3</c:v>
                </c:pt>
                <c:pt idx="5">
                  <c:v>-3.5594760209237079E-3</c:v>
                </c:pt>
                <c:pt idx="6">
                  <c:v>-3.4560097418387045E-3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D8-924A-9643-3BFD237CF585}"/>
            </c:ext>
          </c:extLst>
        </c:ser>
        <c:ser>
          <c:idx val="3"/>
          <c:order val="3"/>
          <c:tx>
            <c:strRef>
              <c:f>'Part 3'!$J$64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3'!$J$65:$J$71</c:f>
              <c:numCache>
                <c:formatCode>0.0000</c:formatCode>
                <c:ptCount val="7"/>
                <c:pt idx="0">
                  <c:v>-2.0053683226272938E-3</c:v>
                </c:pt>
                <c:pt idx="1">
                  <c:v>-2.12056503964311E-3</c:v>
                </c:pt>
                <c:pt idx="2">
                  <c:v>-2.2737398114992054E-3</c:v>
                </c:pt>
                <c:pt idx="3">
                  <c:v>-2.3376364092978657E-3</c:v>
                </c:pt>
                <c:pt idx="4">
                  <c:v>-2.3656162307122016E-3</c:v>
                </c:pt>
                <c:pt idx="5">
                  <c:v>-2.4033287632486823E-3</c:v>
                </c:pt>
                <c:pt idx="6">
                  <c:v>-2.3581802945187805E-3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D8-924A-9643-3BFD237CF585}"/>
            </c:ext>
          </c:extLst>
        </c:ser>
        <c:ser>
          <c:idx val="4"/>
          <c:order val="4"/>
          <c:tx>
            <c:strRef>
              <c:f>'Part 3'!$K$64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3'!$K$65:$K$71</c:f>
              <c:numCache>
                <c:formatCode>0.0000</c:formatCode>
                <c:ptCount val="7"/>
                <c:pt idx="0">
                  <c:v>-1.3292131197314106E-3</c:v>
                </c:pt>
                <c:pt idx="1">
                  <c:v>-1.438693456852564E-3</c:v>
                </c:pt>
                <c:pt idx="2">
                  <c:v>-1.5599564329287553E-3</c:v>
                </c:pt>
                <c:pt idx="3">
                  <c:v>-1.6372535039252646E-3</c:v>
                </c:pt>
                <c:pt idx="4">
                  <c:v>-1.7041555996278549E-3</c:v>
                </c:pt>
                <c:pt idx="5">
                  <c:v>-1.7128991571604792E-3</c:v>
                </c:pt>
                <c:pt idx="6">
                  <c:v>-1.6954660458542384E-3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D8-924A-9643-3BFD237CF585}"/>
            </c:ext>
          </c:extLst>
        </c:ser>
        <c:ser>
          <c:idx val="5"/>
          <c:order val="5"/>
          <c:tx>
            <c:strRef>
              <c:f>'Part 3'!$L$64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3'!$L$65:$L$71</c:f>
              <c:numCache>
                <c:formatCode>0.0000</c:formatCode>
                <c:ptCount val="7"/>
                <c:pt idx="0">
                  <c:v>-1.1456950319398208E-3</c:v>
                </c:pt>
                <c:pt idx="1">
                  <c:v>-1.2375872633314112E-3</c:v>
                </c:pt>
                <c:pt idx="2">
                  <c:v>-1.3266140418589467E-3</c:v>
                </c:pt>
                <c:pt idx="3">
                  <c:v>-1.3821496497133747E-3</c:v>
                </c:pt>
                <c:pt idx="4">
                  <c:v>-1.4367062411677659E-3</c:v>
                </c:pt>
                <c:pt idx="5">
                  <c:v>-1.4709736702071287E-3</c:v>
                </c:pt>
                <c:pt idx="6">
                  <c:v>-1.4747155253193485E-3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D8-924A-9643-3BFD237CF585}"/>
            </c:ext>
          </c:extLst>
        </c:ser>
        <c:ser>
          <c:idx val="6"/>
          <c:order val="6"/>
          <c:tx>
            <c:strRef>
              <c:f>'Part 3'!$M$64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3'!$F$65:$F$71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3'!$M$65:$M$71</c:f>
              <c:numCache>
                <c:formatCode>0.0000</c:formatCode>
                <c:ptCount val="7"/>
                <c:pt idx="0">
                  <c:v>-3.6674959546838069E-4</c:v>
                </c:pt>
                <c:pt idx="1">
                  <c:v>-4.3860516599078324E-4</c:v>
                </c:pt>
                <c:pt idx="2">
                  <c:v>-4.9839908468681166E-4</c:v>
                </c:pt>
                <c:pt idx="3">
                  <c:v>-5.5397387338660092E-4</c:v>
                </c:pt>
                <c:pt idx="4">
                  <c:v>-6.0965762948455248E-4</c:v>
                </c:pt>
                <c:pt idx="5">
                  <c:v>-6.4943125323045745E-4</c:v>
                </c:pt>
                <c:pt idx="6">
                  <c:v>-6.7786429630844883E-4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D8-924A-9643-3BFD237CF58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56673983"/>
        <c:axId val="94926400"/>
        <c:axId val="2063805439"/>
      </c:surface3DChart>
      <c:catAx>
        <c:axId val="1956673983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26400"/>
        <c:crosses val="autoZero"/>
        <c:auto val="1"/>
        <c:lblAlgn val="ctr"/>
        <c:lblOffset val="100"/>
        <c:noMultiLvlLbl val="0"/>
      </c:catAx>
      <c:valAx>
        <c:axId val="949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6673983"/>
        <c:crosses val="autoZero"/>
        <c:crossBetween val="midCat"/>
      </c:valAx>
      <c:serAx>
        <c:axId val="20638054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9264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Rho-VBA</a:t>
            </a:r>
          </a:p>
        </c:rich>
      </c:tx>
      <c:layout>
        <c:manualLayout>
          <c:xMode val="edge"/>
          <c:yMode val="edge"/>
          <c:x val="0.42919043454481443"/>
          <c:y val="2.3148231744836777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'Part 3'!$G$83</c:f>
              <c:strCache>
                <c:ptCount val="1"/>
                <c:pt idx="0">
                  <c:v>15/05/26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3'!$G$84:$G$90</c:f>
              <c:numCache>
                <c:formatCode>0.0000</c:formatCode>
                <c:ptCount val="7"/>
                <c:pt idx="0">
                  <c:v>3.1744207386229482E-3</c:v>
                </c:pt>
                <c:pt idx="1">
                  <c:v>3.1494621438592015E-3</c:v>
                </c:pt>
                <c:pt idx="2">
                  <c:v>3.0027916013915827E-3</c:v>
                </c:pt>
                <c:pt idx="3">
                  <c:v>2.6812171603678215E-3</c:v>
                </c:pt>
                <c:pt idx="4">
                  <c:v>2.2329240035656108E-3</c:v>
                </c:pt>
                <c:pt idx="5">
                  <c:v>1.7358833892930593E-3</c:v>
                </c:pt>
                <c:pt idx="6">
                  <c:v>1.28132945613324E-3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C84D-9C52-2E780FF6B6D5}"/>
            </c:ext>
          </c:extLst>
        </c:ser>
        <c:ser>
          <c:idx val="1"/>
          <c:order val="1"/>
          <c:tx>
            <c:strRef>
              <c:f>'Part 3'!$H$83</c:f>
              <c:strCache>
                <c:ptCount val="1"/>
                <c:pt idx="0">
                  <c:v>19/06/26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3'!$H$84:$H$90</c:f>
              <c:numCache>
                <c:formatCode>0.0000</c:formatCode>
                <c:ptCount val="7"/>
                <c:pt idx="0">
                  <c:v>6.2304828176680573E-3</c:v>
                </c:pt>
                <c:pt idx="1">
                  <c:v>6.1550996332157739E-3</c:v>
                </c:pt>
                <c:pt idx="2">
                  <c:v>5.8602061591399926E-3</c:v>
                </c:pt>
                <c:pt idx="3">
                  <c:v>5.3735459596186167E-3</c:v>
                </c:pt>
                <c:pt idx="4">
                  <c:v>4.7344178470361585E-3</c:v>
                </c:pt>
                <c:pt idx="5">
                  <c:v>4.0112610134802381E-3</c:v>
                </c:pt>
                <c:pt idx="6">
                  <c:v>3.2809484125736759E-3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C6-C84D-9C52-2E780FF6B6D5}"/>
            </c:ext>
          </c:extLst>
        </c:ser>
        <c:ser>
          <c:idx val="2"/>
          <c:order val="2"/>
          <c:tx>
            <c:strRef>
              <c:f>'Part 3'!$I$83</c:f>
              <c:strCache>
                <c:ptCount val="1"/>
                <c:pt idx="0">
                  <c:v>18/09/26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3'!$I$84:$I$90</c:f>
              <c:numCache>
                <c:formatCode>0.0000</c:formatCode>
                <c:ptCount val="7"/>
                <c:pt idx="0">
                  <c:v>1.3087561751882255E-2</c:v>
                </c:pt>
                <c:pt idx="1">
                  <c:v>1.2875164256952185E-2</c:v>
                </c:pt>
                <c:pt idx="2">
                  <c:v>1.2385390595577759E-2</c:v>
                </c:pt>
                <c:pt idx="3">
                  <c:v>1.1627636810047309E-2</c:v>
                </c:pt>
                <c:pt idx="4">
                  <c:v>1.0659091902199564E-2</c:v>
                </c:pt>
                <c:pt idx="5">
                  <c:v>9.5731648378405525E-3</c:v>
                </c:pt>
                <c:pt idx="6">
                  <c:v>8.4693277369536392E-3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C6-C84D-9C52-2E780FF6B6D5}"/>
            </c:ext>
          </c:extLst>
        </c:ser>
        <c:ser>
          <c:idx val="3"/>
          <c:order val="3"/>
          <c:tx>
            <c:strRef>
              <c:f>'Part 3'!$J$83</c:f>
              <c:strCache>
                <c:ptCount val="1"/>
                <c:pt idx="0">
                  <c:v>18/12/26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3'!$J$84:$J$90</c:f>
              <c:numCache>
                <c:formatCode>0.0000</c:formatCode>
                <c:ptCount val="7"/>
                <c:pt idx="0">
                  <c:v>1.8775239660842151E-2</c:v>
                </c:pt>
                <c:pt idx="1">
                  <c:v>1.857359525725517E-2</c:v>
                </c:pt>
                <c:pt idx="2">
                  <c:v>1.7904996864045751E-2</c:v>
                </c:pt>
                <c:pt idx="3">
                  <c:v>1.7040749537538508E-2</c:v>
                </c:pt>
                <c:pt idx="4">
                  <c:v>1.5923993853089832E-2</c:v>
                </c:pt>
                <c:pt idx="5">
                  <c:v>1.4668490835569051E-2</c:v>
                </c:pt>
                <c:pt idx="6">
                  <c:v>1.3333291828179501E-2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C6-C84D-9C52-2E780FF6B6D5}"/>
            </c:ext>
          </c:extLst>
        </c:ser>
        <c:ser>
          <c:idx val="4"/>
          <c:order val="4"/>
          <c:tx>
            <c:strRef>
              <c:f>'Part 3'!$K$83</c:f>
              <c:strCache>
                <c:ptCount val="1"/>
                <c:pt idx="0">
                  <c:v>19/03/27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3'!$K$84:$K$90</c:f>
              <c:numCache>
                <c:formatCode>0.0000</c:formatCode>
                <c:ptCount val="7"/>
                <c:pt idx="0">
                  <c:v>2.3825129346816944E-2</c:v>
                </c:pt>
                <c:pt idx="1">
                  <c:v>2.3588785825847353E-2</c:v>
                </c:pt>
                <c:pt idx="2">
                  <c:v>2.2863292387873598E-2</c:v>
                </c:pt>
                <c:pt idx="3">
                  <c:v>2.1883391787134429E-2</c:v>
                </c:pt>
                <c:pt idx="4">
                  <c:v>2.0641917753831042E-2</c:v>
                </c:pt>
                <c:pt idx="5">
                  <c:v>1.9239760229464668E-2</c:v>
                </c:pt>
                <c:pt idx="6">
                  <c:v>1.7705351223983187E-2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C6-C84D-9C52-2E780FF6B6D5}"/>
            </c:ext>
          </c:extLst>
        </c:ser>
        <c:ser>
          <c:idx val="5"/>
          <c:order val="5"/>
          <c:tx>
            <c:strRef>
              <c:f>'Part 3'!$L$83</c:f>
              <c:strCache>
                <c:ptCount val="1"/>
                <c:pt idx="0">
                  <c:v>18/06/27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3'!$L$84:$L$90</c:f>
              <c:numCache>
                <c:formatCode>0.0000</c:formatCode>
                <c:ptCount val="7"/>
                <c:pt idx="0">
                  <c:v>2.68065581876645E-2</c:v>
                </c:pt>
                <c:pt idx="1">
                  <c:v>2.6822639575023066E-2</c:v>
                </c:pt>
                <c:pt idx="2">
                  <c:v>2.6404225275842918E-2</c:v>
                </c:pt>
                <c:pt idx="3">
                  <c:v>2.5725046244765196E-2</c:v>
                </c:pt>
                <c:pt idx="4">
                  <c:v>2.4715862574177495E-2</c:v>
                </c:pt>
                <c:pt idx="5">
                  <c:v>2.3516551477162341E-2</c:v>
                </c:pt>
                <c:pt idx="6">
                  <c:v>2.216377696361712E-2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C6-C84D-9C52-2E780FF6B6D5}"/>
            </c:ext>
          </c:extLst>
        </c:ser>
        <c:ser>
          <c:idx val="6"/>
          <c:order val="6"/>
          <c:tx>
            <c:strRef>
              <c:f>'Part 3'!$M$83</c:f>
              <c:strCache>
                <c:ptCount val="1"/>
                <c:pt idx="0">
                  <c:v>16/06/28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'Part 3'!$F$84:$F$90</c:f>
              <c:numCache>
                <c:formatCode>0.0</c:formatCode>
                <c:ptCount val="7"/>
                <c:pt idx="0">
                  <c:v>5.6</c:v>
                </c:pt>
                <c:pt idx="1">
                  <c:v>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7.6</c:v>
                </c:pt>
                <c:pt idx="6">
                  <c:v>8</c:v>
                </c:pt>
              </c:numCache>
            </c:numRef>
          </c:cat>
          <c:val>
            <c:numRef>
              <c:f>'Part 3'!$M$84:$M$90</c:f>
              <c:numCache>
                <c:formatCode>0.0000</c:formatCode>
                <c:ptCount val="7"/>
                <c:pt idx="0">
                  <c:v>3.7048408928015822E-2</c:v>
                </c:pt>
                <c:pt idx="1">
                  <c:v>3.7725692998811594E-2</c:v>
                </c:pt>
                <c:pt idx="2">
                  <c:v>3.8032630655962706E-2</c:v>
                </c:pt>
                <c:pt idx="3">
                  <c:v>3.783716496445004E-2</c:v>
                </c:pt>
                <c:pt idx="4">
                  <c:v>3.7196733111501616E-2</c:v>
                </c:pt>
                <c:pt idx="5">
                  <c:v>3.6375268691955009E-2</c:v>
                </c:pt>
                <c:pt idx="6">
                  <c:v>3.5321270259574648E-2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C6-C84D-9C52-2E780FF6B6D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85306879"/>
        <c:axId val="111761536"/>
        <c:axId val="1894985727"/>
      </c:surface3DChart>
      <c:catAx>
        <c:axId val="1885306879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36"/>
        <c:crosses val="autoZero"/>
        <c:auto val="1"/>
        <c:lblAlgn val="ctr"/>
        <c:lblOffset val="100"/>
        <c:noMultiLvlLbl val="0"/>
      </c:catAx>
      <c:valAx>
        <c:axId val="11176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5306879"/>
        <c:crosses val="autoZero"/>
        <c:crossBetween val="midCat"/>
      </c:valAx>
      <c:serAx>
        <c:axId val="18949857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47051</xdr:colOff>
      <xdr:row>106</xdr:row>
      <xdr:rowOff>184913</xdr:rowOff>
    </xdr:from>
    <xdr:to>
      <xdr:col>33</xdr:col>
      <xdr:colOff>487726</xdr:colOff>
      <xdr:row>120</xdr:row>
      <xdr:rowOff>173897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63BF3E4-32CB-ED9E-6D2E-C74B7B0CD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123557</xdr:colOff>
      <xdr:row>106</xdr:row>
      <xdr:rowOff>40318</xdr:rowOff>
    </xdr:from>
    <xdr:to>
      <xdr:col>39</xdr:col>
      <xdr:colOff>710359</xdr:colOff>
      <xdr:row>120</xdr:row>
      <xdr:rowOff>73062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DF6722D2-9799-0B5B-AAFB-B6D7AD52B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475485</xdr:colOff>
      <xdr:row>105</xdr:row>
      <xdr:rowOff>108408</xdr:rowOff>
    </xdr:from>
    <xdr:to>
      <xdr:col>46</xdr:col>
      <xdr:colOff>359195</xdr:colOff>
      <xdr:row>120</xdr:row>
      <xdr:rowOff>73062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CFA5BA3-F3C2-804E-36FB-F77DCBA747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15875</xdr:colOff>
      <xdr:row>123</xdr:row>
      <xdr:rowOff>57150</xdr:rowOff>
    </xdr:from>
    <xdr:to>
      <xdr:col>33</xdr:col>
      <xdr:colOff>460375</xdr:colOff>
      <xdr:row>137</xdr:row>
      <xdr:rowOff>133350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C7A1A57A-BE02-9E22-E92A-77326BEF8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460375</xdr:colOff>
      <xdr:row>122</xdr:row>
      <xdr:rowOff>184150</xdr:rowOff>
    </xdr:from>
    <xdr:to>
      <xdr:col>40</xdr:col>
      <xdr:colOff>79375</xdr:colOff>
      <xdr:row>137</xdr:row>
      <xdr:rowOff>69850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9FA1565D-F8F2-6860-5173-A819D8F4F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111125</xdr:colOff>
      <xdr:row>122</xdr:row>
      <xdr:rowOff>152400</xdr:rowOff>
    </xdr:from>
    <xdr:to>
      <xdr:col>46</xdr:col>
      <xdr:colOff>555625</xdr:colOff>
      <xdr:row>137</xdr:row>
      <xdr:rowOff>38100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2736AEAF-F5A9-5795-2BA5-CA946D094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47625</xdr:colOff>
      <xdr:row>140</xdr:row>
      <xdr:rowOff>88900</xdr:rowOff>
    </xdr:from>
    <xdr:to>
      <xdr:col>33</xdr:col>
      <xdr:colOff>492125</xdr:colOff>
      <xdr:row>154</xdr:row>
      <xdr:rowOff>165100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54384BC7-56DA-8BC3-1EF4-673D0A747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619125</xdr:colOff>
      <xdr:row>140</xdr:row>
      <xdr:rowOff>57150</xdr:rowOff>
    </xdr:from>
    <xdr:to>
      <xdr:col>40</xdr:col>
      <xdr:colOff>238125</xdr:colOff>
      <xdr:row>154</xdr:row>
      <xdr:rowOff>133350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BD348019-EE9C-A524-A208-81348819E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269875</xdr:colOff>
      <xdr:row>139</xdr:row>
      <xdr:rowOff>57150</xdr:rowOff>
    </xdr:from>
    <xdr:to>
      <xdr:col>46</xdr:col>
      <xdr:colOff>714375</xdr:colOff>
      <xdr:row>153</xdr:row>
      <xdr:rowOff>133350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69F21E54-96C6-A39D-9901-18B808197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238125</xdr:colOff>
      <xdr:row>156</xdr:row>
      <xdr:rowOff>25400</xdr:rowOff>
    </xdr:from>
    <xdr:to>
      <xdr:col>33</xdr:col>
      <xdr:colOff>682625</xdr:colOff>
      <xdr:row>170</xdr:row>
      <xdr:rowOff>101600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59954CE2-A99D-C867-BCE2-B640D662F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15875</xdr:colOff>
      <xdr:row>156</xdr:row>
      <xdr:rowOff>57150</xdr:rowOff>
    </xdr:from>
    <xdr:to>
      <xdr:col>40</xdr:col>
      <xdr:colOff>460375</xdr:colOff>
      <xdr:row>170</xdr:row>
      <xdr:rowOff>133350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D939000F-1D3B-25D7-7D2D-B615CF40D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396875</xdr:colOff>
      <xdr:row>155</xdr:row>
      <xdr:rowOff>184150</xdr:rowOff>
    </xdr:from>
    <xdr:to>
      <xdr:col>47</xdr:col>
      <xdr:colOff>15875</xdr:colOff>
      <xdr:row>170</xdr:row>
      <xdr:rowOff>69850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E0E6445F-1110-FE69-AF57-0CAD8FEDA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28</xdr:col>
      <xdr:colOff>206375</xdr:colOff>
      <xdr:row>172</xdr:row>
      <xdr:rowOff>184150</xdr:rowOff>
    </xdr:from>
    <xdr:to>
      <xdr:col>33</xdr:col>
      <xdr:colOff>650875</xdr:colOff>
      <xdr:row>187</xdr:row>
      <xdr:rowOff>69850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91AD6708-C4AF-23CE-FD24-8CAF9DEC5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41</xdr:col>
      <xdr:colOff>396875</xdr:colOff>
      <xdr:row>172</xdr:row>
      <xdr:rowOff>25400</xdr:rowOff>
    </xdr:from>
    <xdr:to>
      <xdr:col>47</xdr:col>
      <xdr:colOff>15875</xdr:colOff>
      <xdr:row>186</xdr:row>
      <xdr:rowOff>101600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D23EBEB-8FD4-B701-47A6-142EA39C9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35</xdr:col>
      <xdr:colOff>238125</xdr:colOff>
      <xdr:row>172</xdr:row>
      <xdr:rowOff>88900</xdr:rowOff>
    </xdr:from>
    <xdr:to>
      <xdr:col>40</xdr:col>
      <xdr:colOff>682625</xdr:colOff>
      <xdr:row>186</xdr:row>
      <xdr:rowOff>165100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C574FDA-0330-B38B-1A1A-D8A1FE91F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812362</xdr:colOff>
      <xdr:row>56</xdr:row>
      <xdr:rowOff>29779</xdr:rowOff>
    </xdr:from>
    <xdr:to>
      <xdr:col>34</xdr:col>
      <xdr:colOff>391948</xdr:colOff>
      <xdr:row>70</xdr:row>
      <xdr:rowOff>14013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CD5F82F-C057-CE8B-9ED2-7E0229DEB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790466</xdr:colOff>
      <xdr:row>56</xdr:row>
      <xdr:rowOff>7883</xdr:rowOff>
    </xdr:from>
    <xdr:to>
      <xdr:col>40</xdr:col>
      <xdr:colOff>370052</xdr:colOff>
      <xdr:row>69</xdr:row>
      <xdr:rowOff>189186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56D27E0-AFF7-D623-5519-3180CDB89C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659085</xdr:colOff>
      <xdr:row>56</xdr:row>
      <xdr:rowOff>29779</xdr:rowOff>
    </xdr:from>
    <xdr:to>
      <xdr:col>46</xdr:col>
      <xdr:colOff>238672</xdr:colOff>
      <xdr:row>70</xdr:row>
      <xdr:rowOff>14013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3058011D-B97D-A2A7-A233-6D36C07EB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527707</xdr:colOff>
      <xdr:row>73</xdr:row>
      <xdr:rowOff>139262</xdr:rowOff>
    </xdr:from>
    <xdr:to>
      <xdr:col>34</xdr:col>
      <xdr:colOff>107293</xdr:colOff>
      <xdr:row>87</xdr:row>
      <xdr:rowOff>123496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A0D1737-6FEB-E962-A1F4-5B8D51DB4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24086</xdr:colOff>
      <xdr:row>73</xdr:row>
      <xdr:rowOff>7883</xdr:rowOff>
    </xdr:from>
    <xdr:to>
      <xdr:col>40</xdr:col>
      <xdr:colOff>435741</xdr:colOff>
      <xdr:row>86</xdr:row>
      <xdr:rowOff>189186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1162E82D-8B60-1B8F-2654-302E7C3DF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812362</xdr:colOff>
      <xdr:row>72</xdr:row>
      <xdr:rowOff>161159</xdr:rowOff>
    </xdr:from>
    <xdr:to>
      <xdr:col>46</xdr:col>
      <xdr:colOff>391949</xdr:colOff>
      <xdr:row>86</xdr:row>
      <xdr:rowOff>145393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8CB2B82D-2DFD-70EA-9522-631C70F32A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527707</xdr:colOff>
      <xdr:row>89</xdr:row>
      <xdr:rowOff>7882</xdr:rowOff>
    </xdr:from>
    <xdr:to>
      <xdr:col>34</xdr:col>
      <xdr:colOff>107293</xdr:colOff>
      <xdr:row>102</xdr:row>
      <xdr:rowOff>189186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394A37BC-3217-5560-BCE4-DB8B228D4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45983</xdr:colOff>
      <xdr:row>89</xdr:row>
      <xdr:rowOff>7883</xdr:rowOff>
    </xdr:from>
    <xdr:to>
      <xdr:col>40</xdr:col>
      <xdr:colOff>457638</xdr:colOff>
      <xdr:row>102</xdr:row>
      <xdr:rowOff>189187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3F52464-FF16-82FB-8D26-7E1F20FD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45983</xdr:colOff>
      <xdr:row>89</xdr:row>
      <xdr:rowOff>29780</xdr:rowOff>
    </xdr:from>
    <xdr:to>
      <xdr:col>46</xdr:col>
      <xdr:colOff>457639</xdr:colOff>
      <xdr:row>103</xdr:row>
      <xdr:rowOff>14015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C568A600-1774-27C9-DE2B-BED7D962D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412750</xdr:colOff>
      <xdr:row>1</xdr:row>
      <xdr:rowOff>177800</xdr:rowOff>
    </xdr:from>
    <xdr:to>
      <xdr:col>22</xdr:col>
      <xdr:colOff>31750</xdr:colOff>
      <xdr:row>15</xdr:row>
      <xdr:rowOff>165100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5C82784-DDA4-EEA4-9F01-541AE52AA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733676</xdr:colOff>
      <xdr:row>24</xdr:row>
      <xdr:rowOff>140522</xdr:rowOff>
    </xdr:from>
    <xdr:to>
      <xdr:col>22</xdr:col>
      <xdr:colOff>371864</xdr:colOff>
      <xdr:row>39</xdr:row>
      <xdr:rowOff>5665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C1084DD-64E4-7C05-ABFE-C8FD66024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322069</xdr:colOff>
      <xdr:row>41</xdr:row>
      <xdr:rowOff>49810</xdr:rowOff>
    </xdr:from>
    <xdr:to>
      <xdr:col>21</xdr:col>
      <xdr:colOff>777036</xdr:colOff>
      <xdr:row>54</xdr:row>
      <xdr:rowOff>113449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F1BD956B-96D7-3872-48E8-D5346DA3D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326020</xdr:colOff>
      <xdr:row>55</xdr:row>
      <xdr:rowOff>165672</xdr:rowOff>
    </xdr:from>
    <xdr:to>
      <xdr:col>21</xdr:col>
      <xdr:colOff>780987</xdr:colOff>
      <xdr:row>69</xdr:row>
      <xdr:rowOff>173488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03244CA-99F8-D728-0724-B741BFE00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219771</xdr:colOff>
      <xdr:row>71</xdr:row>
      <xdr:rowOff>191477</xdr:rowOff>
    </xdr:from>
    <xdr:to>
      <xdr:col>21</xdr:col>
      <xdr:colOff>678029</xdr:colOff>
      <xdr:row>86</xdr:row>
      <xdr:rowOff>3908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0C4422B-F218-77DF-7203-6374C4667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188502</xdr:colOff>
      <xdr:row>88</xdr:row>
      <xdr:rowOff>141019</xdr:rowOff>
    </xdr:from>
    <xdr:to>
      <xdr:col>21</xdr:col>
      <xdr:colOff>633002</xdr:colOff>
      <xdr:row>103</xdr:row>
      <xdr:rowOff>25520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32A646FA-543A-2F5D-1D9B-D79D0D503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271971</xdr:colOff>
      <xdr:row>105</xdr:row>
      <xdr:rowOff>120051</xdr:rowOff>
    </xdr:from>
    <xdr:to>
      <xdr:col>21</xdr:col>
      <xdr:colOff>710481</xdr:colOff>
      <xdr:row>119</xdr:row>
      <xdr:rowOff>179477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607198F4-DA7B-B27E-0C80-FF378B837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82550</xdr:colOff>
      <xdr:row>12</xdr:row>
      <xdr:rowOff>12700</xdr:rowOff>
    </xdr:from>
    <xdr:to>
      <xdr:col>19</xdr:col>
      <xdr:colOff>527050</xdr:colOff>
      <xdr:row>26</xdr:row>
      <xdr:rowOff>88900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2BE1BD-93DA-39E0-90EC-A9B35BAA1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107950</xdr:colOff>
      <xdr:row>28</xdr:row>
      <xdr:rowOff>63500</xdr:rowOff>
    </xdr:from>
    <xdr:to>
      <xdr:col>19</xdr:col>
      <xdr:colOff>552450</xdr:colOff>
      <xdr:row>42</xdr:row>
      <xdr:rowOff>139700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EFC72D4-034C-B227-5D95-88344E4B27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775457</xdr:colOff>
      <xdr:row>43</xdr:row>
      <xdr:rowOff>171745</xdr:rowOff>
    </xdr:from>
    <xdr:to>
      <xdr:col>19</xdr:col>
      <xdr:colOff>402026</xdr:colOff>
      <xdr:row>58</xdr:row>
      <xdr:rowOff>13289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2E29EB9-4B0B-FD36-4EBB-9A20D33E3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60557</xdr:colOff>
      <xdr:row>61</xdr:row>
      <xdr:rowOff>11943</xdr:rowOff>
    </xdr:from>
    <xdr:to>
      <xdr:col>19</xdr:col>
      <xdr:colOff>511365</xdr:colOff>
      <xdr:row>75</xdr:row>
      <xdr:rowOff>46931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121AB8A-D1B7-306D-3D56-0AC558A60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18502</xdr:colOff>
      <xdr:row>79</xdr:row>
      <xdr:rowOff>20352</xdr:rowOff>
    </xdr:from>
    <xdr:to>
      <xdr:col>19</xdr:col>
      <xdr:colOff>469310</xdr:colOff>
      <xdr:row>93</xdr:row>
      <xdr:rowOff>55340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61C91D68-5465-41BB-0265-577D0454A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P25"/>
  <sheetViews>
    <sheetView zoomScale="121" workbookViewId="0">
      <selection activeCell="B17" sqref="B17:F20"/>
    </sheetView>
  </sheetViews>
  <sheetFormatPr baseColWidth="10" defaultColWidth="8.83203125" defaultRowHeight="15" x14ac:dyDescent="0.2"/>
  <sheetData>
    <row r="1" spans="1:16" x14ac:dyDescent="0.2">
      <c r="A1" t="s">
        <v>0</v>
      </c>
    </row>
    <row r="2" spans="1:16" x14ac:dyDescent="0.2">
      <c r="A2" t="s">
        <v>1</v>
      </c>
      <c r="B2" t="s">
        <v>2</v>
      </c>
    </row>
    <row r="3" spans="1:16" x14ac:dyDescent="0.2">
      <c r="A3" t="s">
        <v>3</v>
      </c>
      <c r="B3" t="s">
        <v>4</v>
      </c>
      <c r="F3" s="5"/>
    </row>
    <row r="4" spans="1:16" x14ac:dyDescent="0.2">
      <c r="A4" t="s">
        <v>5</v>
      </c>
      <c r="B4" t="s">
        <v>46</v>
      </c>
      <c r="P4" s="5"/>
    </row>
    <row r="5" spans="1:16" x14ac:dyDescent="0.2">
      <c r="A5" t="s">
        <v>6</v>
      </c>
      <c r="B5" t="s">
        <v>7</v>
      </c>
      <c r="H5" s="5"/>
    </row>
    <row r="6" spans="1:16" x14ac:dyDescent="0.2">
      <c r="A6" t="s">
        <v>8</v>
      </c>
      <c r="B6" t="s">
        <v>27</v>
      </c>
      <c r="I6" s="5"/>
    </row>
    <row r="7" spans="1:16" x14ac:dyDescent="0.2">
      <c r="A7" t="s">
        <v>16</v>
      </c>
      <c r="B7" t="s">
        <v>28</v>
      </c>
      <c r="I7" s="5"/>
    </row>
    <row r="9" spans="1:16" x14ac:dyDescent="0.2">
      <c r="A9" t="s">
        <v>9</v>
      </c>
      <c r="B9" t="s">
        <v>10</v>
      </c>
    </row>
    <row r="10" spans="1:16" x14ac:dyDescent="0.2">
      <c r="A10" t="s">
        <v>11</v>
      </c>
      <c r="B10" t="s">
        <v>18</v>
      </c>
      <c r="L10" s="5"/>
    </row>
    <row r="11" spans="1:16" x14ac:dyDescent="0.2">
      <c r="A11" t="s">
        <v>12</v>
      </c>
      <c r="B11" t="s">
        <v>13</v>
      </c>
      <c r="M11" s="5"/>
    </row>
    <row r="12" spans="1:16" x14ac:dyDescent="0.2">
      <c r="A12" t="s">
        <v>14</v>
      </c>
      <c r="B12" t="s">
        <v>15</v>
      </c>
      <c r="G12" s="5"/>
    </row>
    <row r="13" spans="1:16" x14ac:dyDescent="0.2">
      <c r="A13" t="s">
        <v>16</v>
      </c>
      <c r="B13" t="s">
        <v>17</v>
      </c>
      <c r="H13" s="5"/>
    </row>
    <row r="14" spans="1:16" x14ac:dyDescent="0.2">
      <c r="A14" t="s">
        <v>22</v>
      </c>
      <c r="B14" t="s">
        <v>23</v>
      </c>
      <c r="H14" s="5"/>
    </row>
    <row r="16" spans="1:16" x14ac:dyDescent="0.2">
      <c r="A16" t="s">
        <v>19</v>
      </c>
      <c r="B16" t="s">
        <v>20</v>
      </c>
    </row>
    <row r="17" spans="1:10" x14ac:dyDescent="0.2">
      <c r="A17" t="s">
        <v>3</v>
      </c>
      <c r="B17" t="s">
        <v>21</v>
      </c>
      <c r="H17" s="5"/>
    </row>
    <row r="18" spans="1:10" x14ac:dyDescent="0.2">
      <c r="A18" t="s">
        <v>5</v>
      </c>
      <c r="B18" t="s">
        <v>25</v>
      </c>
      <c r="J18" s="5"/>
    </row>
    <row r="19" spans="1:10" x14ac:dyDescent="0.2">
      <c r="A19" t="s">
        <v>6</v>
      </c>
      <c r="B19" t="s">
        <v>24</v>
      </c>
      <c r="G19" s="5"/>
    </row>
    <row r="20" spans="1:10" x14ac:dyDescent="0.2">
      <c r="A20" t="s">
        <v>8</v>
      </c>
      <c r="B20" t="s">
        <v>26</v>
      </c>
      <c r="G20" s="5"/>
    </row>
    <row r="22" spans="1:10" x14ac:dyDescent="0.2">
      <c r="A22" t="s">
        <v>29</v>
      </c>
    </row>
    <row r="25" spans="1:10" x14ac:dyDescent="0.2">
      <c r="A25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58700-F212-D841-8A60-B9E8E149266B}">
  <sheetPr codeName="Foglio2"/>
  <dimension ref="C2:AT187"/>
  <sheetViews>
    <sheetView topLeftCell="AD131" zoomScale="140" zoomScaleNormal="140" workbookViewId="0">
      <selection activeCell="AI103" sqref="AI103"/>
    </sheetView>
  </sheetViews>
  <sheetFormatPr baseColWidth="10" defaultRowHeight="15" x14ac:dyDescent="0.2"/>
  <cols>
    <col min="9" max="9" width="12.33203125" bestFit="1" customWidth="1"/>
    <col min="28" max="28" width="14.33203125" bestFit="1" customWidth="1"/>
  </cols>
  <sheetData>
    <row r="2" spans="3:25" ht="19" x14ac:dyDescent="0.25">
      <c r="H2" s="24" t="s">
        <v>35</v>
      </c>
    </row>
    <row r="3" spans="3:25" ht="19" x14ac:dyDescent="0.25">
      <c r="C3" s="24" t="s">
        <v>31</v>
      </c>
      <c r="D3" s="24" t="s">
        <v>32</v>
      </c>
      <c r="E3" s="24" t="s">
        <v>33</v>
      </c>
      <c r="G3" s="24" t="s">
        <v>34</v>
      </c>
      <c r="I3">
        <v>60</v>
      </c>
      <c r="J3">
        <v>65</v>
      </c>
      <c r="K3">
        <v>70</v>
      </c>
      <c r="L3">
        <v>75</v>
      </c>
      <c r="M3">
        <v>80</v>
      </c>
      <c r="N3">
        <v>85</v>
      </c>
      <c r="O3">
        <v>90</v>
      </c>
      <c r="P3">
        <v>95</v>
      </c>
      <c r="Q3">
        <v>100</v>
      </c>
      <c r="R3">
        <v>105</v>
      </c>
      <c r="S3">
        <v>110</v>
      </c>
      <c r="T3">
        <v>115</v>
      </c>
      <c r="U3">
        <v>120</v>
      </c>
      <c r="V3">
        <v>125</v>
      </c>
      <c r="W3">
        <v>130</v>
      </c>
      <c r="X3">
        <v>135</v>
      </c>
      <c r="Y3">
        <v>140</v>
      </c>
    </row>
    <row r="4" spans="3:25" x14ac:dyDescent="0.2">
      <c r="C4">
        <v>100</v>
      </c>
      <c r="D4" s="1">
        <v>0.01</v>
      </c>
      <c r="E4">
        <v>0.2</v>
      </c>
      <c r="H4">
        <v>0.1</v>
      </c>
    </row>
    <row r="5" spans="3:25" x14ac:dyDescent="0.2">
      <c r="E5">
        <v>0.1</v>
      </c>
      <c r="H5">
        <v>0.2</v>
      </c>
    </row>
    <row r="6" spans="3:25" x14ac:dyDescent="0.2">
      <c r="E6">
        <v>0.3</v>
      </c>
      <c r="H6">
        <v>0.3</v>
      </c>
    </row>
    <row r="7" spans="3:25" x14ac:dyDescent="0.2">
      <c r="H7">
        <v>0.4</v>
      </c>
    </row>
    <row r="8" spans="3:25" x14ac:dyDescent="0.2">
      <c r="H8">
        <v>0.5</v>
      </c>
    </row>
    <row r="9" spans="3:25" x14ac:dyDescent="0.2">
      <c r="H9">
        <v>0.6</v>
      </c>
    </row>
    <row r="10" spans="3:25" x14ac:dyDescent="0.2">
      <c r="H10">
        <v>0.7</v>
      </c>
    </row>
    <row r="11" spans="3:25" x14ac:dyDescent="0.2">
      <c r="H11">
        <v>0.8</v>
      </c>
    </row>
    <row r="12" spans="3:25" x14ac:dyDescent="0.2">
      <c r="H12">
        <v>0.9</v>
      </c>
    </row>
    <row r="13" spans="3:25" x14ac:dyDescent="0.2">
      <c r="H13">
        <v>1</v>
      </c>
    </row>
    <row r="14" spans="3:25" x14ac:dyDescent="0.2">
      <c r="D14" s="4">
        <v>46124</v>
      </c>
      <c r="H14">
        <v>2</v>
      </c>
    </row>
    <row r="15" spans="3:25" x14ac:dyDescent="0.2">
      <c r="H15">
        <v>3</v>
      </c>
    </row>
    <row r="16" spans="3:25" x14ac:dyDescent="0.2">
      <c r="H16">
        <v>4</v>
      </c>
    </row>
    <row r="17" spans="7:46" x14ac:dyDescent="0.2">
      <c r="H17">
        <v>5</v>
      </c>
    </row>
    <row r="20" spans="7:46" ht="37" x14ac:dyDescent="0.45">
      <c r="O20" s="2" t="s">
        <v>41</v>
      </c>
      <c r="AK20" s="3" t="s">
        <v>43</v>
      </c>
    </row>
    <row r="22" spans="7:46" x14ac:dyDescent="0.2">
      <c r="I22">
        <v>60</v>
      </c>
      <c r="J22">
        <v>65</v>
      </c>
      <c r="K22">
        <v>70</v>
      </c>
      <c r="L22">
        <v>75</v>
      </c>
      <c r="M22">
        <v>80</v>
      </c>
      <c r="N22">
        <v>85</v>
      </c>
      <c r="O22">
        <v>90</v>
      </c>
      <c r="P22">
        <v>95</v>
      </c>
      <c r="Q22">
        <v>100</v>
      </c>
      <c r="R22">
        <v>105</v>
      </c>
      <c r="S22">
        <v>110</v>
      </c>
      <c r="T22">
        <v>115</v>
      </c>
      <c r="U22">
        <v>120</v>
      </c>
      <c r="V22">
        <v>125</v>
      </c>
      <c r="W22">
        <v>130</v>
      </c>
      <c r="X22">
        <v>135</v>
      </c>
      <c r="Y22">
        <v>140</v>
      </c>
      <c r="AD22">
        <v>60</v>
      </c>
      <c r="AE22">
        <v>65</v>
      </c>
      <c r="AF22">
        <v>70</v>
      </c>
      <c r="AG22">
        <v>75</v>
      </c>
      <c r="AH22">
        <v>80</v>
      </c>
      <c r="AI22">
        <v>85</v>
      </c>
      <c r="AJ22">
        <v>90</v>
      </c>
      <c r="AK22">
        <v>95</v>
      </c>
      <c r="AL22">
        <v>100</v>
      </c>
      <c r="AM22">
        <v>105</v>
      </c>
      <c r="AN22">
        <v>110</v>
      </c>
      <c r="AO22">
        <v>115</v>
      </c>
      <c r="AP22">
        <v>120</v>
      </c>
      <c r="AQ22">
        <v>125</v>
      </c>
      <c r="AR22">
        <v>130</v>
      </c>
      <c r="AS22">
        <v>135</v>
      </c>
      <c r="AT22">
        <v>140</v>
      </c>
    </row>
    <row r="23" spans="7:46" x14ac:dyDescent="0.2">
      <c r="H23">
        <v>0.1</v>
      </c>
      <c r="I23" cm="1">
        <f t="array" ref="I23">DeltaC(I$3,$C$4,$H4,$D$4,0,$E$4)</f>
        <v>4.8964030371398776E-16</v>
      </c>
      <c r="J23" cm="1">
        <f t="array" ref="J23">DeltaC(J$3,$C$4,$H4,$D$4,0,$E$4)</f>
        <v>6.7189909908190016E-12</v>
      </c>
      <c r="K23" cm="1">
        <f t="array" ref="K23">DeltaC(K$3,$C$4,$H4,$D$4,0,$E$4)</f>
        <v>1.1217502453550677E-8</v>
      </c>
      <c r="L23" cm="1">
        <f t="array" ref="L23">DeltaC(L$3,$C$4,$H4,$D$4,0,$E$4)</f>
        <v>3.3782456328086734E-6</v>
      </c>
      <c r="M23" cm="1">
        <f t="array" ref="M23">DeltaC(M$3,$C$4,$H4,$D$4,0,$E$4)</f>
        <v>2.4998248472572982E-4</v>
      </c>
      <c r="N23" cm="1">
        <f t="array" ref="N23">DeltaC(N$3,$C$4,$H4,$D$4,0,$E$4)</f>
        <v>5.830908137902522E-3</v>
      </c>
      <c r="O23" cm="1">
        <f t="array" ref="O23">DeltaC(O$3,$C$4,$H4,$D$4,0,$E$4)</f>
        <v>5.2781549996934879E-2</v>
      </c>
      <c r="P23" cm="1">
        <f t="array" ref="P23">DeltaC(P$3,$C$4,$H4,$D$4,0,$E$4)</f>
        <v>0.22255758462414449</v>
      </c>
      <c r="Q23" cm="1">
        <f t="array" ref="Q23">DeltaC(Q$3,$C$4,$H4,$D$4,0,$E$4)</f>
        <v>0.51891639999929629</v>
      </c>
      <c r="R23" cm="1">
        <f t="array" ref="R23">DeltaC(R$3,$C$4,$H4,$D$4,0,$E$4)</f>
        <v>0.79357096026156482</v>
      </c>
      <c r="S23" cm="1">
        <f t="array" ref="S23">DeltaC(S$3,$C$4,$H4,$D$4,0,$E$4)</f>
        <v>0.93995791805464912</v>
      </c>
      <c r="T23" cm="1">
        <f t="array" ref="T23">DeltaC(T$3,$C$4,$H4,$D$4,0,$E$4)</f>
        <v>0.98800422406854482</v>
      </c>
      <c r="U23" cm="1">
        <f t="array" ref="U23">DeltaC(U$3,$C$4,$H4,$D$4,0,$E$4)</f>
        <v>0.99830623193923973</v>
      </c>
      <c r="V23" cm="1">
        <f t="array" ref="V23">DeltaC(V$3,$C$4,$H4,$D$4,0,$E$4)</f>
        <v>0.99982531626414572</v>
      </c>
      <c r="W23" cm="1">
        <f t="array" ref="W23">DeltaC(W$3,$C$4,$H4,$D$4,0,$E$4)</f>
        <v>0.99998640314018139</v>
      </c>
      <c r="X23" cm="1">
        <f t="array" ref="X23">DeltaC(X$3,$C$4,$H4,$D$4,0,$E$4)</f>
        <v>0.99999917643923686</v>
      </c>
      <c r="Y23" cm="1">
        <f t="array" ref="Y23">DeltaC(Y$3,$C$4,$H4,$D$4,0,$E$4)</f>
        <v>0.99999996008829672</v>
      </c>
      <c r="AC23">
        <v>0.1</v>
      </c>
      <c r="AD23" cm="1">
        <f t="array" ref="AD23">DeltaC(I$3,$C$4,$H4,$D$4,0,$E$5)</f>
        <v>1.152199866581208E-58</v>
      </c>
      <c r="AE23" cm="1">
        <f t="array" ref="AE23">DeltaC(J$3,$C$4,$H4,$D$4,0,$E$5)</f>
        <v>2.8126612880569749E-42</v>
      </c>
      <c r="AF23" cm="1">
        <f t="array" ref="AF23">DeltaC(K$3,$C$4,$H4,$D$4,0,$E$5)</f>
        <v>1.4260381787833992E-29</v>
      </c>
      <c r="AG23" cm="1">
        <f t="array" ref="AG23">DeltaC(L$3,$C$4,$H4,$D$4,0,$E$5)</f>
        <v>7.1568181094979558E-20</v>
      </c>
      <c r="AH23" cm="1">
        <f t="array" ref="AH23">DeltaC(M$3,$C$4,$H4,$D$4,0,$E$5)</f>
        <v>1.2002701474206063E-12</v>
      </c>
      <c r="AI23" cm="1">
        <f t="array" ref="AI23">DeltaC(N$3,$C$4,$H4,$D$4,0,$E$5)</f>
        <v>1.7727866846205845E-7</v>
      </c>
      <c r="AJ23" cm="1">
        <f t="array" ref="AJ23">DeltaC(O$3,$C$4,$H4,$D$4,0,$E$5)</f>
        <v>5.1107517146907055E-4</v>
      </c>
      <c r="AK23" cm="1">
        <f t="array" ref="AK23">DeltaC(P$3,$C$4,$H4,$D$4,0,$E$5)</f>
        <v>5.7674144516076838E-2</v>
      </c>
      <c r="AL23" cm="1">
        <f t="array" ref="AL23">DeltaC(Q$3,$C$4,$H4,$D$4,0,$E$5)</f>
        <v>0.51891639999929629</v>
      </c>
      <c r="AM23" cm="1">
        <f t="array" ref="AM23">DeltaC(R$3,$C$4,$H4,$D$4,0,$E$5)</f>
        <v>0.94411804837488877</v>
      </c>
      <c r="AN23" cm="1">
        <f t="array" ref="AN23">DeltaC(S$3,$C$4,$H4,$D$4,0,$E$5)</f>
        <v>0.99889850177275419</v>
      </c>
      <c r="AO23" cm="1">
        <f t="array" ref="AO23">DeltaC(T$3,$C$4,$H4,$D$4,0,$E$5)</f>
        <v>0.99999603555087258</v>
      </c>
      <c r="AP23" cm="1">
        <f t="array" ref="AP23">DeltaC(U$3,$C$4,$H4,$D$4,0,$E$5)</f>
        <v>0.99999999693089381</v>
      </c>
      <c r="AQ23" cm="1">
        <f t="array" ref="AQ23">DeltaC(V$3,$C$4,$H4,$D$4,0,$E$5)</f>
        <v>0.99999999999939337</v>
      </c>
      <c r="AR23" cm="1">
        <f t="array" ref="AR23">DeltaC(W$3,$C$4,$H4,$D$4,0,$E$5)</f>
        <v>1</v>
      </c>
      <c r="AS23" cm="1">
        <f t="array" ref="AS23">DeltaC(X$3,$C$4,$H4,$D$4,0,$E$5)</f>
        <v>1</v>
      </c>
      <c r="AT23" cm="1">
        <f t="array" ref="AT23">DeltaC(Y$3,$C$4,$H4,$D$4,0,$E$5)</f>
        <v>1</v>
      </c>
    </row>
    <row r="24" spans="7:46" x14ac:dyDescent="0.2">
      <c r="G24" t="s">
        <v>39</v>
      </c>
      <c r="H24">
        <v>0.2</v>
      </c>
      <c r="I24" cm="1">
        <f t="array" ref="I24">DeltaC(I$3,$C$4,$H5,$D$4,0,$E$4)</f>
        <v>8.3013130785334355E-9</v>
      </c>
      <c r="J24" cm="1">
        <f t="array" ref="J24">DeltaC(J$3,$C$4,$H5,$D$4,0,$E$4)</f>
        <v>1.0210267589266487E-6</v>
      </c>
      <c r="K24" cm="1">
        <f t="array" ref="K24">DeltaC(K$3,$C$4,$H5,$D$4,0,$E$4)</f>
        <v>4.4152463014191854E-5</v>
      </c>
      <c r="L24" cm="1">
        <f t="array" ref="L24">DeltaC(L$3,$C$4,$H5,$D$4,0,$E$4)</f>
        <v>8.1830678243053191E-4</v>
      </c>
      <c r="M24" cm="1">
        <f t="array" ref="M24">DeltaC(M$3,$C$4,$H5,$D$4,0,$E$4)</f>
        <v>7.5966424381891376E-3</v>
      </c>
      <c r="N24" cm="1">
        <f t="array" ref="N24">DeltaC(N$3,$C$4,$H5,$D$4,0,$E$4)</f>
        <v>4.006477982445996E-2</v>
      </c>
      <c r="O24" cm="1">
        <f t="array" ref="O24">DeltaC(O$3,$C$4,$H5,$D$4,0,$E$4)</f>
        <v>0.13330906924780192</v>
      </c>
      <c r="P24" cm="1">
        <f t="array" ref="P24">DeltaC(P$3,$C$4,$H5,$D$4,0,$E$4)</f>
        <v>0.3062898934344146</v>
      </c>
      <c r="Q24" cm="1">
        <f t="array" ref="Q24">DeltaC(Q$3,$C$4,$H5,$D$4,0,$E$4)</f>
        <v>0.5267418038869226</v>
      </c>
      <c r="R24" cm="1">
        <f t="array" ref="R24">DeltaC(R$3,$C$4,$H5,$D$4,0,$E$4)</f>
        <v>0.72992052908241489</v>
      </c>
      <c r="S24" cm="1">
        <f t="array" ref="S24">DeltaC(S$3,$C$4,$H5,$D$4,0,$E$4)</f>
        <v>0.87132614165736733</v>
      </c>
      <c r="T24" cm="1">
        <f t="array" ref="T24">DeltaC(T$3,$C$4,$H5,$D$4,0,$E$4)</f>
        <v>0.94841416414843493</v>
      </c>
      <c r="U24" cm="1">
        <f t="array" ref="U24">DeltaC(U$3,$C$4,$H5,$D$4,0,$E$4)</f>
        <v>0.9823760534317052</v>
      </c>
      <c r="V24" cm="1">
        <f t="array" ref="V24">DeltaC(V$3,$C$4,$H5,$D$4,0,$E$4)</f>
        <v>0.99479497737862488</v>
      </c>
      <c r="W24" cm="1">
        <f t="array" ref="W24">DeltaC(W$3,$C$4,$H5,$D$4,0,$E$4)</f>
        <v>0.99865188998007925</v>
      </c>
      <c r="X24" cm="1">
        <f t="array" ref="X24">DeltaC(X$3,$C$4,$H5,$D$4,0,$E$4)</f>
        <v>0.99968959215435294</v>
      </c>
      <c r="Y24" cm="1">
        <f t="array" ref="Y24">DeltaC(Y$3,$C$4,$H5,$D$4,0,$E$4)</f>
        <v>0.99993565599706147</v>
      </c>
      <c r="AB24" t="s">
        <v>39</v>
      </c>
      <c r="AC24">
        <v>0.2</v>
      </c>
      <c r="AD24" cm="1">
        <f t="array" ref="AD24">DeltaC(I$3,$C$4,$H5,$D$4,0,$E$5)</f>
        <v>3.4889502026674058E-30</v>
      </c>
      <c r="AE24" cm="1">
        <f t="array" ref="AE24">DeltaC(J$3,$C$4,$H5,$D$4,0,$E$5)</f>
        <v>5.5821144851585946E-22</v>
      </c>
      <c r="AF24" cm="1">
        <f t="array" ref="AF24">DeltaC(K$3,$C$4,$H5,$D$4,0,$E$5)</f>
        <v>1.3034623767509508E-15</v>
      </c>
      <c r="AG24" cm="1">
        <f t="array" ref="AG24">DeltaC(L$3,$C$4,$H5,$D$4,0,$E$5)</f>
        <v>9.7210253802256359E-11</v>
      </c>
      <c r="AH24" cm="1">
        <f t="array" ref="AH24">DeltaC(M$3,$C$4,$H5,$D$4,0,$E$5)</f>
        <v>4.2709800292238633E-7</v>
      </c>
      <c r="AI24" cm="1">
        <f t="array" ref="AI24">DeltaC(N$3,$C$4,$H5,$D$4,0,$E$5)</f>
        <v>1.8057900763335667E-4</v>
      </c>
      <c r="AJ24" cm="1">
        <f t="array" ref="AJ24">DeltaC(O$3,$C$4,$H5,$D$4,0,$E$5)</f>
        <v>1.1044013907594808E-2</v>
      </c>
      <c r="AK24" cm="1">
        <f t="array" ref="AK24">DeltaC(P$3,$C$4,$H5,$D$4,0,$E$5)</f>
        <v>0.14009983864577799</v>
      </c>
      <c r="AL24" cm="1">
        <f t="array" ref="AL24">DeltaC(Q$3,$C$4,$H5,$D$4,0,$E$5)</f>
        <v>0.5267418038869226</v>
      </c>
      <c r="AM24" cm="1">
        <f t="array" ref="AM24">DeltaC(R$3,$C$4,$H5,$D$4,0,$E$5)</f>
        <v>0.87658089249568349</v>
      </c>
      <c r="AN24" cm="1">
        <f t="array" ref="AN24">DeltaC(S$3,$C$4,$H5,$D$4,0,$E$5)</f>
        <v>0.98603550784275051</v>
      </c>
      <c r="AO24" cm="1">
        <f t="array" ref="AO24">DeltaC(T$3,$C$4,$H5,$D$4,0,$E$5)</f>
        <v>0.99929416451516662</v>
      </c>
      <c r="AP24" cm="1">
        <f t="array" ref="AP24">DeltaC(U$3,$C$4,$H5,$D$4,0,$E$5)</f>
        <v>0.9999829287565416</v>
      </c>
      <c r="AQ24" cm="1">
        <f t="array" ref="AQ24">DeltaC(V$3,$C$4,$H5,$D$4,0,$E$5)</f>
        <v>0.99999978673956835</v>
      </c>
      <c r="AR24" cm="1">
        <f t="array" ref="AR24">DeltaC(W$3,$C$4,$H5,$D$4,0,$E$5)</f>
        <v>0.99999999851931465</v>
      </c>
      <c r="AS24" cm="1">
        <f t="array" ref="AS24">DeltaC(X$3,$C$4,$H5,$D$4,0,$E$5)</f>
        <v>0.99999999999389166</v>
      </c>
      <c r="AT24" cm="1">
        <f t="array" ref="AT24">DeltaC(Y$3,$C$4,$H5,$D$4,0,$E$5)</f>
        <v>0.99999999999998412</v>
      </c>
    </row>
    <row r="25" spans="7:46" x14ac:dyDescent="0.2">
      <c r="H25">
        <v>0.3</v>
      </c>
      <c r="I25" cm="1">
        <f t="array" ref="I25">DeltaC(I$3,$C$4,$H6,$D$4,0,$E$4)</f>
        <v>2.3135653326617214E-6</v>
      </c>
      <c r="J25" cm="1">
        <f t="array" ref="J25">DeltaC(J$3,$C$4,$H6,$D$4,0,$E$4)</f>
        <v>5.8978518150786922E-5</v>
      </c>
      <c r="K25" cm="1">
        <f t="array" ref="K25">DeltaC(K$3,$C$4,$H6,$D$4,0,$E$4)</f>
        <v>7.522257491842688E-4</v>
      </c>
      <c r="L25" cm="1">
        <f t="array" ref="L25">DeltaC(L$3,$C$4,$H6,$D$4,0,$E$4)</f>
        <v>5.4794346275411467E-3</v>
      </c>
      <c r="M25" cm="1">
        <f t="array" ref="M25">DeltaC(M$3,$C$4,$H6,$D$4,0,$E$4)</f>
        <v>2.5300139283739118E-2</v>
      </c>
      <c r="N25" cm="1">
        <f t="array" ref="N25">DeltaC(N$3,$C$4,$H6,$D$4,0,$E$4)</f>
        <v>8.0542811303141545E-2</v>
      </c>
      <c r="O25" cm="1">
        <f t="array" ref="O25">DeltaC(O$3,$C$4,$H6,$D$4,0,$E$4)</f>
        <v>0.18952524812777738</v>
      </c>
      <c r="P25" cm="1">
        <f t="array" ref="P25">DeltaC(P$3,$C$4,$H6,$D$4,0,$E$4)</f>
        <v>0.34971752968021519</v>
      </c>
      <c r="Q25" cm="1">
        <f t="array" ref="Q25">DeltaC(Q$3,$C$4,$H6,$D$4,0,$E$4)</f>
        <v>0.53273961671267711</v>
      </c>
      <c r="R25" cm="1">
        <f t="array" ref="R25">DeltaC(R$3,$C$4,$H6,$D$4,0,$E$4)</f>
        <v>0.70109401201543453</v>
      </c>
      <c r="S25" cm="1">
        <f t="array" ref="S25">DeltaC(S$3,$C$4,$H6,$D$4,0,$E$4)</f>
        <v>0.82950660741686155</v>
      </c>
      <c r="T25" cm="1">
        <f t="array" ref="T25">DeltaC(T$3,$C$4,$H6,$D$4,0,$E$4)</f>
        <v>0.91276887593354383</v>
      </c>
      <c r="U25" cm="1">
        <f t="array" ref="U25">DeltaC(U$3,$C$4,$H6,$D$4,0,$E$4)</f>
        <v>0.95963958476134859</v>
      </c>
      <c r="V25" cm="1">
        <f t="array" ref="V25">DeltaC(V$3,$C$4,$H6,$D$4,0,$E$4)</f>
        <v>0.98296199066116863</v>
      </c>
      <c r="W25" cm="1">
        <f t="array" ref="W25">DeltaC(W$3,$C$4,$H6,$D$4,0,$E$4)</f>
        <v>0.99337921785148087</v>
      </c>
      <c r="X25" cm="1">
        <f t="array" ref="X25">DeltaC(X$3,$C$4,$H6,$D$4,0,$E$4)</f>
        <v>0.99761170131759624</v>
      </c>
      <c r="Y25" cm="1">
        <f t="array" ref="Y25">DeltaC(Y$3,$C$4,$H6,$D$4,0,$E$4)</f>
        <v>0.99919396953371908</v>
      </c>
      <c r="AC25">
        <v>0.3</v>
      </c>
      <c r="AD25" cm="1">
        <f t="array" ref="AD25">DeltaC(I$3,$C$4,$H6,$D$4,0,$E$5)</f>
        <v>1.1850476086013817E-20</v>
      </c>
      <c r="AE25" cm="1">
        <f t="array" ref="AE25">DeltaC(J$3,$C$4,$H6,$D$4,0,$E$5)</f>
        <v>3.5461176703588463E-15</v>
      </c>
      <c r="AF25" cm="1">
        <f t="array" ref="AF25">DeltaC(K$3,$C$4,$H6,$D$4,0,$E$5)</f>
        <v>6.3883719199083708E-11</v>
      </c>
      <c r="AG25" cm="1">
        <f t="array" ref="AG25">DeltaC(L$3,$C$4,$H6,$D$4,0,$E$5)</f>
        <v>1.1693829518833768E-7</v>
      </c>
      <c r="AH25" cm="1">
        <f t="array" ref="AH25">DeltaC(M$3,$C$4,$H6,$D$4,0,$E$5)</f>
        <v>3.2777591453569817E-5</v>
      </c>
      <c r="AI25" cm="1">
        <f t="array" ref="AI25">DeltaC(N$3,$C$4,$H6,$D$4,0,$E$5)</f>
        <v>1.9569580318317646E-3</v>
      </c>
      <c r="AJ25" cm="1">
        <f t="array" ref="AJ25">DeltaC(O$3,$C$4,$H6,$D$4,0,$E$5)</f>
        <v>3.2777626460407994E-2</v>
      </c>
      <c r="AK25" cm="1">
        <f t="array" ref="AK25">DeltaC(P$3,$C$4,$H6,$D$4,0,$E$5)</f>
        <v>0.19646253524083446</v>
      </c>
      <c r="AL25" cm="1">
        <f t="array" ref="AL25">DeltaC(Q$3,$C$4,$H6,$D$4,0,$E$5)</f>
        <v>0.53273961671267711</v>
      </c>
      <c r="AM25" cm="1">
        <f t="array" ref="AM25">DeltaC(R$3,$C$4,$H6,$D$4,0,$E$5)</f>
        <v>0.83470864554501079</v>
      </c>
      <c r="AN25" cm="1">
        <f t="array" ref="AN25">DeltaC(S$3,$C$4,$H6,$D$4,0,$E$5)</f>
        <v>0.96579345861513155</v>
      </c>
      <c r="AO25" cm="1">
        <f t="array" ref="AO25">DeltaC(T$3,$C$4,$H6,$D$4,0,$E$5)</f>
        <v>0.99577886954542294</v>
      </c>
      <c r="AP25" cm="1">
        <f t="array" ref="AP25">DeltaC(U$3,$C$4,$H6,$D$4,0,$E$5)</f>
        <v>0.99967623132709937</v>
      </c>
      <c r="AQ25" cm="1">
        <f t="array" ref="AQ25">DeltaC(V$3,$C$4,$H6,$D$4,0,$E$5)</f>
        <v>0.99998381961018046</v>
      </c>
      <c r="AR25" cm="1">
        <f t="array" ref="AR25">DeltaC(W$3,$C$4,$H6,$D$4,0,$E$5)</f>
        <v>0.99999944833507226</v>
      </c>
      <c r="AS25" cm="1">
        <f t="array" ref="AS25">DeltaC(X$3,$C$4,$H6,$D$4,0,$E$5)</f>
        <v>0.9999999866108833</v>
      </c>
      <c r="AT25" cm="1">
        <f t="array" ref="AT25">DeltaC(Y$3,$C$4,$H6,$D$4,0,$E$5)</f>
        <v>0.99999999975964071</v>
      </c>
    </row>
    <row r="26" spans="7:46" x14ac:dyDescent="0.2">
      <c r="H26">
        <v>0.4</v>
      </c>
      <c r="I26" cm="1">
        <f t="array" ref="I26">DeltaC(I$3,$C$4,$H7,$D$4,0,$E$4)</f>
        <v>4.0139975424484934E-5</v>
      </c>
      <c r="J26" cm="1">
        <f t="array" ref="J26">DeltaC(J$3,$C$4,$H7,$D$4,0,$E$4)</f>
        <v>4.6519881412379274E-4</v>
      </c>
      <c r="K26" cm="1">
        <f t="array" ref="K26">DeltaC(K$3,$C$4,$H7,$D$4,0,$E$4)</f>
        <v>3.2160999955850619E-3</v>
      </c>
      <c r="L26" cm="1">
        <f t="array" ref="L26">DeltaC(L$3,$C$4,$H7,$D$4,0,$E$4)</f>
        <v>1.4648825269289092E-2</v>
      </c>
      <c r="M26" cm="1">
        <f t="array" ref="M26">DeltaC(M$3,$C$4,$H7,$D$4,0,$E$4)</f>
        <v>4.7535275559280651E-2</v>
      </c>
      <c r="N26" cm="1">
        <f t="array" ref="N26">DeltaC(N$3,$C$4,$H7,$D$4,0,$E$4)</f>
        <v>0.11703172121234477</v>
      </c>
      <c r="O26" cm="1">
        <f t="array" ref="O26">DeltaC(O$3,$C$4,$H7,$D$4,0,$E$4)</f>
        <v>0.2302330146985728</v>
      </c>
      <c r="P26" cm="1">
        <f t="array" ref="P26">DeltaC(P$3,$C$4,$H7,$D$4,0,$E$4)</f>
        <v>0.3780368656656477</v>
      </c>
      <c r="Q26" cm="1">
        <f t="array" ref="Q26">DeltaC(Q$3,$C$4,$H7,$D$4,0,$E$4)</f>
        <v>0.53779029390666466</v>
      </c>
      <c r="R26" cm="1">
        <f t="array" ref="R26">DeltaC(R$3,$C$4,$H7,$D$4,0,$E$4)</f>
        <v>0.68459548536557635</v>
      </c>
      <c r="S26" cm="1">
        <f t="array" ref="S26">DeltaC(S$3,$C$4,$H7,$D$4,0,$E$4)</f>
        <v>0.80188165059672933</v>
      </c>
      <c r="T26" cm="1">
        <f t="array" ref="T26">DeltaC(T$3,$C$4,$H7,$D$4,0,$E$4)</f>
        <v>0.88488828305391432</v>
      </c>
      <c r="U26" cm="1">
        <f t="array" ref="U26">DeltaC(U$3,$C$4,$H7,$D$4,0,$E$4)</f>
        <v>0.93776106845399343</v>
      </c>
      <c r="V26" cm="1">
        <f t="array" ref="V26">DeltaC(V$3,$C$4,$H7,$D$4,0,$E$4)</f>
        <v>0.96848451708238714</v>
      </c>
      <c r="W26" cm="1">
        <f t="array" ref="W26">DeltaC(W$3,$C$4,$H7,$D$4,0,$E$4)</f>
        <v>0.98496017489321974</v>
      </c>
      <c r="X26" cm="1">
        <f t="array" ref="X26">DeltaC(X$3,$C$4,$H7,$D$4,0,$E$4)</f>
        <v>0.99319515409537595</v>
      </c>
      <c r="Y26" cm="1">
        <f t="array" ref="Y26">DeltaC(Y$3,$C$4,$H7,$D$4,0,$E$4)</f>
        <v>0.99706463005532564</v>
      </c>
      <c r="AC26">
        <v>0.4</v>
      </c>
      <c r="AD26" cm="1">
        <f t="array" ref="AD26">DeltaC(I$3,$C$4,$H7,$D$4,0,$E$5)</f>
        <v>7.1994037560856956E-16</v>
      </c>
      <c r="AE26" cm="1">
        <f t="array" ref="AE26">DeltaC(J$3,$C$4,$H7,$D$4,0,$E$5)</f>
        <v>9.3129642843240566E-12</v>
      </c>
      <c r="AF26" cm="1">
        <f t="array" ref="AF26">DeltaC(K$3,$C$4,$H7,$D$4,0,$E$5)</f>
        <v>1.4726488482514407E-8</v>
      </c>
      <c r="AG26" cm="1">
        <f t="array" ref="AG26">DeltaC(L$3,$C$4,$H7,$D$4,0,$E$5)</f>
        <v>4.2184867637814504E-6</v>
      </c>
      <c r="AH26" cm="1">
        <f t="array" ref="AH26">DeltaC(M$3,$C$4,$H7,$D$4,0,$E$5)</f>
        <v>2.9809587513643615E-4</v>
      </c>
      <c r="AI26" cm="1">
        <f t="array" ref="AI26">DeltaC(N$3,$C$4,$H7,$D$4,0,$E$5)</f>
        <v>6.6658842436191799E-3</v>
      </c>
      <c r="AJ26" cm="1">
        <f t="array" ref="AJ26">DeltaC(O$3,$C$4,$H7,$D$4,0,$E$5)</f>
        <v>5.8088107987320343E-2</v>
      </c>
      <c r="AK26" cm="1">
        <f t="array" ref="AK26">DeltaC(P$3,$C$4,$H7,$D$4,0,$E$5)</f>
        <v>0.236949408121337</v>
      </c>
      <c r="AL26" cm="1">
        <f t="array" ref="AL26">DeltaC(Q$3,$C$4,$H7,$D$4,0,$E$5)</f>
        <v>0.53779029390666466</v>
      </c>
      <c r="AM26" cm="1">
        <f t="array" ref="AM26">DeltaC(R$3,$C$4,$H7,$D$4,0,$E$5)</f>
        <v>0.80683951354982264</v>
      </c>
      <c r="AN26" cm="1">
        <f t="array" ref="AN26">DeltaC(S$3,$C$4,$H7,$D$4,0,$E$5)</f>
        <v>0.94540611613468872</v>
      </c>
      <c r="AO26" cm="1">
        <f t="array" ref="AO26">DeltaC(T$3,$C$4,$H7,$D$4,0,$E$5)</f>
        <v>0.98940827229066197</v>
      </c>
      <c r="AP26" cm="1">
        <f t="array" ref="AP26">DeltaC(U$3,$C$4,$H7,$D$4,0,$E$5)</f>
        <v>0.99854754541412227</v>
      </c>
      <c r="AQ26" cm="1">
        <f t="array" ref="AQ26">DeltaC(V$3,$C$4,$H7,$D$4,0,$E$5)</f>
        <v>0.99985444081884667</v>
      </c>
      <c r="AR26" cm="1">
        <f t="array" ref="AR26">DeltaC(W$3,$C$4,$H7,$D$4,0,$E$5)</f>
        <v>0.99998898282504689</v>
      </c>
      <c r="AS26" cm="1">
        <f t="array" ref="AS26">DeltaC(X$3,$C$4,$H7,$D$4,0,$E$5)</f>
        <v>0.99999935060366185</v>
      </c>
      <c r="AT26" cm="1">
        <f t="array" ref="AT26">DeltaC(Y$3,$C$4,$H7,$D$4,0,$E$5)</f>
        <v>0.99999996934905533</v>
      </c>
    </row>
    <row r="27" spans="7:46" x14ac:dyDescent="0.2">
      <c r="H27">
        <v>0.5</v>
      </c>
      <c r="I27" cm="1">
        <f t="array" ref="I27">DeltaC(I$3,$C$4,$H8,$D$4,0,$E$4)</f>
        <v>2.2743341786876357E-4</v>
      </c>
      <c r="J27" cm="1">
        <f t="array" ref="J27">DeltaC(J$3,$C$4,$H8,$D$4,0,$E$4)</f>
        <v>1.6409066155964737E-3</v>
      </c>
      <c r="K27" cm="1">
        <f t="array" ref="K27">DeltaC(K$3,$C$4,$H8,$D$4,0,$E$4)</f>
        <v>7.8458863408448435E-3</v>
      </c>
      <c r="L27" cm="1">
        <f t="array" ref="L27">DeltaC(L$3,$C$4,$H8,$D$4,0,$E$4)</f>
        <v>2.6918022682862655E-2</v>
      </c>
      <c r="M27" cm="1">
        <f t="array" ref="M27">DeltaC(M$3,$C$4,$H8,$D$4,0,$E$4)</f>
        <v>7.0537829580775729E-2</v>
      </c>
      <c r="N27" cm="1">
        <f t="array" ref="N27">DeltaC(N$3,$C$4,$H8,$D$4,0,$E$4)</f>
        <v>0.14844720364554423</v>
      </c>
      <c r="O27" cm="1">
        <f t="array" ref="O27">DeltaC(O$3,$C$4,$H8,$D$4,0,$E$4)</f>
        <v>0.26142924756390218</v>
      </c>
      <c r="P27" cm="1">
        <f t="array" ref="P27">DeltaC(P$3,$C$4,$H8,$D$4,0,$E$4)</f>
        <v>0.39873130138189328</v>
      </c>
      <c r="Q27" cm="1">
        <f t="array" ref="Q27">DeltaC(Q$3,$C$4,$H8,$D$4,0,$E$4)</f>
        <v>0.54223501331161406</v>
      </c>
      <c r="R27" cm="1">
        <f t="array" ref="R27">DeltaC(R$3,$C$4,$H8,$D$4,0,$E$4)</f>
        <v>0.67402849627857031</v>
      </c>
      <c r="S27" cm="1">
        <f t="array" ref="S27">DeltaC(S$3,$C$4,$H8,$D$4,0,$E$4)</f>
        <v>0.78230772963384732</v>
      </c>
      <c r="T27" cm="1">
        <f t="array" ref="T27">DeltaC(T$3,$C$4,$H8,$D$4,0,$E$4)</f>
        <v>0.8630953437034381</v>
      </c>
      <c r="U27" cm="1">
        <f t="array" ref="U27">DeltaC(U$3,$C$4,$H8,$D$4,0,$E$4)</f>
        <v>0.91853340172068842</v>
      </c>
      <c r="V27" cm="1">
        <f t="array" ref="V27">DeltaC(V$3,$C$4,$H8,$D$4,0,$E$4)</f>
        <v>0.95390232385199913</v>
      </c>
      <c r="W27" cm="1">
        <f t="array" ref="W27">DeltaC(W$3,$C$4,$H8,$D$4,0,$E$4)</f>
        <v>0.97507573833647321</v>
      </c>
      <c r="X27" cm="1">
        <f t="array" ref="X27">DeltaC(X$3,$C$4,$H8,$D$4,0,$E$4)</f>
        <v>0.987063941065492</v>
      </c>
      <c r="Y27" cm="1">
        <f t="array" ref="Y27">DeltaC(Y$3,$C$4,$H8,$D$4,0,$E$4)</f>
        <v>0.9935275944696309</v>
      </c>
      <c r="AC27">
        <v>0.5</v>
      </c>
      <c r="AD27" cm="1">
        <f t="array" ref="AD27">DeltaC(I$3,$C$4,$H8,$D$4,0,$E$5)</f>
        <v>5.4712789718469201E-13</v>
      </c>
      <c r="AE27" cm="1">
        <f t="array" ref="AE27">DeltaC(J$3,$C$4,$H8,$D$4,0,$E$5)</f>
        <v>1.0745001039870842E-9</v>
      </c>
      <c r="AF27" cm="1">
        <f t="array" ref="AF27">DeltaC(K$3,$C$4,$H8,$D$4,0,$E$5)</f>
        <v>3.9447858056893467E-7</v>
      </c>
      <c r="AG27" cm="1">
        <f t="array" ref="AG27">DeltaC(L$3,$C$4,$H8,$D$4,0,$E$5)</f>
        <v>3.7104262232348042E-5</v>
      </c>
      <c r="AH27" cm="1">
        <f t="array" ref="AH27">DeltaC(M$3,$C$4,$H8,$D$4,0,$E$5)</f>
        <v>1.1455014907192074E-3</v>
      </c>
      <c r="AI27" cm="1">
        <f t="array" ref="AI27">DeltaC(N$3,$C$4,$H8,$D$4,0,$E$5)</f>
        <v>1.4178971876106394E-2</v>
      </c>
      <c r="AJ27" cm="1">
        <f t="array" ref="AJ27">DeltaC(O$3,$C$4,$H8,$D$4,0,$E$5)</f>
        <v>8.3185859132694412E-2</v>
      </c>
      <c r="AK27" cm="1">
        <f t="array" ref="AK27">DeltaC(P$3,$C$4,$H8,$D$4,0,$E$5)</f>
        <v>0.26784925915213059</v>
      </c>
      <c r="AL27" cm="1">
        <f t="array" ref="AL27">DeltaC(Q$3,$C$4,$H8,$D$4,0,$E$5)</f>
        <v>0.54223501331161406</v>
      </c>
      <c r="AM27" cm="1">
        <f t="array" ref="AM27">DeltaC(R$3,$C$4,$H8,$D$4,0,$E$5)</f>
        <v>0.78700233026770061</v>
      </c>
      <c r="AN27" cm="1">
        <f t="array" ref="AN27">DeltaC(S$3,$C$4,$H8,$D$4,0,$E$5)</f>
        <v>0.92702067884803829</v>
      </c>
      <c r="AO27" cm="1">
        <f t="array" ref="AO27">DeltaC(T$3,$C$4,$H8,$D$4,0,$E$5)</f>
        <v>0.98135607564044858</v>
      </c>
      <c r="AP27" cm="1">
        <f t="array" ref="AP27">DeltaC(U$3,$C$4,$H8,$D$4,0,$E$5)</f>
        <v>0.99636788743791604</v>
      </c>
      <c r="AQ27" cm="1">
        <f t="array" ref="AQ27">DeltaC(V$3,$C$4,$H8,$D$4,0,$E$5)</f>
        <v>0.99944644902317548</v>
      </c>
      <c r="AR27" cm="1">
        <f t="array" ref="AR27">DeltaC(W$3,$C$4,$H8,$D$4,0,$E$5)</f>
        <v>0.99993230917992704</v>
      </c>
      <c r="AS27" cm="1">
        <f t="array" ref="AS27">DeltaC(X$3,$C$4,$H8,$D$4,0,$E$5)</f>
        <v>0.99999319889057736</v>
      </c>
      <c r="AT27" cm="1">
        <f t="array" ref="AT27">DeltaC(Y$3,$C$4,$H8,$D$4,0,$E$5)</f>
        <v>0.99999942627332528</v>
      </c>
    </row>
    <row r="28" spans="7:46" x14ac:dyDescent="0.2">
      <c r="H28">
        <v>0.6</v>
      </c>
      <c r="I28" cm="1">
        <f t="array" ref="I28">DeltaC(I$3,$C$4,$H9,$D$4,0,$E$4)</f>
        <v>7.3339315349598864E-4</v>
      </c>
      <c r="J28" cm="1">
        <f t="array" ref="J28">DeltaC(J$3,$C$4,$H9,$D$4,0,$E$4)</f>
        <v>3.8551173459697038E-3</v>
      </c>
      <c r="K28" cm="1">
        <f t="array" ref="K28">DeltaC(K$3,$C$4,$H9,$D$4,0,$E$4)</f>
        <v>1.4402778602930122E-2</v>
      </c>
      <c r="L28" cm="1">
        <f t="array" ref="L28">DeltaC(L$3,$C$4,$H9,$D$4,0,$E$4)</f>
        <v>4.0860172111759581E-2</v>
      </c>
      <c r="M28" cm="1">
        <f t="array" ref="M28">DeltaC(M$3,$C$4,$H9,$D$4,0,$E$4)</f>
        <v>9.2718991154622676E-2</v>
      </c>
      <c r="N28" cm="1">
        <f t="array" ref="N28">DeltaC(N$3,$C$4,$H9,$D$4,0,$E$4)</f>
        <v>0.17544466250951118</v>
      </c>
      <c r="O28" cm="1">
        <f t="array" ref="O28">DeltaC(O$3,$C$4,$H9,$D$4,0,$E$4)</f>
        <v>0.28640779285454132</v>
      </c>
      <c r="P28" cm="1">
        <f t="array" ref="P28">DeltaC(P$3,$C$4,$H9,$D$4,0,$E$4)</f>
        <v>0.41491980008730484</v>
      </c>
      <c r="Q28" cm="1">
        <f t="array" ref="Q28">DeltaC(Q$3,$C$4,$H9,$D$4,0,$E$4)</f>
        <v>0.54624882106468031</v>
      </c>
      <c r="R28" cm="1">
        <f t="array" ref="R28">DeltaC(R$3,$C$4,$H9,$D$4,0,$E$4)</f>
        <v>0.66681258720741177</v>
      </c>
      <c r="S28" cm="1">
        <f t="array" ref="S28">DeltaC(S$3,$C$4,$H9,$D$4,0,$E$4)</f>
        <v>0.76773686176629652</v>
      </c>
      <c r="T28" cm="1">
        <f t="array" ref="T28">DeltaC(T$3,$C$4,$H9,$D$4,0,$E$4)</f>
        <v>0.84574392541104015</v>
      </c>
      <c r="U28" cm="1">
        <f t="array" ref="U28">DeltaC(U$3,$C$4,$H9,$D$4,0,$E$4)</f>
        <v>0.90200659044195874</v>
      </c>
      <c r="V28" cm="1">
        <f t="array" ref="V28">DeltaC(V$3,$C$4,$H9,$D$4,0,$E$4)</f>
        <v>0.9402142801511969</v>
      </c>
      <c r="W28" cm="1">
        <f t="array" ref="W28">DeltaC(W$3,$C$4,$H9,$D$4,0,$E$4)</f>
        <v>0.96483221684018183</v>
      </c>
      <c r="X28" cm="1">
        <f t="array" ref="X28">DeltaC(X$3,$C$4,$H9,$D$4,0,$E$4)</f>
        <v>0.97998098357938546</v>
      </c>
      <c r="Y28" cm="1">
        <f t="array" ref="Y28">DeltaC(Y$3,$C$4,$H9,$D$4,0,$E$4)</f>
        <v>0.98893439681623385</v>
      </c>
      <c r="AC28">
        <v>0.6</v>
      </c>
      <c r="AD28" cm="1">
        <f t="array" ref="AD28">DeltaC(I$3,$C$4,$H9,$D$4,0,$E$5)</f>
        <v>4.6306900470662182E-11</v>
      </c>
      <c r="AE28" cm="1">
        <f t="array" ref="AE28">DeltaC(J$3,$C$4,$H9,$D$4,0,$E$5)</f>
        <v>2.5874472084445293E-8</v>
      </c>
      <c r="AF28" cm="1">
        <f t="array" ref="AF28">DeltaC(K$3,$C$4,$H9,$D$4,0,$E$5)</f>
        <v>3.5869233961988961E-6</v>
      </c>
      <c r="AG28" cm="1">
        <f t="array" ref="AG28">DeltaC(L$3,$C$4,$H9,$D$4,0,$E$5)</f>
        <v>1.6047856986437583E-4</v>
      </c>
      <c r="AH28" cm="1">
        <f t="array" ref="AH28">DeltaC(M$3,$C$4,$H9,$D$4,0,$E$5)</f>
        <v>2.8497945838167151E-3</v>
      </c>
      <c r="AI28" cm="1">
        <f t="array" ref="AI28">DeltaC(N$3,$C$4,$H9,$D$4,0,$E$5)</f>
        <v>2.3744049559651273E-2</v>
      </c>
      <c r="AJ28" cm="1">
        <f t="array" ref="AJ28">DeltaC(O$3,$C$4,$H9,$D$4,0,$E$5)</f>
        <v>0.10674814223186854</v>
      </c>
      <c r="AK28" cm="1">
        <f t="array" ref="AK28">DeltaC(P$3,$C$4,$H9,$D$4,0,$E$5)</f>
        <v>0.29253156538610559</v>
      </c>
      <c r="AL28" cm="1">
        <f t="array" ref="AL28">DeltaC(Q$3,$C$4,$H9,$D$4,0,$E$5)</f>
        <v>0.54624882106468031</v>
      </c>
      <c r="AM28" cm="1">
        <f t="array" ref="AM28">DeltaC(R$3,$C$4,$H9,$D$4,0,$E$5)</f>
        <v>0.77218677368637112</v>
      </c>
      <c r="AN28" cm="1">
        <f t="array" ref="AN28">DeltaC(S$3,$C$4,$H9,$D$4,0,$E$5)</f>
        <v>0.910951676948353</v>
      </c>
      <c r="AO28" cm="1">
        <f t="array" ref="AO28">DeltaC(T$3,$C$4,$H9,$D$4,0,$E$5)</f>
        <v>0.97260314455363983</v>
      </c>
      <c r="AP28" cm="1">
        <f t="array" ref="AP28">DeltaC(U$3,$C$4,$H9,$D$4,0,$E$5)</f>
        <v>0.99324341588079323</v>
      </c>
      <c r="AQ28" cm="1">
        <f t="array" ref="AQ28">DeltaC(V$3,$C$4,$H9,$D$4,0,$E$5)</f>
        <v>0.99863656915944365</v>
      </c>
      <c r="AR28" cm="1">
        <f t="array" ref="AR28">DeltaC(W$3,$C$4,$H9,$D$4,0,$E$5)</f>
        <v>0.99977023212247085</v>
      </c>
      <c r="AS28" cm="1">
        <f t="array" ref="AS28">DeltaC(X$3,$C$4,$H9,$D$4,0,$E$5)</f>
        <v>0.99996703614043125</v>
      </c>
      <c r="AT28" cm="1">
        <f t="array" ref="AT28">DeltaC(Y$3,$C$4,$H9,$D$4,0,$E$5)</f>
        <v>0.99999590254116577</v>
      </c>
    </row>
    <row r="29" spans="7:46" x14ac:dyDescent="0.2">
      <c r="H29">
        <v>0.7</v>
      </c>
      <c r="I29" cm="1">
        <f t="array" ref="I29">DeltaC(I$3,$C$4,$H10,$D$4,0,$E$4)</f>
        <v>1.7097704105366416E-3</v>
      </c>
      <c r="J29" cm="1">
        <f t="array" ref="J29">DeltaC(J$3,$C$4,$H10,$D$4,0,$E$4)</f>
        <v>7.1642370961297339E-3</v>
      </c>
      <c r="K29" cm="1">
        <f t="array" ref="K29">DeltaC(K$3,$C$4,$H10,$D$4,0,$E$4)</f>
        <v>2.242591118396205E-2</v>
      </c>
      <c r="L29" cm="1">
        <f t="array" ref="L29">DeltaC(L$3,$C$4,$H10,$D$4,0,$E$4)</f>
        <v>5.5498237073536447E-2</v>
      </c>
      <c r="M29" cm="1">
        <f t="array" ref="M29">DeltaC(M$3,$C$4,$H10,$D$4,0,$E$4)</f>
        <v>0.11351617326502479</v>
      </c>
      <c r="N29" cm="1">
        <f t="array" ref="N29">DeltaC(N$3,$C$4,$H10,$D$4,0,$E$4)</f>
        <v>0.19884963648426759</v>
      </c>
      <c r="O29" cm="1">
        <f t="array" ref="O29">DeltaC(O$3,$C$4,$H10,$D$4,0,$E$4)</f>
        <v>0.30707780777053401</v>
      </c>
      <c r="P29" cm="1">
        <f t="array" ref="P29">DeltaC(P$3,$C$4,$H10,$D$4,0,$E$4)</f>
        <v>0.42816924322332084</v>
      </c>
      <c r="Q29" cm="1">
        <f t="array" ref="Q29">DeltaC(Q$3,$C$4,$H10,$D$4,0,$E$4)</f>
        <v>0.54993574324296035</v>
      </c>
      <c r="R29" cm="1">
        <f t="array" ref="R29">DeltaC(R$3,$C$4,$H10,$D$4,0,$E$4)</f>
        <v>0.66168859212232867</v>
      </c>
      <c r="S29" cm="1">
        <f t="array" ref="S29">DeltaC(S$3,$C$4,$H10,$D$4,0,$E$4)</f>
        <v>0.7564993813863905</v>
      </c>
      <c r="T29" cm="1">
        <f t="array" ref="T29">DeltaC(T$3,$C$4,$H10,$D$4,0,$E$4)</f>
        <v>0.83165762889347106</v>
      </c>
      <c r="U29" cm="1">
        <f t="array" ref="U29">DeltaC(U$3,$C$4,$H10,$D$4,0,$E$4)</f>
        <v>0.88783196322373703</v>
      </c>
      <c r="V29" cm="1">
        <f t="array" ref="V29">DeltaC(V$3,$C$4,$H10,$D$4,0,$E$4)</f>
        <v>0.92772250848626392</v>
      </c>
      <c r="W29" cm="1">
        <f t="array" ref="W29">DeltaC(W$3,$C$4,$H10,$D$4,0,$E$4)</f>
        <v>0.95481273623086027</v>
      </c>
      <c r="X29" cm="1">
        <f t="array" ref="X29">DeltaC(X$3,$C$4,$H10,$D$4,0,$E$4)</f>
        <v>0.97250574341060869</v>
      </c>
      <c r="Y29" cm="1">
        <f t="array" ref="Y29">DeltaC(Y$3,$C$4,$H10,$D$4,0,$E$4)</f>
        <v>0.98367272820713014</v>
      </c>
      <c r="AC29">
        <v>0.7</v>
      </c>
      <c r="AD29" cm="1">
        <f t="array" ref="AD29">DeltaC(I$3,$C$4,$H10,$D$4,0,$E$5)</f>
        <v>1.1154484392717851E-9</v>
      </c>
      <c r="AE29" cm="1">
        <f t="array" ref="AE29">DeltaC(J$3,$C$4,$H10,$D$4,0,$E$5)</f>
        <v>2.5390046836316418E-7</v>
      </c>
      <c r="AF29" cm="1">
        <f t="array" ref="AF29">DeltaC(K$3,$C$4,$H10,$D$4,0,$E$5)</f>
        <v>1.7549254029347776E-5</v>
      </c>
      <c r="AG29" cm="1">
        <f t="array" ref="AG29">DeltaC(L$3,$C$4,$H10,$D$4,0,$E$5)</f>
        <v>4.6157184850289515E-4</v>
      </c>
      <c r="AH29" cm="1">
        <f t="array" ref="AH29">DeltaC(M$3,$C$4,$H10,$D$4,0,$E$5)</f>
        <v>5.5176887334378597E-3</v>
      </c>
      <c r="AI29" cm="1">
        <f t="array" ref="AI29">DeltaC(N$3,$C$4,$H10,$D$4,0,$E$5)</f>
        <v>3.4610567414057034E-2</v>
      </c>
      <c r="AJ29" cm="1">
        <f t="array" ref="AJ29">DeltaC(O$3,$C$4,$H10,$D$4,0,$E$5)</f>
        <v>0.12843922086837087</v>
      </c>
      <c r="AK29" cm="1">
        <f t="array" ref="AK29">DeltaC(P$3,$C$4,$H10,$D$4,0,$E$5)</f>
        <v>0.31292611764332445</v>
      </c>
      <c r="AL29" cm="1">
        <f t="array" ref="AL29">DeltaC(Q$3,$C$4,$H10,$D$4,0,$E$5)</f>
        <v>0.54993574324296035</v>
      </c>
      <c r="AM29" cm="1">
        <f t="array" ref="AM29">DeltaC(R$3,$C$4,$H10,$D$4,0,$E$5)</f>
        <v>0.76073008250523411</v>
      </c>
      <c r="AN29" cm="1">
        <f t="array" ref="AN29">DeltaC(S$3,$C$4,$H10,$D$4,0,$E$5)</f>
        <v>0.8970058106562373</v>
      </c>
      <c r="AO29" cm="1">
        <f t="array" ref="AO29">DeltaC(T$3,$C$4,$H10,$D$4,0,$E$5)</f>
        <v>0.96375065198429899</v>
      </c>
      <c r="AP29" cm="1">
        <f t="array" ref="AP29">DeltaC(U$3,$C$4,$H10,$D$4,0,$E$5)</f>
        <v>0.98940714410148023</v>
      </c>
      <c r="AQ29" cm="1">
        <f t="array" ref="AQ29">DeltaC(V$3,$C$4,$H10,$D$4,0,$E$5)</f>
        <v>0.9973854793151351</v>
      </c>
      <c r="AR29" cm="1">
        <f t="array" ref="AR29">DeltaC(W$3,$C$4,$H10,$D$4,0,$E$5)</f>
        <v>0.99944558802202021</v>
      </c>
      <c r="AS29" cm="1">
        <f t="array" ref="AS29">DeltaC(X$3,$C$4,$H10,$D$4,0,$E$5)</f>
        <v>0.99989736258573836</v>
      </c>
      <c r="AT29" cm="1">
        <f t="array" ref="AT29">DeltaC(Y$3,$C$4,$H10,$D$4,0,$E$5)</f>
        <v>0.99998316518966346</v>
      </c>
    </row>
    <row r="30" spans="7:46" x14ac:dyDescent="0.2">
      <c r="H30">
        <v>0.8</v>
      </c>
      <c r="I30" cm="1">
        <f t="array" ref="I30">DeltaC(I$3,$C$4,$H11,$D$4,0,$E$4)</f>
        <v>3.2499291224938613E-3</v>
      </c>
      <c r="J30" cm="1">
        <f t="array" ref="J30">DeltaC(J$3,$C$4,$H11,$D$4,0,$E$4)</f>
        <v>1.1483425231958777E-2</v>
      </c>
      <c r="K30" cm="1">
        <f t="array" ref="K30">DeltaC(K$3,$C$4,$H11,$D$4,0,$E$4)</f>
        <v>3.1463320553836806E-2</v>
      </c>
      <c r="L30" cm="1">
        <f t="array" ref="L30">DeltaC(L$3,$C$4,$H11,$D$4,0,$E$4)</f>
        <v>7.0237080583764377E-2</v>
      </c>
      <c r="M30" cm="1">
        <f t="array" ref="M30">DeltaC(M$3,$C$4,$H11,$D$4,0,$E$4)</f>
        <v>0.1328013323700564</v>
      </c>
      <c r="N30" cm="1">
        <f t="array" ref="N30">DeltaC(N$3,$C$4,$H11,$D$4,0,$E$4)</f>
        <v>0.21936358982447046</v>
      </c>
      <c r="O30" cm="1">
        <f t="array" ref="O30">DeltaC(O$3,$C$4,$H11,$D$4,0,$E$4)</f>
        <v>0.32461969070784658</v>
      </c>
      <c r="P30" cm="1">
        <f t="array" ref="P30">DeltaC(P$3,$C$4,$H11,$D$4,0,$E$4)</f>
        <v>0.4393670542417723</v>
      </c>
      <c r="Q30" cm="1">
        <f t="array" ref="Q30">DeltaC(Q$3,$C$4,$H11,$D$4,0,$E$4)</f>
        <v>0.55336358492889404</v>
      </c>
      <c r="R30" cm="1">
        <f t="array" ref="R30">DeltaC(R$3,$C$4,$H11,$D$4,0,$E$4)</f>
        <v>0.65796272969308234</v>
      </c>
      <c r="S30" cm="1">
        <f t="array" ref="S30">DeltaC(S$3,$C$4,$H11,$D$4,0,$E$4)</f>
        <v>0.74760249342748353</v>
      </c>
      <c r="T30" cm="1">
        <f t="array" ref="T30">DeltaC(T$3,$C$4,$H11,$D$4,0,$E$4)</f>
        <v>0.82002413987768774</v>
      </c>
      <c r="U30" cm="1">
        <f t="array" ref="U30">DeltaC(U$3,$C$4,$H11,$D$4,0,$E$4)</f>
        <v>0.87562125149536263</v>
      </c>
      <c r="V30" cm="1">
        <f t="array" ref="V30">DeltaC(V$3,$C$4,$H11,$D$4,0,$E$4)</f>
        <v>0.91644879859772543</v>
      </c>
      <c r="W30" cm="1">
        <f t="array" ref="W30">DeltaC(W$3,$C$4,$H11,$D$4,0,$E$4)</f>
        <v>0.9452921469955603</v>
      </c>
      <c r="X30" cm="1">
        <f t="array" ref="X30">DeltaC(X$3,$C$4,$H11,$D$4,0,$E$4)</f>
        <v>0.9649914282191755</v>
      </c>
      <c r="Y30" cm="1">
        <f t="array" ref="Y30">DeltaC(Y$3,$C$4,$H11,$D$4,0,$E$4)</f>
        <v>0.97805296953813903</v>
      </c>
      <c r="AC30">
        <v>0.8</v>
      </c>
      <c r="AD30" cm="1">
        <f t="array" ref="AD30">DeltaC(I$3,$C$4,$H11,$D$4,0,$E$5)</f>
        <v>1.2232280237899387E-8</v>
      </c>
      <c r="AE30" cm="1">
        <f t="array" ref="AE30">DeltaC(J$3,$C$4,$H11,$D$4,0,$E$5)</f>
        <v>1.4195096494921114E-6</v>
      </c>
      <c r="AF30" cm="1">
        <f t="array" ref="AF30">DeltaC(K$3,$C$4,$H11,$D$4,0,$E$5)</f>
        <v>5.8200883657871402E-5</v>
      </c>
      <c r="AG30" cm="1">
        <f t="array" ref="AG30">DeltaC(L$3,$C$4,$H11,$D$4,0,$E$5)</f>
        <v>1.0273171406440314E-3</v>
      </c>
      <c r="AH30" cm="1">
        <f t="array" ref="AH30">DeltaC(M$3,$C$4,$H11,$D$4,0,$E$5)</f>
        <v>9.1213054737095019E-3</v>
      </c>
      <c r="AI30" cm="1">
        <f t="array" ref="AI30">DeltaC(N$3,$C$4,$H11,$D$4,0,$E$5)</f>
        <v>4.6201796215212587E-2</v>
      </c>
      <c r="AJ30" cm="1">
        <f t="array" ref="AJ30">DeltaC(O$3,$C$4,$H11,$D$4,0,$E$5)</f>
        <v>0.14828843430084729</v>
      </c>
      <c r="AK30" cm="1">
        <f t="array" ref="AK30">DeltaC(P$3,$C$4,$H11,$D$4,0,$E$5)</f>
        <v>0.33021760012856716</v>
      </c>
      <c r="AL30" cm="1">
        <f t="array" ref="AL30">DeltaC(Q$3,$C$4,$H11,$D$4,0,$E$5)</f>
        <v>0.55336358492889404</v>
      </c>
      <c r="AM30" cm="1">
        <f t="array" ref="AM30">DeltaC(R$3,$C$4,$H11,$D$4,0,$E$5)</f>
        <v>0.75163843630541693</v>
      </c>
      <c r="AN30" cm="1">
        <f t="array" ref="AN30">DeltaC(S$3,$C$4,$H11,$D$4,0,$E$5)</f>
        <v>0.88488455046683934</v>
      </c>
      <c r="AO30" cm="1">
        <f t="array" ref="AO30">DeltaC(T$3,$C$4,$H11,$D$4,0,$E$5)</f>
        <v>0.95512804158206499</v>
      </c>
      <c r="AP30" cm="1">
        <f t="array" ref="AP30">DeltaC(U$3,$C$4,$H11,$D$4,0,$E$5)</f>
        <v>0.98509406838389912</v>
      </c>
      <c r="AQ30" cm="1">
        <f t="array" ref="AQ30">DeltaC(V$3,$C$4,$H11,$D$4,0,$E$5)</f>
        <v>0.99571799089194879</v>
      </c>
      <c r="AR30" cm="1">
        <f t="array" ref="AR30">DeltaC(W$3,$C$4,$H11,$D$4,0,$E$5)</f>
        <v>0.99892066116278744</v>
      </c>
      <c r="AS30" cm="1">
        <f t="array" ref="AS30">DeltaC(X$3,$C$4,$H11,$D$4,0,$E$5)</f>
        <v>0.99975797900363672</v>
      </c>
      <c r="AT30" cm="1">
        <f t="array" ref="AT30">DeltaC(Y$3,$C$4,$H11,$D$4,0,$E$5)</f>
        <v>0.99995111048223762</v>
      </c>
    </row>
    <row r="31" spans="7:46" x14ac:dyDescent="0.2">
      <c r="H31">
        <v>0.9</v>
      </c>
      <c r="I31" cm="1">
        <f t="array" ref="I31">DeltaC(I$3,$C$4,$H12,$D$4,0,$E$4)</f>
        <v>5.386378691307119E-3</v>
      </c>
      <c r="J31" cm="1">
        <f t="array" ref="J31">DeltaC(J$3,$C$4,$H12,$D$4,0,$E$4)</f>
        <v>1.6663450654240793E-2</v>
      </c>
      <c r="K31" cm="1">
        <f t="array" ref="K31">DeltaC(K$3,$C$4,$H12,$D$4,0,$E$4)</f>
        <v>4.1145992558525323E-2</v>
      </c>
      <c r="L31" cm="1">
        <f t="array" ref="L31">DeltaC(L$3,$C$4,$H12,$D$4,0,$E$4)</f>
        <v>8.4734011793984806E-2</v>
      </c>
      <c r="M31" cm="1">
        <f t="array" ref="M31">DeltaC(M$3,$C$4,$H12,$D$4,0,$E$4)</f>
        <v>0.15062248475458553</v>
      </c>
      <c r="N31" cm="1">
        <f t="array" ref="N31">DeltaC(N$3,$C$4,$H12,$D$4,0,$E$4)</f>
        <v>0.23753708342668742</v>
      </c>
      <c r="O31" cm="1">
        <f t="array" ref="O31">DeltaC(O$3,$C$4,$H12,$D$4,0,$E$4)</f>
        <v>0.33980470618375225</v>
      </c>
      <c r="P31" cm="1">
        <f t="array" ref="P31">DeltaC(P$3,$C$4,$H12,$D$4,0,$E$4)</f>
        <v>0.4490598842795181</v>
      </c>
      <c r="Q31" cm="1">
        <f t="array" ref="Q31">DeltaC(Q$3,$C$4,$H12,$D$4,0,$E$4)</f>
        <v>0.55657946195545982</v>
      </c>
      <c r="R31" cm="1">
        <f t="array" ref="R31">DeltaC(R$3,$C$4,$H12,$D$4,0,$E$4)</f>
        <v>0.65521889020886748</v>
      </c>
      <c r="S31" cm="1">
        <f t="array" ref="S31">DeltaC(S$3,$C$4,$H12,$D$4,0,$E$4)</f>
        <v>0.74041691025313783</v>
      </c>
      <c r="T31" cm="1">
        <f t="array" ref="T31">DeltaC(T$3,$C$4,$H12,$D$4,0,$E$4)</f>
        <v>0.81027566906216286</v>
      </c>
      <c r="U31" cm="1">
        <f t="array" ref="U31">DeltaC(U$3,$C$4,$H12,$D$4,0,$E$4)</f>
        <v>0.86503450040480123</v>
      </c>
      <c r="V31" cm="1">
        <f t="array" ref="V31">DeltaC(V$3,$C$4,$H12,$D$4,0,$E$4)</f>
        <v>0.90631047116941144</v>
      </c>
      <c r="W31" cm="1">
        <f t="array" ref="W31">DeltaC(W$3,$C$4,$H12,$D$4,0,$E$4)</f>
        <v>0.93638087415065951</v>
      </c>
      <c r="X31" cm="1">
        <f t="array" ref="X31">DeltaC(X$3,$C$4,$H12,$D$4,0,$E$4)</f>
        <v>0.95764540824748623</v>
      </c>
      <c r="Y31" cm="1">
        <f t="array" ref="Y31">DeltaC(Y$3,$C$4,$H12,$D$4,0,$E$4)</f>
        <v>0.97229624527713165</v>
      </c>
      <c r="AC31">
        <v>0.9</v>
      </c>
      <c r="AD31" cm="1">
        <f t="array" ref="AD31">DeltaC(I$3,$C$4,$H12,$D$4,0,$E$5)</f>
        <v>7.9305503738124461E-8</v>
      </c>
      <c r="AE31" cm="1">
        <f t="array" ref="AE31">DeltaC(J$3,$C$4,$H12,$D$4,0,$E$5)</f>
        <v>5.4488726576165433E-6</v>
      </c>
      <c r="AF31" cm="1">
        <f t="array" ref="AF31">DeltaC(K$3,$C$4,$H12,$D$4,0,$E$5)</f>
        <v>1.4879923588186921E-4</v>
      </c>
      <c r="AG31" cm="1">
        <f t="array" ref="AG31">DeltaC(L$3,$C$4,$H12,$D$4,0,$E$5)</f>
        <v>1.9253955209529885E-3</v>
      </c>
      <c r="AH31" cm="1">
        <f t="array" ref="AH31">DeltaC(M$3,$C$4,$H12,$D$4,0,$E$5)</f>
        <v>1.3558236229164239E-2</v>
      </c>
      <c r="AI31" cm="1">
        <f t="array" ref="AI31">DeltaC(N$3,$C$4,$H12,$D$4,0,$E$5)</f>
        <v>5.8114853573404297E-2</v>
      </c>
      <c r="AJ31" cm="1">
        <f t="array" ref="AJ31">DeltaC(O$3,$C$4,$H12,$D$4,0,$E$5)</f>
        <v>0.1664485667707323</v>
      </c>
      <c r="AK31" cm="1">
        <f t="array" ref="AK31">DeltaC(P$3,$C$4,$H12,$D$4,0,$E$5)</f>
        <v>0.34517641190667869</v>
      </c>
      <c r="AL31" cm="1">
        <f t="array" ref="AL31">DeltaC(Q$3,$C$4,$H12,$D$4,0,$E$5)</f>
        <v>0.55657946195545982</v>
      </c>
      <c r="AM31" cm="1">
        <f t="array" ref="AM31">DeltaC(R$3,$C$4,$H12,$D$4,0,$E$5)</f>
        <v>0.74427963343394432</v>
      </c>
      <c r="AN31" cm="1">
        <f t="array" ref="AN31">DeltaC(S$3,$C$4,$H12,$D$4,0,$E$5)</f>
        <v>0.87430092401455395</v>
      </c>
      <c r="AO31" cm="1">
        <f t="array" ref="AO31">DeltaC(T$3,$C$4,$H12,$D$4,0,$E$5)</f>
        <v>0.94690122807155452</v>
      </c>
      <c r="AP31" cm="1">
        <f t="array" ref="AP31">DeltaC(U$3,$C$4,$H12,$D$4,0,$E$5)</f>
        <v>0.98049779905589118</v>
      </c>
      <c r="AQ31" cm="1">
        <f t="array" ref="AQ31">DeltaC(V$3,$C$4,$H12,$D$4,0,$E$5)</f>
        <v>0.99369223383243865</v>
      </c>
      <c r="AR31" cm="1">
        <f t="array" ref="AR31">DeltaC(W$3,$C$4,$H12,$D$4,0,$E$5)</f>
        <v>0.99818047109526631</v>
      </c>
      <c r="AS31" cm="1">
        <f t="array" ref="AS31">DeltaC(X$3,$C$4,$H12,$D$4,0,$E$5)</f>
        <v>0.99952627336039468</v>
      </c>
      <c r="AT31" cm="1">
        <f t="array" ref="AT31">DeltaC(Y$3,$C$4,$H12,$D$4,0,$E$5)</f>
        <v>0.99988744523010076</v>
      </c>
    </row>
    <row r="32" spans="7:46" x14ac:dyDescent="0.2">
      <c r="H32">
        <v>1</v>
      </c>
      <c r="I32" cm="1">
        <f t="array" ref="I32">DeltaC(I$3,$C$4,$H13,$D$4,0,$E$4)</f>
        <v>8.1055453543928818E-3</v>
      </c>
      <c r="J32" cm="1">
        <f t="array" ref="J32">DeltaC(J$3,$C$4,$H13,$D$4,0,$E$4)</f>
        <v>2.2539605701555526E-2</v>
      </c>
      <c r="K32" cm="1">
        <f t="array" ref="K32">DeltaC(K$3,$C$4,$H13,$D$4,0,$E$4)</f>
        <v>5.1195105289887979E-2</v>
      </c>
      <c r="L32" cm="1">
        <f t="array" ref="L32">DeltaC(L$3,$C$4,$H13,$D$4,0,$E$4)</f>
        <v>9.88015767617475E-2</v>
      </c>
      <c r="M32" cm="1">
        <f t="array" ref="M32">DeltaC(M$3,$C$4,$H13,$D$4,0,$E$4)</f>
        <v>0.16709271590694216</v>
      </c>
      <c r="N32" cm="1">
        <f t="array" ref="N32">DeltaC(N$3,$C$4,$H13,$D$4,0,$E$4)</f>
        <v>0.2537950995737065</v>
      </c>
      <c r="O32" cm="1">
        <f t="array" ref="O32">DeltaC(O$3,$C$4,$H13,$D$4,0,$E$4)</f>
        <v>0.35316016226972924</v>
      </c>
      <c r="P32" cm="1">
        <f t="array" ref="P32">DeltaC(P$3,$C$4,$H13,$D$4,0,$E$4)</f>
        <v>0.45760612784927152</v>
      </c>
      <c r="Q32" cm="1">
        <f t="array" ref="Q32">DeltaC(Q$3,$C$4,$H13,$D$4,0,$E$4)</f>
        <v>0.5596176923702425</v>
      </c>
      <c r="R32" cm="1">
        <f t="array" ref="R32">DeltaC(R$3,$C$4,$H13,$D$4,0,$E$4)</f>
        <v>0.65319132580079731</v>
      </c>
      <c r="S32" cm="1">
        <f t="array" ref="S32">DeltaC(S$3,$C$4,$H13,$D$4,0,$E$4)</f>
        <v>0.73452316868917078</v>
      </c>
      <c r="T32" cm="1">
        <f t="array" ref="T32">DeltaC(T$3,$C$4,$H13,$D$4,0,$E$4)</f>
        <v>0.80200640740621953</v>
      </c>
      <c r="U32" cm="1">
        <f t="array" ref="U32">DeltaC(U$3,$C$4,$H13,$D$4,0,$E$4)</f>
        <v>0.85579311074329834</v>
      </c>
      <c r="V32" cm="1">
        <f t="array" ref="V32">DeltaC(V$3,$C$4,$H13,$D$4,0,$E$4)</f>
        <v>0.89719292559733332</v>
      </c>
      <c r="W32" cm="1">
        <f t="array" ref="W32">DeltaC(W$3,$C$4,$H13,$D$4,0,$E$4)</f>
        <v>0.92810491023994279</v>
      </c>
      <c r="X32" cm="1">
        <f t="array" ref="X32">DeltaC(X$3,$C$4,$H13,$D$4,0,$E$4)</f>
        <v>0.95058198959185258</v>
      </c>
      <c r="Y32" cm="1">
        <f t="array" ref="Y32">DeltaC(Y$3,$C$4,$H13,$D$4,0,$E$4)</f>
        <v>0.96655118639654458</v>
      </c>
      <c r="AC32">
        <v>1</v>
      </c>
      <c r="AD32" cm="1">
        <f t="array" ref="AD32">DeltaC(I$3,$C$4,$H13,$D$4,0,$E$5)</f>
        <v>3.5564355541459468E-7</v>
      </c>
      <c r="AE32" cm="1">
        <f t="array" ref="AE32">DeltaC(J$3,$C$4,$H13,$D$4,0,$E$5)</f>
        <v>1.6064307266339651E-5</v>
      </c>
      <c r="AF32" cm="1">
        <f t="array" ref="AF32">DeltaC(K$3,$C$4,$H13,$D$4,0,$E$5)</f>
        <v>3.1686788675612439E-4</v>
      </c>
      <c r="AG32" cm="1">
        <f t="array" ref="AG32">DeltaC(L$3,$C$4,$H13,$D$4,0,$E$5)</f>
        <v>3.1973886164727121E-3</v>
      </c>
      <c r="AH32" cm="1">
        <f t="array" ref="AH32">DeltaC(M$3,$C$4,$H13,$D$4,0,$E$5)</f>
        <v>1.8697030468110387E-2</v>
      </c>
      <c r="AI32" cm="1">
        <f t="array" ref="AI32">DeltaC(N$3,$C$4,$H13,$D$4,0,$E$5)</f>
        <v>7.0080829341433393E-2</v>
      </c>
      <c r="AJ32" cm="1">
        <f t="array" ref="AJ32">DeltaC(O$3,$C$4,$H13,$D$4,0,$E$5)</f>
        <v>0.18310240300676622</v>
      </c>
      <c r="AK32" cm="1">
        <f t="array" ref="AK32">DeltaC(P$3,$C$4,$H13,$D$4,0,$E$5)</f>
        <v>0.35832748828828459</v>
      </c>
      <c r="AL32" cm="1">
        <f t="array" ref="AL32">DeltaC(Q$3,$C$4,$H13,$D$4,0,$E$5)</f>
        <v>0.5596176923702425</v>
      </c>
      <c r="AM32" cm="1">
        <f t="array" ref="AM32">DeltaC(R$3,$C$4,$H13,$D$4,0,$E$5)</f>
        <v>0.7382311454904813</v>
      </c>
      <c r="AN32" cm="1">
        <f t="array" ref="AN32">DeltaC(S$3,$C$4,$H13,$D$4,0,$E$5)</f>
        <v>0.86500851994546202</v>
      </c>
      <c r="AO32" cm="1">
        <f t="array" ref="AO32">DeltaC(T$3,$C$4,$H13,$D$4,0,$E$5)</f>
        <v>0.9391430239591263</v>
      </c>
      <c r="AP32" cm="1">
        <f t="array" ref="AP32">DeltaC(U$3,$C$4,$H13,$D$4,0,$E$5)</f>
        <v>0.9757644962341846</v>
      </c>
      <c r="AQ32" cm="1">
        <f t="array" ref="AQ32">DeltaC(V$3,$C$4,$H13,$D$4,0,$E$5)</f>
        <v>0.9913773450413681</v>
      </c>
      <c r="AR32" cm="1">
        <f t="array" ref="AR32">DeltaC(W$3,$C$4,$H13,$D$4,0,$E$5)</f>
        <v>0.99722837337629622</v>
      </c>
      <c r="AS32" cm="1">
        <f t="array" ref="AS32">DeltaC(X$3,$C$4,$H13,$D$4,0,$E$5)</f>
        <v>0.99918656546080542</v>
      </c>
      <c r="AT32" cm="1">
        <f t="array" ref="AT32">DeltaC(Y$3,$C$4,$H13,$D$4,0,$E$5)</f>
        <v>0.99977989302522097</v>
      </c>
    </row>
    <row r="33" spans="7:46" x14ac:dyDescent="0.2">
      <c r="H33">
        <v>2</v>
      </c>
      <c r="I33" cm="1">
        <f t="array" ref="I33">DeltaC(I$3,$C$4,$H14,$D$4,0,$E$4)</f>
        <v>5.5478177979400571E-2</v>
      </c>
      <c r="J33" cm="1">
        <f t="array" ref="J33">DeltaC(J$3,$C$4,$H14,$D$4,0,$E$4)</f>
        <v>9.4943144684704661E-2</v>
      </c>
      <c r="K33" cm="1">
        <f t="array" ref="K33">DeltaC(K$3,$C$4,$H14,$D$4,0,$E$4)</f>
        <v>0.14711107776501314</v>
      </c>
      <c r="L33" cm="1">
        <f t="array" ref="L33">DeltaC(L$3,$C$4,$H14,$D$4,0,$E$4)</f>
        <v>0.2104162779758797</v>
      </c>
      <c r="M33" cm="1">
        <f t="array" ref="M33">DeltaC(M$3,$C$4,$H14,$D$4,0,$E$4)</f>
        <v>0.2820374343620774</v>
      </c>
      <c r="N33" cm="1">
        <f t="array" ref="N33">DeltaC(N$3,$C$4,$H14,$D$4,0,$E$4)</f>
        <v>0.35850447187481504</v>
      </c>
      <c r="O33" cm="1">
        <f t="array" ref="O33">DeltaC(O$3,$C$4,$H14,$D$4,0,$E$4)</f>
        <v>0.43629337610345331</v>
      </c>
      <c r="P33" cm="1">
        <f t="array" ref="P33">DeltaC(P$3,$C$4,$H14,$D$4,0,$E$4)</f>
        <v>0.51227864232904818</v>
      </c>
      <c r="Q33" cm="1">
        <f t="array" ref="Q33">DeltaC(Q$3,$C$4,$H14,$D$4,0,$E$4)</f>
        <v>0.58399798571368178</v>
      </c>
      <c r="R33" cm="1">
        <f t="array" ref="R33">DeltaC(R$3,$C$4,$H14,$D$4,0,$E$4)</f>
        <v>0.64974470477957968</v>
      </c>
      <c r="S33" cm="1">
        <f t="array" ref="S33">DeltaC(S$3,$C$4,$H14,$D$4,0,$E$4)</f>
        <v>0.7085330993545631</v>
      </c>
      <c r="T33" cm="1">
        <f t="array" ref="T33">DeltaC(T$3,$C$4,$H14,$D$4,0,$E$4)</f>
        <v>0.75998835998968672</v>
      </c>
      <c r="U33" cm="1">
        <f t="array" ref="U33">DeltaC(U$3,$C$4,$H14,$D$4,0,$E$4)</f>
        <v>0.80420462073819754</v>
      </c>
      <c r="V33" cm="1">
        <f t="array" ref="V33">DeltaC(V$3,$C$4,$H14,$D$4,0,$E$4)</f>
        <v>0.84160197553171501</v>
      </c>
      <c r="W33" cm="1">
        <f t="array" ref="W33">DeltaC(W$3,$C$4,$H14,$D$4,0,$E$4)</f>
        <v>0.87280055331254425</v>
      </c>
      <c r="X33" cm="1">
        <f t="array" ref="X33">DeltaC(X$3,$C$4,$H14,$D$4,0,$E$4)</f>
        <v>0.89851971842195577</v>
      </c>
      <c r="Y33" cm="1">
        <f t="array" ref="Y33">DeltaC(Y$3,$C$4,$H14,$D$4,0,$E$4)</f>
        <v>0.91950370400292614</v>
      </c>
      <c r="AC33">
        <v>2</v>
      </c>
      <c r="AD33" cm="1">
        <f t="array" ref="AD33">DeltaC(I$3,$C$4,$H14,$D$4,0,$E$5)</f>
        <v>3.3699015309893697E-4</v>
      </c>
      <c r="AE33" cm="1">
        <f t="array" ref="AE33">DeltaC(J$3,$C$4,$H14,$D$4,0,$E$5)</f>
        <v>2.2987314592982288E-3</v>
      </c>
      <c r="AF33" cm="1">
        <f t="array" ref="AF33">DeltaC(K$3,$C$4,$H14,$D$4,0,$E$5)</f>
        <v>1.0445719216560184E-2</v>
      </c>
      <c r="AG33" cm="1">
        <f t="array" ref="AG33">DeltaC(L$3,$C$4,$H14,$D$4,0,$E$5)</f>
        <v>3.4220862001572698E-2</v>
      </c>
      <c r="AH33" cm="1">
        <f t="array" ref="AH33">DeltaC(M$3,$C$4,$H14,$D$4,0,$E$5)</f>
        <v>8.6011681908250939E-2</v>
      </c>
      <c r="AI33" cm="1">
        <f t="array" ref="AI33">DeltaC(N$3,$C$4,$H14,$D$4,0,$E$5)</f>
        <v>0.17436633291241277</v>
      </c>
      <c r="AJ33" cm="1">
        <f t="array" ref="AJ33">DeltaC(O$3,$C$4,$H14,$D$4,0,$E$5)</f>
        <v>0.29705856189617319</v>
      </c>
      <c r="AK33" cm="1">
        <f t="array" ref="AK33">DeltaC(P$3,$C$4,$H14,$D$4,0,$E$5)</f>
        <v>0.44015891222205472</v>
      </c>
      <c r="AL33" cm="1">
        <f t="array" ref="AL33">DeltaC(Q$3,$C$4,$H14,$D$4,0,$E$5)</f>
        <v>0.58399798571368178</v>
      </c>
      <c r="AM33" cm="1">
        <f t="array" ref="AM33">DeltaC(R$3,$C$4,$H14,$D$4,0,$E$5)</f>
        <v>0.71128089691736807</v>
      </c>
      <c r="AN33" cm="1">
        <f t="array" ref="AN33">DeltaC(S$3,$C$4,$H14,$D$4,0,$E$5)</f>
        <v>0.81221192244611107</v>
      </c>
      <c r="AO33" cm="1">
        <f t="array" ref="AO33">DeltaC(T$3,$C$4,$H14,$D$4,0,$E$5)</f>
        <v>0.88500763743571798</v>
      </c>
      <c r="AP33" cm="1">
        <f t="array" ref="AP33">DeltaC(U$3,$C$4,$H14,$D$4,0,$E$5)</f>
        <v>0.93336619424077227</v>
      </c>
      <c r="AQ33" cm="1">
        <f t="array" ref="AQ33">DeltaC(V$3,$C$4,$H14,$D$4,0,$E$5)</f>
        <v>0.9632726598800867</v>
      </c>
      <c r="AR33" cm="1">
        <f t="array" ref="AR33">DeltaC(W$3,$C$4,$H14,$D$4,0,$E$5)</f>
        <v>0.9806483495408157</v>
      </c>
      <c r="AS33" cm="1">
        <f t="array" ref="AS33">DeltaC(X$3,$C$4,$H14,$D$4,0,$E$5)</f>
        <v>0.99020716359662175</v>
      </c>
      <c r="AT33" cm="1">
        <f t="array" ref="AT33">DeltaC(Y$3,$C$4,$H14,$D$4,0,$E$5)</f>
        <v>0.99521999012116835</v>
      </c>
    </row>
    <row r="34" spans="7:46" x14ac:dyDescent="0.2">
      <c r="H34">
        <v>3</v>
      </c>
      <c r="I34" cm="1">
        <f t="array" ref="I34">DeltaC(I$3,$C$4,$H15,$D$4,0,$E$4)</f>
        <v>0.11221757852337162</v>
      </c>
      <c r="J34" cm="1">
        <f t="array" ref="J34">DeltaC(J$3,$C$4,$H15,$D$4,0,$E$4)</f>
        <v>0.16261786177644788</v>
      </c>
      <c r="K34" cm="1">
        <f t="array" ref="K34">DeltaC(K$3,$C$4,$H15,$D$4,0,$E$4)</f>
        <v>0.22070207540533249</v>
      </c>
      <c r="L34" cm="1">
        <f t="array" ref="L34">DeltaC(L$3,$C$4,$H15,$D$4,0,$E$4)</f>
        <v>0.2841154119321706</v>
      </c>
      <c r="M34" cm="1">
        <f t="array" ref="M34">DeltaC(M$3,$C$4,$H15,$D$4,0,$E$4)</f>
        <v>0.35035866509647884</v>
      </c>
      <c r="N34" cm="1">
        <f t="array" ref="N34">DeltaC(N$3,$C$4,$H15,$D$4,0,$E$4)</f>
        <v>0.4170898070097771</v>
      </c>
      <c r="O34" cm="1">
        <f t="array" ref="O34">DeltaC(O$3,$C$4,$H15,$D$4,0,$E$4)</f>
        <v>0.48231590099564642</v>
      </c>
      <c r="P34" cm="1">
        <f t="array" ref="P34">DeltaC(P$3,$C$4,$H15,$D$4,0,$E$4)</f>
        <v>0.54448388447384266</v>
      </c>
      <c r="Q34" cm="1">
        <f t="array" ref="Q34">DeltaC(Q$3,$C$4,$H15,$D$4,0,$E$4)</f>
        <v>0.60249391401788088</v>
      </c>
      <c r="R34" cm="1">
        <f t="array" ref="R34">DeltaC(R$3,$C$4,$H15,$D$4,0,$E$4)</f>
        <v>0.6556620776426314</v>
      </c>
      <c r="S34" cm="1">
        <f t="array" ref="S34">DeltaC(S$3,$C$4,$H15,$D$4,0,$E$4)</f>
        <v>0.70365585138940701</v>
      </c>
      <c r="T34" cm="1">
        <f t="array" ref="T34">DeltaC(T$3,$C$4,$H15,$D$4,0,$E$4)</f>
        <v>0.74641976679143052</v>
      </c>
      <c r="U34" cm="1">
        <f t="array" ref="U34">DeltaC(U$3,$C$4,$H15,$D$4,0,$E$4)</f>
        <v>0.78410275921225236</v>
      </c>
      <c r="V34" cm="1">
        <f t="array" ref="V34">DeltaC(V$3,$C$4,$H15,$D$4,0,$E$4)</f>
        <v>0.81699370064357868</v>
      </c>
      <c r="W34" cm="1">
        <f t="array" ref="W34">DeltaC(W$3,$C$4,$H15,$D$4,0,$E$4)</f>
        <v>0.84546800175065795</v>
      </c>
      <c r="X34" cm="1">
        <f t="array" ref="X34">DeltaC(X$3,$C$4,$H15,$D$4,0,$E$4)</f>
        <v>0.86994580030636615</v>
      </c>
      <c r="Y34" cm="1">
        <f t="array" ref="Y34">DeltaC(Y$3,$C$4,$H15,$D$4,0,$E$4)</f>
        <v>0.89086087651205015</v>
      </c>
      <c r="AC34">
        <v>3</v>
      </c>
      <c r="AD34" cm="1">
        <f t="array" ref="AD34">DeltaC(I$3,$C$4,$H15,$D$4,0,$E$5)</f>
        <v>3.5785417129918732E-3</v>
      </c>
      <c r="AE34" cm="1">
        <f t="array" ref="AE34">DeltaC(J$3,$C$4,$H15,$D$4,0,$E$5)</f>
        <v>1.296299065751454E-2</v>
      </c>
      <c r="AF34" cm="1">
        <f t="array" ref="AF34">DeltaC(K$3,$C$4,$H15,$D$4,0,$E$5)</f>
        <v>3.5973278929724198E-2</v>
      </c>
      <c r="AG34" cm="1">
        <f t="array" ref="AG34">DeltaC(L$3,$C$4,$H15,$D$4,0,$E$5)</f>
        <v>8.0588258967957058E-2</v>
      </c>
      <c r="AH34" cm="1">
        <f t="array" ref="AH34">DeltaC(M$3,$C$4,$H15,$D$4,0,$E$5)</f>
        <v>0.15185446032881006</v>
      </c>
      <c r="AI34" cm="1">
        <f t="array" ref="AI34">DeltaC(N$3,$C$4,$H15,$D$4,0,$E$5)</f>
        <v>0.24872867527518139</v>
      </c>
      <c r="AJ34" cm="1">
        <f t="array" ref="AJ34">DeltaC(O$3,$C$4,$H15,$D$4,0,$E$5)</f>
        <v>0.36373551072271876</v>
      </c>
      <c r="AK34" cm="1">
        <f t="array" ref="AK34">DeltaC(P$3,$C$4,$H15,$D$4,0,$E$5)</f>
        <v>0.48550787950516511</v>
      </c>
      <c r="AL34" cm="1">
        <f t="array" ref="AL34">DeltaC(Q$3,$C$4,$H15,$D$4,0,$E$5)</f>
        <v>0.60249391401788088</v>
      </c>
      <c r="AM34" cm="1">
        <f t="array" ref="AM34">DeltaC(R$3,$C$4,$H15,$D$4,0,$E$5)</f>
        <v>0.70591773123367962</v>
      </c>
      <c r="AN34" cm="1">
        <f t="array" ref="AN34">DeltaC(S$3,$C$4,$H15,$D$4,0,$E$5)</f>
        <v>0.79105324594553816</v>
      </c>
      <c r="AO34" cm="1">
        <f t="array" ref="AO34">DeltaC(T$3,$C$4,$H15,$D$4,0,$E$5)</f>
        <v>0.85695166013778001</v>
      </c>
      <c r="AP34" cm="1">
        <f t="array" ref="AP34">DeltaC(U$3,$C$4,$H15,$D$4,0,$E$5)</f>
        <v>0.90531441414396252</v>
      </c>
      <c r="AQ34" cm="1">
        <f t="array" ref="AQ34">DeltaC(V$3,$C$4,$H15,$D$4,0,$E$5)</f>
        <v>0.9392042006984751</v>
      </c>
      <c r="AR34" cm="1">
        <f t="array" ref="AR34">DeltaC(W$3,$C$4,$H15,$D$4,0,$E$5)</f>
        <v>0.96201541129490264</v>
      </c>
      <c r="AS34" cm="1">
        <f t="array" ref="AS34">DeltaC(X$3,$C$4,$H15,$D$4,0,$E$5)</f>
        <v>0.97683982081086107</v>
      </c>
      <c r="AT34" cm="1">
        <f t="array" ref="AT34">DeltaC(Y$3,$C$4,$H15,$D$4,0,$E$5)</f>
        <v>0.98618256040797059</v>
      </c>
    </row>
    <row r="35" spans="7:46" x14ac:dyDescent="0.2">
      <c r="H35">
        <v>4</v>
      </c>
      <c r="I35" cm="1">
        <f t="array" ref="I35">DeltaC(I$3,$C$4,$H16,$D$4,0,$E$4)</f>
        <v>0.16426871972840876</v>
      </c>
      <c r="J35" cm="1">
        <f t="array" ref="J35">DeltaC(J$3,$C$4,$H16,$D$4,0,$E$4)</f>
        <v>0.21859198446496683</v>
      </c>
      <c r="K35" cm="1">
        <f t="array" ref="K35">DeltaC(K$3,$C$4,$H16,$D$4,0,$E$4)</f>
        <v>0.27702998118727484</v>
      </c>
      <c r="L35" cm="1">
        <f t="array" ref="L35">DeltaC(L$3,$C$4,$H16,$D$4,0,$E$4)</f>
        <v>0.33753309294546507</v>
      </c>
      <c r="M35" cm="1">
        <f t="array" ref="M35">DeltaC(M$3,$C$4,$H16,$D$4,0,$E$4)</f>
        <v>0.39825791110296044</v>
      </c>
      <c r="N35" cm="1">
        <f t="array" ref="N35">DeltaC(N$3,$C$4,$H16,$D$4,0,$E$4)</f>
        <v>0.45767322745215844</v>
      </c>
      <c r="O35" cm="1">
        <f t="array" ref="O35">DeltaC(O$3,$C$4,$H16,$D$4,0,$E$4)</f>
        <v>0.51459751428423428</v>
      </c>
      <c r="P35" cm="1">
        <f t="array" ref="P35">DeltaC(P$3,$C$4,$H16,$D$4,0,$E$4)</f>
        <v>0.56818955220522305</v>
      </c>
      <c r="Q35" cm="1">
        <f t="array" ref="Q35">DeltaC(Q$3,$C$4,$H16,$D$4,0,$E$4)</f>
        <v>0.61791142218895267</v>
      </c>
      <c r="R35" cm="1">
        <f t="array" ref="R35">DeltaC(R$3,$C$4,$H16,$D$4,0,$E$4)</f>
        <v>0.66347851713393957</v>
      </c>
      <c r="S35" cm="1">
        <f t="array" ref="S35">DeltaC(S$3,$C$4,$H16,$D$4,0,$E$4)</f>
        <v>0.70480655105134737</v>
      </c>
      <c r="T35" cm="1">
        <f t="array" ref="T35">DeltaC(T$3,$C$4,$H16,$D$4,0,$E$4)</f>
        <v>0.74196163694002015</v>
      </c>
      <c r="U35" cm="1">
        <f t="array" ref="U35">DeltaC(U$3,$C$4,$H16,$D$4,0,$E$4)</f>
        <v>0.77511660853638908</v>
      </c>
      <c r="V35" cm="1">
        <f t="array" ref="V35">DeltaC(V$3,$C$4,$H16,$D$4,0,$E$4)</f>
        <v>0.8045148033278835</v>
      </c>
      <c r="W35" cm="1">
        <f t="array" ref="W35">DeltaC(W$3,$C$4,$H16,$D$4,0,$E$4)</f>
        <v>0.83044131386615572</v>
      </c>
      <c r="X35" cm="1">
        <f t="array" ref="X35">DeltaC(X$3,$C$4,$H16,$D$4,0,$E$4)</f>
        <v>0.85320104521339801</v>
      </c>
      <c r="Y35" cm="1">
        <f t="array" ref="Y35">DeltaC(Y$3,$C$4,$H16,$D$4,0,$E$4)</f>
        <v>0.87310261037867953</v>
      </c>
      <c r="AC35">
        <v>4</v>
      </c>
      <c r="AD35" cm="1">
        <f t="array" ref="AD35">DeltaC(I$3,$C$4,$H16,$D$4,0,$E$5)</f>
        <v>1.2094054588474413E-2</v>
      </c>
      <c r="AE35" cm="1">
        <f t="array" ref="AE35">DeltaC(J$3,$C$4,$H16,$D$4,0,$E$5)</f>
        <v>3.1875690795675732E-2</v>
      </c>
      <c r="AF35" cm="1">
        <f t="array" ref="AF35">DeltaC(K$3,$C$4,$H16,$D$4,0,$E$5)</f>
        <v>6.8987440114615495E-2</v>
      </c>
      <c r="AG35" cm="1">
        <f t="array" ref="AG35">DeltaC(L$3,$C$4,$H16,$D$4,0,$E$5)</f>
        <v>0.127474584567597</v>
      </c>
      <c r="AH35" cm="1">
        <f t="array" ref="AH35">DeltaC(M$3,$C$4,$H16,$D$4,0,$E$5)</f>
        <v>0.20733079045218472</v>
      </c>
      <c r="AI35" cm="1">
        <f t="array" ref="AI35">DeltaC(N$3,$C$4,$H16,$D$4,0,$E$5)</f>
        <v>0.30411744905751403</v>
      </c>
      <c r="AJ35" cm="1">
        <f t="array" ref="AJ35">DeltaC(O$3,$C$4,$H16,$D$4,0,$E$5)</f>
        <v>0.41028862938032845</v>
      </c>
      <c r="AK35" cm="1">
        <f t="array" ref="AK35">DeltaC(P$3,$C$4,$H16,$D$4,0,$E$5)</f>
        <v>0.51736188083892132</v>
      </c>
      <c r="AL35" cm="1">
        <f t="array" ref="AL35">DeltaC(Q$3,$C$4,$H16,$D$4,0,$E$5)</f>
        <v>0.61791142218895267</v>
      </c>
      <c r="AM35" cm="1">
        <f t="array" ref="AM35">DeltaC(R$3,$C$4,$H16,$D$4,0,$E$5)</f>
        <v>0.70676234221741063</v>
      </c>
      <c r="AN35" cm="1">
        <f t="array" ref="AN35">DeltaC(S$3,$C$4,$H16,$D$4,0,$E$5)</f>
        <v>0.78128810999478626</v>
      </c>
      <c r="AO35" cm="1">
        <f t="array" ref="AO35">DeltaC(T$3,$C$4,$H16,$D$4,0,$E$5)</f>
        <v>0.84105655977843707</v>
      </c>
      <c r="AP35" cm="1">
        <f t="array" ref="AP35">DeltaC(U$3,$C$4,$H16,$D$4,0,$E$5)</f>
        <v>0.88716872324765816</v>
      </c>
      <c r="AQ35" cm="1">
        <f t="array" ref="AQ35">DeltaC(V$3,$C$4,$H16,$D$4,0,$E$5)</f>
        <v>0.9215709212989972</v>
      </c>
      <c r="AR35" cm="1">
        <f t="array" ref="AR35">DeltaC(W$3,$C$4,$H16,$D$4,0,$E$5)</f>
        <v>0.94649958655795841</v>
      </c>
      <c r="AS35" cm="1">
        <f t="array" ref="AS35">DeltaC(X$3,$C$4,$H16,$D$4,0,$E$5)</f>
        <v>0.9641109494110095</v>
      </c>
      <c r="AT35" cm="1">
        <f t="array" ref="AT35">DeltaC(Y$3,$C$4,$H16,$D$4,0,$E$5)</f>
        <v>0.97628058460472156</v>
      </c>
    </row>
    <row r="36" spans="7:46" x14ac:dyDescent="0.2">
      <c r="H36">
        <v>5</v>
      </c>
      <c r="I36" cm="1">
        <f t="array" ref="I36">DeltaC(I$3,$C$4,$H17,$D$4,0,$E$4)</f>
        <v>0.20988203686100165</v>
      </c>
      <c r="J36" cm="1">
        <f t="array" ref="J36">DeltaC(J$3,$C$4,$H17,$D$4,0,$E$4)</f>
        <v>0.26505120645503799</v>
      </c>
      <c r="K36" cm="1">
        <f t="array" ref="K36">DeltaC(K$3,$C$4,$H17,$D$4,0,$E$4)</f>
        <v>0.32199074177395015</v>
      </c>
      <c r="L36" cm="1">
        <f t="array" ref="L36">DeltaC(L$3,$C$4,$H17,$D$4,0,$E$4)</f>
        <v>0.37909196897565967</v>
      </c>
      <c r="M36" cm="1">
        <f t="array" ref="M36">DeltaC(M$3,$C$4,$H17,$D$4,0,$E$4)</f>
        <v>0.4350411483736476</v>
      </c>
      <c r="N36" cm="1">
        <f t="array" ref="N36">DeltaC(N$3,$C$4,$H17,$D$4,0,$E$4)</f>
        <v>0.48883379634600066</v>
      </c>
      <c r="O36" cm="1">
        <f t="array" ref="O36">DeltaC(O$3,$C$4,$H17,$D$4,0,$E$4)</f>
        <v>0.53975516312316763</v>
      </c>
      <c r="P36" cm="1">
        <f t="array" ref="P36">DeltaC(P$3,$C$4,$H17,$D$4,0,$E$4)</f>
        <v>0.58734278687654107</v>
      </c>
      <c r="Q36" cm="1">
        <f t="array" ref="Q36">DeltaC(Q$3,$C$4,$H17,$D$4,0,$E$4)</f>
        <v>0.63134216139179089</v>
      </c>
      <c r="R36" cm="1">
        <f t="array" ref="R36">DeltaC(R$3,$C$4,$H17,$D$4,0,$E$4)</f>
        <v>0.67166244266164088</v>
      </c>
      <c r="S36" cm="1">
        <f t="array" ref="S36">DeltaC(S$3,$C$4,$H17,$D$4,0,$E$4)</f>
        <v>0.70833606363246282</v>
      </c>
      <c r="T36" cm="1">
        <f t="array" ref="T36">DeltaC(T$3,$C$4,$H17,$D$4,0,$E$4)</f>
        <v>0.74148404620256414</v>
      </c>
      <c r="U36" cm="1">
        <f t="array" ref="U36">DeltaC(U$3,$C$4,$H17,$D$4,0,$E$4)</f>
        <v>0.77128749032735988</v>
      </c>
      <c r="V36" cm="1">
        <f t="array" ref="V36">DeltaC(V$3,$C$4,$H17,$D$4,0,$E$4)</f>
        <v>0.79796496558691377</v>
      </c>
      <c r="W36" cm="1">
        <f t="array" ref="W36">DeltaC(W$3,$C$4,$H17,$D$4,0,$E$4)</f>
        <v>0.82175514850703979</v>
      </c>
      <c r="X36" cm="1">
        <f t="array" ref="X36">DeltaC(X$3,$C$4,$H17,$D$4,0,$E$4)</f>
        <v>0.8429039016580514</v>
      </c>
      <c r="Y36" cm="1">
        <f t="array" ref="Y36">DeltaC(Y$3,$C$4,$H17,$D$4,0,$E$4)</f>
        <v>0.86165498136593754</v>
      </c>
      <c r="AC36">
        <v>5</v>
      </c>
      <c r="AD36" cm="1">
        <f t="array" ref="AD36">DeltaC(I$3,$C$4,$H17,$D$4,0,$E$5)</f>
        <v>2.564344677496205E-2</v>
      </c>
      <c r="AE36" cm="1">
        <f t="array" ref="AE36">DeltaC(J$3,$C$4,$H17,$D$4,0,$E$5)</f>
        <v>5.5792459445646918E-2</v>
      </c>
      <c r="AF36" cm="1">
        <f t="array" ref="AF36">DeltaC(K$3,$C$4,$H17,$D$4,0,$E$5)</f>
        <v>0.10389085170754279</v>
      </c>
      <c r="AG36" cm="1">
        <f t="array" ref="AG36">DeltaC(L$3,$C$4,$H17,$D$4,0,$E$5)</f>
        <v>0.17076585813219761</v>
      </c>
      <c r="AH36" cm="1">
        <f t="array" ref="AH36">DeltaC(M$3,$C$4,$H17,$D$4,0,$E$5)</f>
        <v>0.25381961865942948</v>
      </c>
      <c r="AI36" cm="1">
        <f t="array" ref="AI36">DeltaC(N$3,$C$4,$H17,$D$4,0,$E$5)</f>
        <v>0.34775207052445578</v>
      </c>
      <c r="AJ36" cm="1">
        <f t="array" ref="AJ36">DeltaC(O$3,$C$4,$H17,$D$4,0,$E$5)</f>
        <v>0.44599904247550076</v>
      </c>
      <c r="AK36" cm="1">
        <f t="array" ref="AK36">DeltaC(P$3,$C$4,$H17,$D$4,0,$E$5)</f>
        <v>0.54221660354441636</v>
      </c>
      <c r="AL36" cm="1">
        <f t="array" ref="AL36">DeltaC(Q$3,$C$4,$H17,$D$4,0,$E$5)</f>
        <v>0.63134216139179089</v>
      </c>
      <c r="AM36" cm="1">
        <f t="array" ref="AM36">DeltaC(R$3,$C$4,$H17,$D$4,0,$E$5)</f>
        <v>0.71007589254163683</v>
      </c>
      <c r="AN36" cm="1">
        <f t="array" ref="AN36">DeltaC(S$3,$C$4,$H17,$D$4,0,$E$5)</f>
        <v>0.77686562090211786</v>
      </c>
      <c r="AO36" cm="1">
        <f t="array" ref="AO36">DeltaC(T$3,$C$4,$H17,$D$4,0,$E$5)</f>
        <v>0.83158425080253329</v>
      </c>
      <c r="AP36" cm="1">
        <f t="array" ref="AP36">DeltaC(U$3,$C$4,$H17,$D$4,0,$E$5)</f>
        <v>0.87508800250645269</v>
      </c>
      <c r="AQ36" cm="1">
        <f t="array" ref="AQ36">DeltaC(V$3,$C$4,$H17,$D$4,0,$E$5)</f>
        <v>0.90878962693226017</v>
      </c>
      <c r="AR36" cm="1">
        <f t="array" ref="AR36">DeltaC(W$3,$C$4,$H17,$D$4,0,$E$5)</f>
        <v>0.93431723431540992</v>
      </c>
      <c r="AS36" cm="1">
        <f t="array" ref="AS36">DeltaC(X$3,$C$4,$H17,$D$4,0,$E$5)</f>
        <v>0.9532794554679479</v>
      </c>
      <c r="AT36" cm="1">
        <f t="array" ref="AT36">DeltaC(Y$3,$C$4,$H17,$D$4,0,$E$5)</f>
        <v>0.96712760884191817</v>
      </c>
    </row>
    <row r="38" spans="7:46" x14ac:dyDescent="0.2">
      <c r="I38">
        <v>60</v>
      </c>
      <c r="J38">
        <v>65</v>
      </c>
      <c r="K38">
        <v>70</v>
      </c>
      <c r="L38">
        <v>75</v>
      </c>
      <c r="M38">
        <v>80</v>
      </c>
      <c r="N38">
        <v>85</v>
      </c>
      <c r="O38">
        <v>90</v>
      </c>
      <c r="P38">
        <v>95</v>
      </c>
      <c r="Q38">
        <v>100</v>
      </c>
      <c r="R38">
        <v>105</v>
      </c>
      <c r="S38">
        <v>110</v>
      </c>
      <c r="T38">
        <v>115</v>
      </c>
      <c r="U38">
        <v>120</v>
      </c>
      <c r="V38">
        <v>125</v>
      </c>
      <c r="W38">
        <v>130</v>
      </c>
      <c r="X38">
        <v>135</v>
      </c>
      <c r="Y38">
        <v>140</v>
      </c>
      <c r="AD38">
        <v>60</v>
      </c>
      <c r="AE38">
        <v>65</v>
      </c>
      <c r="AF38">
        <v>70</v>
      </c>
      <c r="AG38">
        <v>75</v>
      </c>
      <c r="AH38">
        <v>80</v>
      </c>
      <c r="AI38">
        <v>85</v>
      </c>
      <c r="AJ38">
        <v>90</v>
      </c>
      <c r="AK38">
        <v>95</v>
      </c>
      <c r="AL38">
        <v>100</v>
      </c>
      <c r="AM38">
        <v>105</v>
      </c>
      <c r="AN38">
        <v>110</v>
      </c>
      <c r="AO38">
        <v>115</v>
      </c>
      <c r="AP38">
        <v>120</v>
      </c>
      <c r="AQ38">
        <v>125</v>
      </c>
      <c r="AR38">
        <v>130</v>
      </c>
      <c r="AS38">
        <v>135</v>
      </c>
      <c r="AT38">
        <v>140</v>
      </c>
    </row>
    <row r="39" spans="7:46" x14ac:dyDescent="0.2">
      <c r="H39">
        <v>0.1</v>
      </c>
      <c r="I39" cm="1">
        <f t="array" ref="I39">GammaCP(I$3,$C$4,$H4,$D$4,0,$E$4)</f>
        <v>1.0516556577990333E-15</v>
      </c>
      <c r="J39" cm="1">
        <f t="array" ref="J39">GammaCP(J$3,$C$4,$H4,$D$4,0,$E$4)</f>
        <v>1.1286957540817281E-11</v>
      </c>
      <c r="K39" cm="1">
        <f t="array" ref="K39">GammaCP(K$3,$C$4,$H4,$D$4,0,$E$4)</f>
        <v>1.4597010892531749E-8</v>
      </c>
      <c r="L39" cm="1">
        <f t="array" ref="L39">GammaCP(L$3,$C$4,$H4,$D$4,0,$E$4)</f>
        <v>3.3512354645083046E-6</v>
      </c>
      <c r="M39" cm="1">
        <f t="array" ref="M39">GammaCP(M$3,$C$4,$H4,$D$4,0,$E$4)</f>
        <v>1.8444991272199748E-4</v>
      </c>
      <c r="N39" cm="1">
        <f t="array" ref="N39">GammaCP(N$3,$C$4,$H4,$D$4,0,$E$4)</f>
        <v>3.0836372935947147E-3</v>
      </c>
      <c r="O39" cm="1">
        <f t="array" ref="O39">GammaCP(O$3,$C$4,$H4,$D$4,0,$E$4)</f>
        <v>1.8916378586336532E-2</v>
      </c>
      <c r="P39" cm="1">
        <f t="array" ref="P39">GammaCP(P$3,$C$4,$H4,$D$4,0,$E$4)</f>
        <v>4.9607400575778234E-2</v>
      </c>
      <c r="Q39" cm="1">
        <f t="array" ref="Q39">GammaCP(Q$3,$C$4,$H4,$D$4,0,$E$4)</f>
        <v>6.3007389850102596E-2</v>
      </c>
      <c r="R39" cm="1">
        <f t="array" ref="R39">GammaCP(R$3,$C$4,$H4,$D$4,0,$E$4)</f>
        <v>4.2961708392642114E-2</v>
      </c>
      <c r="S39" cm="1">
        <f t="array" ref="S39">GammaCP(S$3,$C$4,$H4,$D$4,0,$E$4)</f>
        <v>1.7132125878144413E-2</v>
      </c>
      <c r="T39" cm="1">
        <f t="array" ref="T39">GammaCP(T$3,$C$4,$H4,$D$4,0,$E$4)</f>
        <v>4.293033327812704E-3</v>
      </c>
      <c r="U39" cm="1">
        <f t="array" ref="U39">GammaCP(U$3,$C$4,$H4,$D$4,0,$E$4)</f>
        <v>7.1823787351586266E-4</v>
      </c>
      <c r="V39" cm="1">
        <f t="array" ref="V39">GammaCP(V$3,$C$4,$H4,$D$4,0,$E$4)</f>
        <v>8.4468232865850983E-5</v>
      </c>
      <c r="W39" cm="1">
        <f t="array" ref="W39">GammaCP(W$3,$C$4,$H4,$D$4,0,$E$4)</f>
        <v>7.2972234478141031E-6</v>
      </c>
      <c r="X39" cm="1">
        <f t="array" ref="X39">GammaCP(X$3,$C$4,$H4,$D$4,0,$E$4)</f>
        <v>4.8093577566927407E-7</v>
      </c>
      <c r="Y39" cm="1">
        <f t="array" ref="Y39">GammaCP(Y$3,$C$4,$H4,$D$4,0,$E$4)</f>
        <v>2.4984119686305787E-8</v>
      </c>
      <c r="AC39">
        <v>0.1</v>
      </c>
      <c r="AD39" cm="1">
        <f t="array" ref="AD39">GammaCP(I$3,$C$4,$H4,$D$4,0,$E$5)</f>
        <v>9.8181668070315396E-58</v>
      </c>
      <c r="AE39" cm="1">
        <f t="array" ref="AE39">GammaCP(J$3,$C$4,$H4,$D$4,0,$E$5)</f>
        <v>1.8675541334492263E-41</v>
      </c>
      <c r="AF39" cm="1">
        <f t="array" ref="AF39">GammaCP(K$3,$C$4,$H4,$D$4,0,$E$5)</f>
        <v>7.2920970083605385E-29</v>
      </c>
      <c r="AG39" cm="1">
        <f t="array" ref="AG39">GammaCP(L$3,$C$4,$H4,$D$4,0,$E$5)</f>
        <v>2.7634460319906593E-19</v>
      </c>
      <c r="AH39" cm="1">
        <f t="array" ref="AH39">GammaCP(M$3,$C$4,$H4,$D$4,0,$E$5)</f>
        <v>3.3905822708430672E-12</v>
      </c>
      <c r="AI39" cm="1">
        <f t="array" ref="AI39">GammaCP(N$3,$C$4,$H4,$D$4,0,$E$5)</f>
        <v>3.4793158250122273E-7</v>
      </c>
      <c r="AJ39" cm="1">
        <f t="array" ref="AJ39">GammaCP(O$3,$C$4,$H4,$D$4,0,$E$5)</f>
        <v>6.3723381042931552E-4</v>
      </c>
      <c r="AK39" cm="1">
        <f t="array" ref="AK39">GammaCP(P$3,$C$4,$H4,$D$4,0,$E$5)</f>
        <v>3.8441261874572016E-2</v>
      </c>
      <c r="AL39" cm="1">
        <f t="array" ref="AL39">GammaCP(Q$3,$C$4,$H4,$D$4,0,$E$5)</f>
        <v>0.12601477970020519</v>
      </c>
      <c r="AM39" cm="1">
        <f t="array" ref="AM39">GammaCP(R$3,$C$4,$H4,$D$4,0,$E$5)</f>
        <v>3.3926069444668285E-2</v>
      </c>
      <c r="AN39" cm="1">
        <f t="array" ref="AN39">GammaCP(S$3,$C$4,$H4,$D$4,0,$E$5)</f>
        <v>1.0577125055269184E-3</v>
      </c>
      <c r="AO39" cm="1">
        <f t="array" ref="AO39">GammaCP(T$3,$C$4,$H4,$D$4,0,$E$5)</f>
        <v>5.0939285700327291E-6</v>
      </c>
      <c r="AP39" cm="1">
        <f t="array" ref="AP39">GammaCP(U$3,$C$4,$H4,$D$4,0,$E$5)</f>
        <v>4.8333065983837001E-9</v>
      </c>
      <c r="AQ39" cm="1">
        <f t="array" ref="AQ39">GammaCP(V$3,$C$4,$H4,$D$4,0,$E$5)</f>
        <v>1.1110259985098477E-12</v>
      </c>
      <c r="AR39" cm="1">
        <f t="array" ref="AR39">GammaCP(W$3,$C$4,$H4,$D$4,0,$E$5)</f>
        <v>7.3829715398268222E-17</v>
      </c>
      <c r="AS39" cm="1">
        <f t="array" ref="AS39">GammaCP(X$3,$C$4,$H4,$D$4,0,$E$5)</f>
        <v>1.6508431991277696E-21</v>
      </c>
      <c r="AT39" cm="1">
        <f t="array" ref="AT39">GammaCP(Y$3,$C$4,$H4,$D$4,0,$E$5)</f>
        <v>1.4160803501951788E-26</v>
      </c>
    </row>
    <row r="40" spans="7:46" x14ac:dyDescent="0.2">
      <c r="H40">
        <v>0.2</v>
      </c>
      <c r="I40" cm="1">
        <f t="array" ref="I40">GammaCP(I$3,$C$4,$H5,$D$4,0,$E$4)</f>
        <v>8.9897290546272933E-9</v>
      </c>
      <c r="J40" cm="1">
        <f t="array" ref="J40">GammaCP(J$3,$C$4,$H5,$D$4,0,$E$4)</f>
        <v>8.6832323834608043E-7</v>
      </c>
      <c r="K40" cm="1">
        <f t="array" ref="K40">GammaCP(K$3,$C$4,$H5,$D$4,0,$E$4)</f>
        <v>2.9265998523210969E-5</v>
      </c>
      <c r="L40" cm="1">
        <f t="array" ref="L40">GammaCP(L$3,$C$4,$H5,$D$4,0,$E$4)</f>
        <v>4.1746111765088794E-4</v>
      </c>
      <c r="M40" cm="1">
        <f t="array" ref="M40">GammaCP(M$3,$C$4,$H5,$D$4,0,$E$4)</f>
        <v>2.9270332354272271E-3</v>
      </c>
      <c r="N40" cm="1">
        <f t="array" ref="N40">GammaCP(N$3,$C$4,$H5,$D$4,0,$E$4)</f>
        <v>1.134964427745312E-2</v>
      </c>
      <c r="O40" cm="1">
        <f t="array" ref="O40">GammaCP(O$3,$C$4,$H5,$D$4,0,$E$4)</f>
        <v>2.6739234389615497E-2</v>
      </c>
      <c r="P40" cm="1">
        <f t="array" ref="P40">GammaCP(P$3,$C$4,$H5,$D$4,0,$E$4)</f>
        <v>4.1300684164172589E-2</v>
      </c>
      <c r="Q40" cm="1">
        <f t="array" ref="Q40">GammaCP(Q$3,$C$4,$H5,$D$4,0,$E$4)</f>
        <v>4.4502858739261325E-2</v>
      </c>
      <c r="R40" cm="1">
        <f t="array" ref="R40">GammaCP(R$3,$C$4,$H5,$D$4,0,$E$4)</f>
        <v>3.5212130286942131E-2</v>
      </c>
      <c r="S40" cm="1">
        <f t="array" ref="S40">GammaCP(S$3,$C$4,$H5,$D$4,0,$E$4)</f>
        <v>2.1349081451222499E-2</v>
      </c>
      <c r="T40" cm="1">
        <f t="array" ref="T40">GammaCP(T$3,$C$4,$H5,$D$4,0,$E$4)</f>
        <v>1.0279303406877476E-2</v>
      </c>
      <c r="U40" cm="1">
        <f t="array" ref="U40">GammaCP(U$3,$C$4,$H5,$D$4,0,$E$4)</f>
        <v>4.0508179535475647E-3</v>
      </c>
      <c r="V40" cm="1">
        <f t="array" ref="V40">GammaCP(V$3,$C$4,$H5,$D$4,0,$E$4)</f>
        <v>1.3404252747399995E-3</v>
      </c>
      <c r="W40" cm="1">
        <f t="array" ref="W40">GammaCP(W$3,$C$4,$H5,$D$4,0,$E$4)</f>
        <v>3.806891985019321E-4</v>
      </c>
      <c r="X40" cm="1">
        <f t="array" ref="X40">GammaCP(X$3,$C$4,$H5,$D$4,0,$E$4)</f>
        <v>9.4556994587265133E-5</v>
      </c>
      <c r="Y40" cm="1">
        <f t="array" ref="Y40">GammaCP(Y$3,$C$4,$H5,$D$4,0,$E$4)</f>
        <v>2.0876714879530848E-5</v>
      </c>
      <c r="AC40">
        <v>0.2</v>
      </c>
      <c r="AD40" cm="1">
        <f t="array" ref="AD40">GammaCP(I$3,$C$4,$H5,$D$4,0,$E$5)</f>
        <v>1.4877614568192042E-29</v>
      </c>
      <c r="AE40" cm="1">
        <f t="array" ref="AE40">GammaCP(J$3,$C$4,$H5,$D$4,0,$E$5)</f>
        <v>1.8565304082520432E-21</v>
      </c>
      <c r="AF40" cm="1">
        <f t="array" ref="AF40">GammaCP(K$3,$C$4,$H5,$D$4,0,$E$5)</f>
        <v>3.3439581371571196E-15</v>
      </c>
      <c r="AG40" cm="1">
        <f t="array" ref="AG40">GammaCP(L$3,$C$4,$H5,$D$4,0,$E$5)</f>
        <v>1.8884525527510622E-10</v>
      </c>
      <c r="AH40" cm="1">
        <f t="array" ref="AH40">GammaCP(M$3,$C$4,$H5,$D$4,0,$E$5)</f>
        <v>6.1021351588952594E-7</v>
      </c>
      <c r="AI40" cm="1">
        <f t="array" ref="AI40">GammaCP(N$3,$C$4,$H5,$D$4,0,$E$5)</f>
        <v>1.812092789174275E-4</v>
      </c>
      <c r="AJ40" cm="1">
        <f t="array" ref="AJ40">GammaCP(O$3,$C$4,$H5,$D$4,0,$E$5)</f>
        <v>7.2202698909513228E-3</v>
      </c>
      <c r="AK40" cm="1">
        <f t="array" ref="AK40">GammaCP(P$3,$C$4,$H5,$D$4,0,$E$5)</f>
        <v>5.2414503254015796E-2</v>
      </c>
      <c r="AL40" cm="1">
        <f t="array" ref="AL40">GammaCP(Q$3,$C$4,$H5,$D$4,0,$E$5)</f>
        <v>8.900571747852265E-2</v>
      </c>
      <c r="AM40" cm="1">
        <f t="array" ref="AM40">GammaCP(R$3,$C$4,$H5,$D$4,0,$E$5)</f>
        <v>4.3449753071981678E-2</v>
      </c>
      <c r="AN40" cm="1">
        <f t="array" ref="AN40">GammaCP(S$3,$C$4,$H5,$D$4,0,$E$5)</f>
        <v>7.2385257929532482E-3</v>
      </c>
      <c r="AO40" cm="1">
        <f t="array" ref="AO40">GammaCP(T$3,$C$4,$H5,$D$4,0,$E$5)</f>
        <v>4.751834300064429E-4</v>
      </c>
      <c r="AP40" cm="1">
        <f t="array" ref="AP40">GammaCP(U$3,$C$4,$H5,$D$4,0,$E$5)</f>
        <v>1.3878827508435486E-5</v>
      </c>
      <c r="AQ40" cm="1">
        <f t="array" ref="AQ40">GammaCP(V$3,$C$4,$H5,$D$4,0,$E$5)</f>
        <v>1.9995476488667826E-7</v>
      </c>
      <c r="AR40" cm="1">
        <f t="array" ref="AR40">GammaCP(W$3,$C$4,$H5,$D$4,0,$E$5)</f>
        <v>1.5520066218442016E-9</v>
      </c>
      <c r="AS40" cm="1">
        <f t="array" ref="AS40">GammaCP(X$3,$C$4,$H5,$D$4,0,$E$5)</f>
        <v>7.0007225305255289E-12</v>
      </c>
      <c r="AT40" cm="1">
        <f t="array" ref="AT40">GammaCP(Y$3,$C$4,$H5,$D$4,0,$E$5)</f>
        <v>1.9592554647687471E-14</v>
      </c>
    </row>
    <row r="41" spans="7:46" x14ac:dyDescent="0.2">
      <c r="H41">
        <v>0.3</v>
      </c>
      <c r="I41" cm="1">
        <f t="array" ref="I41">GammaCP(I$3,$C$4,$H6,$D$4,0,$E$4)</f>
        <v>1.683337757156276E-6</v>
      </c>
      <c r="J41" cm="1">
        <f t="array" ref="J41">GammaCP(J$3,$C$4,$H6,$D$4,0,$E$4)</f>
        <v>3.3820751258091636E-5</v>
      </c>
      <c r="K41" cm="1">
        <f t="array" ref="K41">GammaCP(K$3,$C$4,$H6,$D$4,0,$E$4)</f>
        <v>3.3795857220289077E-4</v>
      </c>
      <c r="L41" cm="1">
        <f t="array" ref="L41">GammaCP(L$3,$C$4,$H6,$D$4,0,$E$4)</f>
        <v>1.9093551185000314E-3</v>
      </c>
      <c r="M41" cm="1">
        <f t="array" ref="M41">GammaCP(M$3,$C$4,$H6,$D$4,0,$E$4)</f>
        <v>6.736138931655423E-3</v>
      </c>
      <c r="N41" cm="1">
        <f t="array" ref="N41">GammaCP(N$3,$C$4,$H6,$D$4,0,$E$4)</f>
        <v>1.6048048164004219E-2</v>
      </c>
      <c r="O41" cm="1">
        <f t="array" ref="O41">GammaCP(O$3,$C$4,$H6,$D$4,0,$E$4)</f>
        <v>2.7482291431425852E-2</v>
      </c>
      <c r="P41" cm="1">
        <f t="array" ref="P41">GammaCP(P$3,$C$4,$H6,$D$4,0,$E$4)</f>
        <v>3.5581792279001205E-2</v>
      </c>
      <c r="Q41" cm="1">
        <f t="array" ref="Q41">GammaCP(Q$3,$C$4,$H6,$D$4,0,$E$4)</f>
        <v>3.6295576501642057E-2</v>
      </c>
      <c r="R41" cm="1">
        <f t="array" ref="R41">GammaCP(R$3,$C$4,$H6,$D$4,0,$E$4)</f>
        <v>3.0178399358531966E-2</v>
      </c>
      <c r="S41" cm="1">
        <f t="array" ref="S41">GammaCP(S$3,$C$4,$H6,$D$4,0,$E$4)</f>
        <v>2.1039503593612036E-2</v>
      </c>
      <c r="T41" cm="1">
        <f t="array" ref="T41">GammaCP(T$3,$C$4,$H6,$D$4,0,$E$4)</f>
        <v>1.259400347775148E-2</v>
      </c>
      <c r="U41" cm="1">
        <f t="array" ref="U41">GammaCP(U$3,$C$4,$H6,$D$4,0,$E$4)</f>
        <v>6.6034037139998071E-3</v>
      </c>
      <c r="V41" cm="1">
        <f t="array" ref="V41">GammaCP(V$3,$C$4,$H6,$D$4,0,$E$4)</f>
        <v>3.0847927412867744E-3</v>
      </c>
      <c r="W41" cm="1">
        <f t="array" ref="W41">GammaCP(W$3,$C$4,$H6,$D$4,0,$E$4)</f>
        <v>1.3026922814580186E-3</v>
      </c>
      <c r="X41" cm="1">
        <f t="array" ref="X41">GammaCP(X$3,$C$4,$H6,$D$4,0,$E$4)</f>
        <v>5.0353481185787989E-4</v>
      </c>
      <c r="Y41" cm="1">
        <f t="array" ref="Y41">GammaCP(Y$3,$C$4,$H6,$D$4,0,$E$4)</f>
        <v>1.800784918926651E-4</v>
      </c>
      <c r="AC41">
        <v>0.3</v>
      </c>
      <c r="AD41" cm="1">
        <f t="array" ref="AD41">GammaCP(I$3,$C$4,$H6,$D$4,0,$E$5)</f>
        <v>3.3715886606541128E-20</v>
      </c>
      <c r="AE41" cm="1">
        <f t="array" ref="AE41">GammaCP(J$3,$C$4,$H6,$D$4,0,$E$5)</f>
        <v>7.8761142092033319E-15</v>
      </c>
      <c r="AF41" cm="1">
        <f t="array" ref="AF41">GammaCP(K$3,$C$4,$H6,$D$4,0,$E$5)</f>
        <v>1.0961347486332762E-10</v>
      </c>
      <c r="AG41" cm="1">
        <f t="array" ref="AG41">GammaCP(L$3,$C$4,$H6,$D$4,0,$E$5)</f>
        <v>1.5233209793360453E-7</v>
      </c>
      <c r="AH41" cm="1">
        <f t="array" ref="AH41">GammaCP(M$3,$C$4,$H6,$D$4,0,$E$5)</f>
        <v>3.1551352715495865E-5</v>
      </c>
      <c r="AI41" cm="1">
        <f t="array" ref="AI41">GammaCP(N$3,$C$4,$H6,$D$4,0,$E$5)</f>
        <v>1.3351896003566924E-3</v>
      </c>
      <c r="AJ41" cm="1">
        <f t="array" ref="AJ41">GammaCP(O$3,$C$4,$H6,$D$4,0,$E$5)</f>
        <v>1.4851555899595276E-2</v>
      </c>
      <c r="AK41" cm="1">
        <f t="array" ref="AK41">GammaCP(P$3,$C$4,$H6,$D$4,0,$E$5)</f>
        <v>5.3227540948401576E-2</v>
      </c>
      <c r="AL41" cm="1">
        <f t="array" ref="AL41">GammaCP(Q$3,$C$4,$H6,$D$4,0,$E$5)</f>
        <v>7.2591153003284115E-2</v>
      </c>
      <c r="AM41" cm="1">
        <f t="array" ref="AM41">GammaCP(R$3,$C$4,$H6,$D$4,0,$E$5)</f>
        <v>4.3212117686085315E-2</v>
      </c>
      <c r="AN41" cm="1">
        <f t="array" ref="AN41">GammaCP(S$3,$C$4,$H6,$D$4,0,$E$5)</f>
        <v>1.2585716288856257E-2</v>
      </c>
      <c r="AO41" cm="1">
        <f t="array" ref="AO41">GammaCP(T$3,$C$4,$H6,$D$4,0,$E$5)</f>
        <v>1.9736239926009683E-3</v>
      </c>
      <c r="AP41" cm="1">
        <f t="array" ref="AP41">GammaCP(U$3,$C$4,$H6,$D$4,0,$E$5)</f>
        <v>1.8065746203269187E-4</v>
      </c>
      <c r="AQ41" cm="1">
        <f t="array" ref="AQ41">GammaCP(V$3,$C$4,$H6,$D$4,0,$E$5)</f>
        <v>1.0338747257813624E-5</v>
      </c>
      <c r="AR41" cm="1">
        <f t="array" ref="AR41">GammaCP(W$3,$C$4,$H6,$D$4,0,$E$5)</f>
        <v>3.9226661156427158E-7</v>
      </c>
      <c r="AS41" cm="1">
        <f t="array" ref="AS41">GammaCP(X$3,$C$4,$H6,$D$4,0,$E$5)</f>
        <v>1.0377407251949232E-8</v>
      </c>
      <c r="AT41" cm="1">
        <f t="array" ref="AT41">GammaCP(Y$3,$C$4,$H6,$D$4,0,$E$5)</f>
        <v>1.9993666289338617E-10</v>
      </c>
    </row>
    <row r="42" spans="7:46" x14ac:dyDescent="0.2">
      <c r="G42" t="s">
        <v>36</v>
      </c>
      <c r="H42">
        <v>0.4</v>
      </c>
      <c r="I42" cm="1">
        <f t="array" ref="I42">GammaCP(I$3,$C$4,$H7,$D$4,0,$E$4)</f>
        <v>2.2064431982817099E-5</v>
      </c>
      <c r="J42" cm="1">
        <f t="array" ref="J42">GammaCP(J$3,$C$4,$H7,$D$4,0,$E$4)</f>
        <v>2.0218238688417132E-4</v>
      </c>
      <c r="K42" cm="1">
        <f t="array" ref="K42">GammaCP(K$3,$C$4,$H7,$D$4,0,$E$4)</f>
        <v>1.1000759814895993E-3</v>
      </c>
      <c r="L42" cm="1">
        <f t="array" ref="L42">GammaCP(L$3,$C$4,$H7,$D$4,0,$E$4)</f>
        <v>3.9113907532951553E-3</v>
      </c>
      <c r="M42" cm="1">
        <f t="array" ref="M42">GammaCP(M$3,$C$4,$H7,$D$4,0,$E$4)</f>
        <v>9.7884039294375228E-3</v>
      </c>
      <c r="N42" cm="1">
        <f t="array" ref="N42">GammaCP(N$3,$C$4,$H7,$D$4,0,$E$4)</f>
        <v>1.8278954822369093E-2</v>
      </c>
      <c r="O42" cm="1">
        <f t="array" ref="O42">GammaCP(O$3,$C$4,$H7,$D$4,0,$E$4)</f>
        <v>2.6687880405210144E-2</v>
      </c>
      <c r="P42" cm="1">
        <f t="array" ref="P42">GammaCP(P$3,$C$4,$H7,$D$4,0,$E$4)</f>
        <v>3.1635322258043573E-2</v>
      </c>
      <c r="Q42" cm="1">
        <f t="array" ref="Q42">GammaCP(Q$3,$C$4,$H7,$D$4,0,$E$4)</f>
        <v>3.1397549176385639E-2</v>
      </c>
      <c r="R42" cm="1">
        <f t="array" ref="R42">GammaCP(R$3,$C$4,$H7,$D$4,0,$E$4)</f>
        <v>2.6761306237360671E-2</v>
      </c>
      <c r="S42" cm="1">
        <f t="array" ref="S42">GammaCP(S$3,$C$4,$H7,$D$4,0,$E$4)</f>
        <v>2.0006577096239701E-2</v>
      </c>
      <c r="T42" cm="1">
        <f t="array" ref="T42">GammaCP(T$3,$C$4,$H7,$D$4,0,$E$4)</f>
        <v>1.3352820984703353E-2</v>
      </c>
      <c r="U42" cm="1">
        <f t="array" ref="U42">GammaCP(U$3,$C$4,$H7,$D$4,0,$E$4)</f>
        <v>8.0758746095868552E-3</v>
      </c>
      <c r="V42" cm="1">
        <f t="array" ref="V42">GammaCP(V$3,$C$4,$H7,$D$4,0,$E$4)</f>
        <v>4.4825674910614196E-3</v>
      </c>
      <c r="W42" cm="1">
        <f t="array" ref="W42">GammaCP(W$3,$C$4,$H7,$D$4,0,$E$4)</f>
        <v>2.3082701661092642E-3</v>
      </c>
      <c r="X42" cm="1">
        <f t="array" ref="X42">GammaCP(X$3,$C$4,$H7,$D$4,0,$E$4)</f>
        <v>1.1130292486590083E-3</v>
      </c>
      <c r="Y42" cm="1">
        <f t="array" ref="Y42">GammaCP(Y$3,$C$4,$H7,$D$4,0,$E$4)</f>
        <v>5.0660659975445036E-4</v>
      </c>
      <c r="AB42" t="s">
        <v>36</v>
      </c>
      <c r="AC42">
        <v>0.4</v>
      </c>
      <c r="AD42" cm="1">
        <f t="array" ref="AD42">GammaCP(I$3,$C$4,$H7,$D$4,0,$E$5)</f>
        <v>1.5374265651823466E-15</v>
      </c>
      <c r="AE42" cm="1">
        <f t="array" ref="AE42">GammaCP(J$3,$C$4,$H7,$D$4,0,$E$5)</f>
        <v>1.553910960400279E-11</v>
      </c>
      <c r="AF42" cm="1">
        <f t="array" ref="AF42">GammaCP(K$3,$C$4,$H7,$D$4,0,$E$5)</f>
        <v>1.9009673521623239E-8</v>
      </c>
      <c r="AG42" cm="1">
        <f t="array" ref="AG42">GammaCP(L$3,$C$4,$H7,$D$4,0,$E$5)</f>
        <v>4.1442242901485525E-6</v>
      </c>
      <c r="AH42" cm="1">
        <f t="array" ref="AH42">GammaCP(M$3,$C$4,$H7,$D$4,0,$E$5)</f>
        <v>2.1731776002153894E-4</v>
      </c>
      <c r="AI42" cm="1">
        <f t="array" ref="AI42">GammaCP(N$3,$C$4,$H7,$D$4,0,$E$5)</f>
        <v>3.4716293491663377E-3</v>
      </c>
      <c r="AJ42" cm="1">
        <f t="array" ref="AJ42">GammaCP(O$3,$C$4,$H7,$D$4,0,$E$5)</f>
        <v>2.0402828136932078E-2</v>
      </c>
      <c r="AK42" cm="1">
        <f t="array" ref="AK42">GammaCP(P$3,$C$4,$H7,$D$4,0,$E$5)</f>
        <v>5.137928103783846E-2</v>
      </c>
      <c r="AL42" cm="1">
        <f t="array" ref="AL42">GammaCP(Q$3,$C$4,$H7,$D$4,0,$E$5)</f>
        <v>6.2795098352771278E-2</v>
      </c>
      <c r="AM42" cm="1">
        <f t="array" ref="AM42">GammaCP(R$3,$C$4,$H7,$D$4,0,$E$5)</f>
        <v>4.1278492158452362E-2</v>
      </c>
      <c r="AN42" cm="1">
        <f t="array" ref="AN42">GammaCP(S$3,$C$4,$H7,$D$4,0,$E$5)</f>
        <v>1.5896481134192911E-2</v>
      </c>
      <c r="AO42" cm="1">
        <f t="array" ref="AO42">GammaCP(T$3,$C$4,$H7,$D$4,0,$E$5)</f>
        <v>3.852788206715317E-3</v>
      </c>
      <c r="AP42" cm="1">
        <f t="array" ref="AP42">GammaCP(U$3,$C$4,$H7,$D$4,0,$E$5)</f>
        <v>6.2433347878451618E-4</v>
      </c>
      <c r="AQ42" cm="1">
        <f t="array" ref="AQ42">GammaCP(V$3,$C$4,$H7,$D$4,0,$E$5)</f>
        <v>7.121068360385758E-5</v>
      </c>
      <c r="AR42" cm="1">
        <f t="array" ref="AR42">GammaCP(W$3,$C$4,$H7,$D$4,0,$E$5)</f>
        <v>5.9735759091088044E-6</v>
      </c>
      <c r="AS42" cm="1">
        <f t="array" ref="AS42">GammaCP(X$3,$C$4,$H7,$D$4,0,$E$5)</f>
        <v>3.8271106091862608E-7</v>
      </c>
      <c r="AT42" cm="1">
        <f t="array" ref="AT42">GammaCP(Y$3,$C$4,$H7,$D$4,0,$E$5)</f>
        <v>1.9346494359707465E-8</v>
      </c>
    </row>
    <row r="43" spans="7:46" x14ac:dyDescent="0.2">
      <c r="H43">
        <v>0.5</v>
      </c>
      <c r="I43" cm="1">
        <f t="array" ref="I43">GammaCP(I$3,$C$4,$H8,$D$4,0,$E$4)</f>
        <v>1.0070170546498086E-4</v>
      </c>
      <c r="J43" cm="1">
        <f t="array" ref="J43">GammaCP(J$3,$C$4,$H8,$D$4,0,$E$4)</f>
        <v>5.7611680391896742E-4</v>
      </c>
      <c r="K43" cm="1">
        <f t="array" ref="K43">GammaCP(K$3,$C$4,$H8,$D$4,0,$E$4)</f>
        <v>2.1766539744156989E-3</v>
      </c>
      <c r="L43" cm="1">
        <f t="array" ref="L43">GammaCP(L$3,$C$4,$H8,$D$4,0,$E$4)</f>
        <v>5.8617741810673704E-3</v>
      </c>
      <c r="M43" cm="1">
        <f t="array" ref="M43">GammaCP(M$3,$C$4,$H8,$D$4,0,$E$4)</f>
        <v>1.1937780047109169E-2</v>
      </c>
      <c r="N43" cm="1">
        <f t="array" ref="N43">GammaCP(N$3,$C$4,$H8,$D$4,0,$E$4)</f>
        <v>1.9261939996234254E-2</v>
      </c>
      <c r="O43" cm="1">
        <f t="array" ref="O43">GammaCP(O$3,$C$4,$H8,$D$4,0,$E$4)</f>
        <v>2.5556533759819561E-2</v>
      </c>
      <c r="P43" cm="1">
        <f t="array" ref="P43">GammaCP(P$3,$C$4,$H8,$D$4,0,$E$4)</f>
        <v>2.8732281352043247E-2</v>
      </c>
      <c r="Q43" cm="1">
        <f t="array" ref="Q43">GammaCP(Q$3,$C$4,$H8,$D$4,0,$E$4)</f>
        <v>2.8051246304186254E-2</v>
      </c>
      <c r="R43" cm="1">
        <f t="array" ref="R43">GammaCP(R$3,$C$4,$H8,$D$4,0,$E$4)</f>
        <v>2.4267506445708336E-2</v>
      </c>
      <c r="S43" cm="1">
        <f t="array" ref="S43">GammaCP(S$3,$C$4,$H8,$D$4,0,$E$4)</f>
        <v>1.8918485039079759E-2</v>
      </c>
      <c r="T43" cm="1">
        <f t="array" ref="T43">GammaCP(T$3,$C$4,$H8,$D$4,0,$E$4)</f>
        <v>1.3478753756809105E-2</v>
      </c>
      <c r="U43" cm="1">
        <f t="array" ref="U43">GammaCP(U$3,$C$4,$H8,$D$4,0,$E$4)</f>
        <v>8.881243547387634E-3</v>
      </c>
      <c r="V43" cm="1">
        <f t="array" ref="V43">GammaCP(V$3,$C$4,$H8,$D$4,0,$E$4)</f>
        <v>5.4668672380470719E-3</v>
      </c>
      <c r="W43" cm="1">
        <f t="array" ref="W43">GammaCP(W$3,$C$4,$H8,$D$4,0,$E$4)</f>
        <v>3.1709157235184286E-3</v>
      </c>
      <c r="X43" cm="1">
        <f t="array" ref="X43">GammaCP(X$3,$C$4,$H8,$D$4,0,$E$4)</f>
        <v>1.7459186523562475E-3</v>
      </c>
      <c r="Y43" cm="1">
        <f t="array" ref="Y43">GammaCP(Y$3,$C$4,$H8,$D$4,0,$E$4)</f>
        <v>9.1839058774420643E-4</v>
      </c>
      <c r="AC43">
        <v>0.5</v>
      </c>
      <c r="AD43" cm="1">
        <f t="array" ref="AD43">GammaCP(I$3,$C$4,$H8,$D$4,0,$E$5)</f>
        <v>9.3540877738933165E-13</v>
      </c>
      <c r="AE43" cm="1">
        <f t="array" ref="AE43">GammaCP(J$3,$C$4,$H8,$D$4,0,$E$5)</f>
        <v>1.4365666725428593E-9</v>
      </c>
      <c r="AF43" cm="1">
        <f t="array" ref="AF43">GammaCP(K$3,$C$4,$H8,$D$4,0,$E$5)</f>
        <v>4.0857545005606403E-7</v>
      </c>
      <c r="AG43" cm="1">
        <f t="array" ref="AG43">GammaCP(L$3,$C$4,$H8,$D$4,0,$E$5)</f>
        <v>2.931335523260756E-5</v>
      </c>
      <c r="AH43" cm="1">
        <f t="array" ref="AH43">GammaCP(M$3,$C$4,$H8,$D$4,0,$E$5)</f>
        <v>6.7417515498728673E-4</v>
      </c>
      <c r="AI43" cm="1">
        <f t="array" ref="AI43">GammaCP(N$3,$C$4,$H8,$D$4,0,$E$5)</f>
        <v>6.0028678035567969E-3</v>
      </c>
      <c r="AJ43" cm="1">
        <f t="array" ref="AJ43">GammaCP(O$3,$C$4,$H8,$D$4,0,$E$5)</f>
        <v>2.4058724750173604E-2</v>
      </c>
      <c r="AK43" cm="1">
        <f t="array" ref="AK43">GammaCP(P$3,$C$4,$H8,$D$4,0,$E$5)</f>
        <v>4.9024161779533067E-2</v>
      </c>
      <c r="AL43" cm="1">
        <f t="array" ref="AL43">GammaCP(Q$3,$C$4,$H8,$D$4,0,$E$5)</f>
        <v>5.6102492608372509E-2</v>
      </c>
      <c r="AM43" cm="1">
        <f t="array" ref="AM43">GammaCP(R$3,$C$4,$H8,$D$4,0,$E$5)</f>
        <v>3.914046415242152E-2</v>
      </c>
      <c r="AN43" cm="1">
        <f t="array" ref="AN43">GammaCP(S$3,$C$4,$H8,$D$4,0,$E$5)</f>
        <v>1.7823213843019742E-2</v>
      </c>
      <c r="AO43" cm="1">
        <f t="array" ref="AO43">GammaCP(T$3,$C$4,$H8,$D$4,0,$E$5)</f>
        <v>5.6093527215653801E-3</v>
      </c>
      <c r="AP43" cm="1">
        <f t="array" ref="AP43">GammaCP(U$3,$C$4,$H8,$D$4,0,$E$5)</f>
        <v>1.2805137235044073E-3</v>
      </c>
      <c r="AQ43" cm="1">
        <f t="array" ref="AQ43">GammaCP(V$3,$C$4,$H8,$D$4,0,$E$5)</f>
        <v>2.2091371478623375E-4</v>
      </c>
      <c r="AR43" cm="1">
        <f t="array" ref="AR43">GammaCP(W$3,$C$4,$H8,$D$4,0,$E$5)</f>
        <v>2.9830284442140869E-5</v>
      </c>
      <c r="AS43" cm="1">
        <f t="array" ref="AS43">GammaCP(X$3,$C$4,$H8,$D$4,0,$E$5)</f>
        <v>3.249162919518064E-6</v>
      </c>
      <c r="AT43" cm="1">
        <f t="array" ref="AT43">GammaCP(Y$3,$C$4,$H8,$D$4,0,$E$5)</f>
        <v>2.9299443269233378E-7</v>
      </c>
    </row>
    <row r="44" spans="7:46" x14ac:dyDescent="0.2">
      <c r="H44">
        <v>0.6</v>
      </c>
      <c r="I44" cm="1">
        <f t="array" ref="I44">GammaCP(I$3,$C$4,$H9,$D$4,0,$E$4)</f>
        <v>2.7236380704730455E-4</v>
      </c>
      <c r="J44" cm="1">
        <f t="array" ref="J44">GammaCP(J$3,$C$4,$H9,$D$4,0,$E$4)</f>
        <v>1.1382523244176262E-3</v>
      </c>
      <c r="K44" cm="1">
        <f t="array" ref="K44">GammaCP(K$3,$C$4,$H9,$D$4,0,$E$4)</f>
        <v>3.3722289783455627E-3</v>
      </c>
      <c r="L44" cm="1">
        <f t="array" ref="L44">GammaCP(L$3,$C$4,$H9,$D$4,0,$E$4)</f>
        <v>7.5458967272333368E-3</v>
      </c>
      <c r="M44" cm="1">
        <f t="array" ref="M44">GammaCP(M$3,$C$4,$H9,$D$4,0,$E$4)</f>
        <v>1.3395159432299533E-2</v>
      </c>
      <c r="N44" cm="1">
        <f t="array" ref="N44">GammaCP(N$3,$C$4,$H9,$D$4,0,$E$4)</f>
        <v>1.9607203543702156E-2</v>
      </c>
      <c r="O44" cm="1">
        <f t="array" ref="O44">GammaCP(O$3,$C$4,$H9,$D$4,0,$E$4)</f>
        <v>2.440677414752461E-2</v>
      </c>
      <c r="P44" cm="1">
        <f t="array" ref="P44">GammaCP(P$3,$C$4,$H9,$D$4,0,$E$4)</f>
        <v>2.6488164394297603E-2</v>
      </c>
      <c r="Q44" cm="1">
        <f t="array" ref="Q44">GammaCP(Q$3,$C$4,$H9,$D$4,0,$E$4)</f>
        <v>2.55783754134996E-2</v>
      </c>
      <c r="R44" cm="1">
        <f t="array" ref="R44">GammaCP(R$3,$C$4,$H9,$D$4,0,$E$4)</f>
        <v>2.234876720629585E-2</v>
      </c>
      <c r="S44" cm="1">
        <f t="array" ref="S44">GammaCP(S$3,$C$4,$H9,$D$4,0,$E$4)</f>
        <v>1.7916173218194179E-2</v>
      </c>
      <c r="T44" cm="1">
        <f t="array" ref="T44">GammaCP(T$3,$C$4,$H9,$D$4,0,$E$4)</f>
        <v>1.333267834934383E-2</v>
      </c>
      <c r="U44" cm="1">
        <f t="array" ref="U44">GammaCP(U$3,$C$4,$H9,$D$4,0,$E$4)</f>
        <v>9.3013597568778472E-3</v>
      </c>
      <c r="V44" cm="1">
        <f t="array" ref="V44">GammaCP(V$3,$C$4,$H9,$D$4,0,$E$4)</f>
        <v>6.1342693499021796E-3</v>
      </c>
      <c r="W44" cm="1">
        <f t="array" ref="W44">GammaCP(W$3,$C$4,$H9,$D$4,0,$E$4)</f>
        <v>3.8518254155354287E-3</v>
      </c>
      <c r="X44" cm="1">
        <f t="array" ref="X44">GammaCP(X$3,$C$4,$H9,$D$4,0,$E$4)</f>
        <v>2.3169614647433378E-3</v>
      </c>
      <c r="Y44" cm="1">
        <f t="array" ref="Y44">GammaCP(Y$3,$C$4,$H9,$D$4,0,$E$4)</f>
        <v>1.3421930911671856E-3</v>
      </c>
      <c r="AC44">
        <v>0.6</v>
      </c>
      <c r="AD44" cm="1">
        <f t="array" ref="AD44">GammaCP(I$3,$C$4,$H9,$D$4,0,$E$5)</f>
        <v>6.60221001258594E-11</v>
      </c>
      <c r="AE44" cm="1">
        <f t="array" ref="AE44">GammaCP(J$3,$C$4,$H9,$D$4,0,$E$5)</f>
        <v>2.8871903156587706E-8</v>
      </c>
      <c r="AF44" cm="1">
        <f t="array" ref="AF44">GammaCP(K$3,$C$4,$H9,$D$4,0,$E$5)</f>
        <v>3.1047063387497025E-6</v>
      </c>
      <c r="AG44" cm="1">
        <f t="array" ref="AG44">GammaCP(L$3,$C$4,$H9,$D$4,0,$E$5)</f>
        <v>1.0617694808839026E-4</v>
      </c>
      <c r="AH44" cm="1">
        <f t="array" ref="AH44">GammaCP(M$3,$C$4,$H9,$D$4,0,$E$5)</f>
        <v>1.4096380488958409E-3</v>
      </c>
      <c r="AI44" cm="1">
        <f t="array" ref="AI44">GammaCP(N$3,$C$4,$H9,$D$4,0,$E$5)</f>
        <v>8.5007827825346501E-3</v>
      </c>
      <c r="AJ44" cm="1">
        <f t="array" ref="AJ44">GammaCP(O$3,$C$4,$H9,$D$4,0,$E$5)</f>
        <v>2.6396354113062126E-2</v>
      </c>
      <c r="AK44" cm="1">
        <f t="array" ref="AK44">GammaCP(P$3,$C$4,$H9,$D$4,0,$E$5)</f>
        <v>4.670622857015766E-2</v>
      </c>
      <c r="AL44" cm="1">
        <f t="array" ref="AL44">GammaCP(Q$3,$C$4,$H9,$D$4,0,$E$5)</f>
        <v>5.1156750826999199E-2</v>
      </c>
      <c r="AM44" cm="1">
        <f t="array" ref="AM44">GammaCP(R$3,$C$4,$H9,$D$4,0,$E$5)</f>
        <v>3.7134472308525499E-2</v>
      </c>
      <c r="AN44" cm="1">
        <f t="array" ref="AN44">GammaCP(S$3,$C$4,$H9,$D$4,0,$E$5)</f>
        <v>1.8908593172743498E-2</v>
      </c>
      <c r="AO44" cm="1">
        <f t="array" ref="AO44">GammaCP(T$3,$C$4,$H9,$D$4,0,$E$5)</f>
        <v>7.0830615084530833E-3</v>
      </c>
      <c r="AP44" cm="1">
        <f t="array" ref="AP44">GammaCP(U$3,$C$4,$H9,$D$4,0,$E$5)</f>
        <v>2.0319475824949786E-3</v>
      </c>
      <c r="AQ44" cm="1">
        <f t="array" ref="AQ44">GammaCP(V$3,$C$4,$H9,$D$4,0,$E$5)</f>
        <v>4.6191019586218839E-4</v>
      </c>
      <c r="AR44" cm="1">
        <f t="array" ref="AR44">GammaCP(W$3,$C$4,$H9,$D$4,0,$E$5)</f>
        <v>8.5668780985105112E-5</v>
      </c>
      <c r="AS44" cm="1">
        <f t="array" ref="AS44">GammaCP(X$3,$C$4,$H9,$D$4,0,$E$5)</f>
        <v>1.3291938562945965E-5</v>
      </c>
      <c r="AT44" cm="1">
        <f t="array" ref="AT44">GammaCP(Y$3,$C$4,$H9,$D$4,0,$E$5)</f>
        <v>1.762979573893959E-6</v>
      </c>
    </row>
    <row r="45" spans="7:46" x14ac:dyDescent="0.2">
      <c r="H45">
        <v>0.7</v>
      </c>
      <c r="I45" cm="1">
        <f t="array" ref="I45">GammaCP(I$3,$C$4,$H10,$D$4,0,$E$4)</f>
        <v>5.4760481596518001E-4</v>
      </c>
      <c r="J45" cm="1">
        <f t="array" ref="J45">GammaCP(J$3,$C$4,$H10,$D$4,0,$E$4)</f>
        <v>1.8286848240875091E-3</v>
      </c>
      <c r="K45" cm="1">
        <f t="array" ref="K45">GammaCP(K$3,$C$4,$H10,$D$4,0,$E$4)</f>
        <v>4.5539531232495038E-3</v>
      </c>
      <c r="L45" cm="1">
        <f t="array" ref="L45">GammaCP(L$3,$C$4,$H10,$D$4,0,$E$4)</f>
        <v>8.9273180622224217E-3</v>
      </c>
      <c r="M45" cm="1">
        <f t="array" ref="M45">GammaCP(M$3,$C$4,$H10,$D$4,0,$E$4)</f>
        <v>1.4366321033900608E-2</v>
      </c>
      <c r="N45" cm="1">
        <f t="array" ref="N45">GammaCP(N$3,$C$4,$H10,$D$4,0,$E$4)</f>
        <v>1.9615204928584505E-2</v>
      </c>
      <c r="O45" cm="1">
        <f t="array" ref="O45">GammaCP(O$3,$C$4,$H10,$D$4,0,$E$4)</f>
        <v>2.3329031963279283E-2</v>
      </c>
      <c r="P45" cm="1">
        <f t="array" ref="P45">GammaCP(P$3,$C$4,$H10,$D$4,0,$E$4)</f>
        <v>2.4688265009858646E-2</v>
      </c>
      <c r="Q45" cm="1">
        <f t="array" ref="Q45">GammaCP(Q$3,$C$4,$H10,$D$4,0,$E$4)</f>
        <v>2.3654347961507349E-2</v>
      </c>
      <c r="R45" cm="1">
        <f t="array" ref="R45">GammaCP(R$3,$C$4,$H10,$D$4,0,$E$4)</f>
        <v>2.0814619144845083E-2</v>
      </c>
      <c r="S45" cm="1">
        <f t="array" ref="S45">GammaCP(S$3,$C$4,$H10,$D$4,0,$E$4)</f>
        <v>1.7022556226213847E-2</v>
      </c>
      <c r="T45" cm="1">
        <f t="array" ref="T45">GammaCP(T$3,$C$4,$H10,$D$4,0,$E$4)</f>
        <v>1.306782132810054E-2</v>
      </c>
      <c r="U45" cm="1">
        <f t="array" ref="U45">GammaCP(U$3,$C$4,$H10,$D$4,0,$E$4)</f>
        <v>9.496205086649636E-3</v>
      </c>
      <c r="V45" cm="1">
        <f t="array" ref="V45">GammaCP(V$3,$C$4,$H10,$D$4,0,$E$4)</f>
        <v>6.5790096216856199E-3</v>
      </c>
      <c r="W45" cm="1">
        <f t="array" ref="W45">GammaCP(W$3,$C$4,$H10,$D$4,0,$E$4)</f>
        <v>4.3719665660242645E-3</v>
      </c>
      <c r="X45" cm="1">
        <f t="array" ref="X45">GammaCP(X$3,$C$4,$H10,$D$4,0,$E$4)</f>
        <v>2.8013465758306819E-3</v>
      </c>
      <c r="Y45" cm="1">
        <f t="array" ref="Y45">GammaCP(Y$3,$C$4,$H10,$D$4,0,$E$4)</f>
        <v>1.7385470025647564E-3</v>
      </c>
      <c r="AC45">
        <v>0.7</v>
      </c>
      <c r="AD45" cm="1">
        <f t="array" ref="AD45">GammaCP(I$3,$C$4,$H10,$D$4,0,$E$5)</f>
        <v>1.3641015888556876E-9</v>
      </c>
      <c r="AE45" cm="1">
        <f t="array" ref="AE45">GammaCP(J$3,$C$4,$H10,$D$4,0,$E$5)</f>
        <v>2.4319945667214467E-7</v>
      </c>
      <c r="AF45" cm="1">
        <f t="array" ref="AF45">GammaCP(K$3,$C$4,$H10,$D$4,0,$E$5)</f>
        <v>1.3055468334454291E-5</v>
      </c>
      <c r="AG45" cm="1">
        <f t="array" ref="AG45">GammaCP(L$3,$C$4,$H10,$D$4,0,$E$5)</f>
        <v>2.630006185665992E-4</v>
      </c>
      <c r="AH45" cm="1">
        <f t="array" ref="AH45">GammaCP(M$3,$C$4,$H10,$D$4,0,$E$5)</f>
        <v>2.3582196949555518E-3</v>
      </c>
      <c r="AI45" cm="1">
        <f t="array" ref="AI45">GammaCP(N$3,$C$4,$H10,$D$4,0,$E$5)</f>
        <v>1.0765981199439561E-2</v>
      </c>
      <c r="AJ45" cm="1">
        <f t="array" ref="AJ45">GammaCP(O$3,$C$4,$H10,$D$4,0,$E$5)</f>
        <v>2.7859621858699939E-2</v>
      </c>
      <c r="AK45" cm="1">
        <f t="array" ref="AK45">GammaCP(P$3,$C$4,$H10,$D$4,0,$E$5)</f>
        <v>4.4567221413124185E-2</v>
      </c>
      <c r="AL45" cm="1">
        <f t="array" ref="AL45">GammaCP(Q$3,$C$4,$H10,$D$4,0,$E$5)</f>
        <v>4.7308695923014697E-2</v>
      </c>
      <c r="AM45" cm="1">
        <f t="array" ref="AM45">GammaCP(R$3,$C$4,$H10,$D$4,0,$E$5)</f>
        <v>3.5328302741473985E-2</v>
      </c>
      <c r="AN45" cm="1">
        <f t="array" ref="AN45">GammaCP(S$3,$C$4,$H10,$D$4,0,$E$5)</f>
        <v>1.9483332622964505E-2</v>
      </c>
      <c r="AO45" cm="1">
        <f t="array" ref="AO45">GammaCP(T$3,$C$4,$H10,$D$4,0,$E$5)</f>
        <v>8.2651375479295131E-3</v>
      </c>
      <c r="AP45" cm="1">
        <f t="array" ref="AP45">GammaCP(U$3,$C$4,$H10,$D$4,0,$E$5)</f>
        <v>2.7913416838140051E-3</v>
      </c>
      <c r="AQ45" cm="1">
        <f t="array" ref="AQ45">GammaCP(V$3,$C$4,$H10,$D$4,0,$E$5)</f>
        <v>7.7274142964303433E-4</v>
      </c>
      <c r="AR45" cm="1">
        <f t="array" ref="AR45">GammaCP(W$3,$C$4,$H10,$D$4,0,$E$5)</f>
        <v>1.7978334895153025E-4</v>
      </c>
      <c r="AS45" cm="1">
        <f t="array" ref="AS45">GammaCP(X$3,$C$4,$H10,$D$4,0,$E$5)</f>
        <v>3.5914215033327016E-5</v>
      </c>
      <c r="AT45" cm="1">
        <f t="array" ref="AT45">GammaCP(Y$3,$C$4,$H10,$D$4,0,$E$5)</f>
        <v>6.275075552985542E-6</v>
      </c>
    </row>
    <row r="46" spans="7:46" x14ac:dyDescent="0.2">
      <c r="H46">
        <v>0.8</v>
      </c>
      <c r="I46" cm="1">
        <f t="array" ref="I46">GammaCP(I$3,$C$4,$H11,$D$4,0,$E$4)</f>
        <v>9.1609936771568209E-4</v>
      </c>
      <c r="J46" cm="1">
        <f t="array" ref="J46">GammaCP(J$3,$C$4,$H11,$D$4,0,$E$4)</f>
        <v>2.5855385907713364E-3</v>
      </c>
      <c r="K46" cm="1">
        <f t="array" ref="K46">GammaCP(K$3,$C$4,$H11,$D$4,0,$E$4)</f>
        <v>5.6523508060789462E-3</v>
      </c>
      <c r="L46" cm="1">
        <f t="array" ref="L46">GammaCP(L$3,$C$4,$H11,$D$4,0,$E$4)</f>
        <v>1.0033802504733588E-2</v>
      </c>
      <c r="M46" cm="1">
        <f t="array" ref="M46">GammaCP(M$3,$C$4,$H11,$D$4,0,$E$4)</f>
        <v>1.5001364182628533E-2</v>
      </c>
      <c r="N46" cm="1">
        <f t="array" ref="N46">GammaCP(N$3,$C$4,$H11,$D$4,0,$E$4)</f>
        <v>1.944073459830415E-2</v>
      </c>
      <c r="O46" cm="1">
        <f t="array" ref="O46">GammaCP(O$3,$C$4,$H11,$D$4,0,$E$4)</f>
        <v>2.2344641814505347E-2</v>
      </c>
      <c r="P46" cm="1">
        <f t="array" ref="P46">GammaCP(P$3,$C$4,$H11,$D$4,0,$E$4)</f>
        <v>2.3203661883923712E-2</v>
      </c>
      <c r="Q46" cm="1">
        <f t="array" ref="Q46">GammaCP(Q$3,$C$4,$H11,$D$4,0,$E$4)</f>
        <v>2.2101737998123483E-2</v>
      </c>
      <c r="R46" cm="1">
        <f t="array" ref="R46">GammaCP(R$3,$C$4,$H11,$D$4,0,$E$4)</f>
        <v>1.9552017122180458E-2</v>
      </c>
      <c r="S46" cm="1">
        <f t="array" ref="S46">GammaCP(S$3,$C$4,$H11,$D$4,0,$E$4)</f>
        <v>1.6231040004613291E-2</v>
      </c>
      <c r="T46" cm="1">
        <f t="array" ref="T46">GammaCP(T$3,$C$4,$H11,$D$4,0,$E$4)</f>
        <v>1.2754236173725023E-2</v>
      </c>
      <c r="U46" cm="1">
        <f t="array" ref="U46">GammaCP(U$3,$C$4,$H11,$D$4,0,$E$4)</f>
        <v>9.5562993383245896E-3</v>
      </c>
      <c r="V46" cm="1">
        <f t="array" ref="V46">GammaCP(V$3,$C$4,$H11,$D$4,0,$E$4)</f>
        <v>6.8698255498420117E-3</v>
      </c>
      <c r="W46" cm="1">
        <f t="array" ref="W46">GammaCP(W$3,$C$4,$H11,$D$4,0,$E$4)</f>
        <v>4.7634480986671439E-3</v>
      </c>
      <c r="X46" cm="1">
        <f t="array" ref="X46">GammaCP(X$3,$C$4,$H11,$D$4,0,$E$4)</f>
        <v>3.2002933770762325E-3</v>
      </c>
      <c r="Y46" cm="1">
        <f t="array" ref="Y46">GammaCP(Y$3,$C$4,$H11,$D$4,0,$E$4)</f>
        <v>2.0914714572423773E-3</v>
      </c>
      <c r="AC46">
        <v>0.8</v>
      </c>
      <c r="AD46" cm="1">
        <f t="array" ref="AD46">GammaCP(I$3,$C$4,$H11,$D$4,0,$E$5)</f>
        <v>1.309790020055326E-8</v>
      </c>
      <c r="AE46" cm="1">
        <f t="array" ref="AE46">GammaCP(J$3,$C$4,$H11,$D$4,0,$E$5)</f>
        <v>1.1914200891051552E-6</v>
      </c>
      <c r="AF46" cm="1">
        <f t="array" ref="AF46">GammaCP(K$3,$C$4,$H11,$D$4,0,$E$5)</f>
        <v>3.7984667450688734E-5</v>
      </c>
      <c r="AG46" cm="1">
        <f t="array" ref="AG46">GammaCP(L$3,$C$4,$H11,$D$4,0,$E$5)</f>
        <v>5.1450381124671122E-4</v>
      </c>
      <c r="AH46" cm="1">
        <f t="array" ref="AH46">GammaCP(M$3,$C$4,$H11,$D$4,0,$E$5)</f>
        <v>3.4369932223750686E-3</v>
      </c>
      <c r="AI46" cm="1">
        <f t="array" ref="AI46">GammaCP(N$3,$C$4,$H11,$D$4,0,$E$5)</f>
        <v>1.2734636942227621E-2</v>
      </c>
      <c r="AJ46" cm="1">
        <f t="array" ref="AJ46">GammaCP(O$3,$C$4,$H11,$D$4,0,$E$5)</f>
        <v>2.8743231871235137E-2</v>
      </c>
      <c r="AK46" cm="1">
        <f t="array" ref="AK46">GammaCP(P$3,$C$4,$H11,$D$4,0,$E$5)</f>
        <v>4.2631739576590874E-2</v>
      </c>
      <c r="AL46" cm="1">
        <f t="array" ref="AL46">GammaCP(Q$3,$C$4,$H11,$D$4,0,$E$5)</f>
        <v>4.4203475996246966E-2</v>
      </c>
      <c r="AM46" cm="1">
        <f t="array" ref="AM46">GammaCP(R$3,$C$4,$H11,$D$4,0,$E$5)</f>
        <v>3.3718545937390328E-2</v>
      </c>
      <c r="AN46" cm="1">
        <f t="array" ref="AN46">GammaCP(S$3,$C$4,$H11,$D$4,0,$E$5)</f>
        <v>1.9742547542846392E-2</v>
      </c>
      <c r="AO46" cm="1">
        <f t="array" ref="AO46">GammaCP(T$3,$C$4,$H11,$D$4,0,$E$5)</f>
        <v>9.19409140342148E-3</v>
      </c>
      <c r="AP46" cm="1">
        <f t="array" ref="AP46">GammaCP(U$3,$C$4,$H11,$D$4,0,$E$5)</f>
        <v>3.5093388466936391E-3</v>
      </c>
      <c r="AQ46" cm="1">
        <f t="array" ref="AQ46">GammaCP(V$3,$C$4,$H11,$D$4,0,$E$5)</f>
        <v>1.1262339391078582E-3</v>
      </c>
      <c r="AR46" cm="1">
        <f t="array" ref="AR46">GammaCP(W$3,$C$4,$H11,$D$4,0,$E$5)</f>
        <v>3.1058576900406593E-4</v>
      </c>
      <c r="AS46" cm="1">
        <f t="array" ref="AS46">GammaCP(X$3,$C$4,$H11,$D$4,0,$E$5)</f>
        <v>7.4991466396696723E-5</v>
      </c>
      <c r="AT46" cm="1">
        <f t="array" ref="AT46">GammaCP(Y$3,$C$4,$H11,$D$4,0,$E$5)</f>
        <v>1.6111450652008537E-5</v>
      </c>
    </row>
    <row r="47" spans="7:46" x14ac:dyDescent="0.2">
      <c r="H47">
        <v>0.9</v>
      </c>
      <c r="I47" cm="1">
        <f t="array" ref="I47">GammaCP(I$3,$C$4,$H12,$D$4,0,$E$4)</f>
        <v>1.3571389458380502E-3</v>
      </c>
      <c r="J47" cm="1">
        <f t="array" ref="J47">GammaCP(J$3,$C$4,$H12,$D$4,0,$E$4)</f>
        <v>3.3605151026574491E-3</v>
      </c>
      <c r="K47" cm="1">
        <f t="array" ref="K47">GammaCP(K$3,$C$4,$H12,$D$4,0,$E$4)</f>
        <v>6.6387114573764547E-3</v>
      </c>
      <c r="L47" cm="1">
        <f t="array" ref="L47">GammaCP(L$3,$C$4,$H12,$D$4,0,$E$4)</f>
        <v>1.0909406223302241E-2</v>
      </c>
      <c r="M47" cm="1">
        <f t="array" ref="M47">GammaCP(M$3,$C$4,$H12,$D$4,0,$E$4)</f>
        <v>1.5403132263133373E-2</v>
      </c>
      <c r="N47" cm="1">
        <f t="array" ref="N47">GammaCP(N$3,$C$4,$H12,$D$4,0,$E$4)</f>
        <v>1.916736194416201E-2</v>
      </c>
      <c r="O47" cm="1">
        <f t="array" ref="O47">GammaCP(O$3,$C$4,$H12,$D$4,0,$E$4)</f>
        <v>2.1452524339852529E-2</v>
      </c>
      <c r="P47" cm="1">
        <f t="array" ref="P47">GammaCP(P$3,$C$4,$H12,$D$4,0,$E$4)</f>
        <v>2.1952066922098782E-2</v>
      </c>
      <c r="Q47" cm="1">
        <f t="array" ref="Q47">GammaCP(Q$3,$C$4,$H12,$D$4,0,$E$4)</f>
        <v>2.0814289167512139E-2</v>
      </c>
      <c r="R47" cm="1">
        <f t="array" ref="R47">GammaCP(R$3,$C$4,$H12,$D$4,0,$E$4)</f>
        <v>1.8489346824041981E-2</v>
      </c>
      <c r="S47" cm="1">
        <f t="array" ref="S47">GammaCP(S$3,$C$4,$H12,$D$4,0,$E$4)</f>
        <v>1.5528543194402064E-2</v>
      </c>
      <c r="T47" cm="1">
        <f t="array" ref="T47">GammaCP(T$3,$C$4,$H12,$D$4,0,$E$4)</f>
        <v>1.2425602990436631E-2</v>
      </c>
      <c r="U47" cm="1">
        <f t="array" ref="U47">GammaCP(U$3,$C$4,$H12,$D$4,0,$E$4)</f>
        <v>9.5342861100476319E-3</v>
      </c>
      <c r="V47" cm="1">
        <f t="array" ref="V47">GammaCP(V$3,$C$4,$H12,$D$4,0,$E$4)</f>
        <v>7.0538139252298493E-3</v>
      </c>
      <c r="W47" cm="1">
        <f t="array" ref="W47">GammaCP(W$3,$C$4,$H12,$D$4,0,$E$4)</f>
        <v>5.0554177985015743E-3</v>
      </c>
      <c r="X47" cm="1">
        <f t="array" ref="X47">GammaCP(X$3,$C$4,$H12,$D$4,0,$E$4)</f>
        <v>3.5239585209983202E-3</v>
      </c>
      <c r="Y47" cm="1">
        <f t="array" ref="Y47">GammaCP(Y$3,$C$4,$H12,$D$4,0,$E$4)</f>
        <v>2.3974428180687469E-3</v>
      </c>
      <c r="AC47">
        <v>0.9</v>
      </c>
      <c r="AD47" cm="1">
        <f t="array" ref="AD47">GammaCP(I$3,$C$4,$H12,$D$4,0,$E$5)</f>
        <v>7.5530633187758123E-8</v>
      </c>
      <c r="AE47" cm="1">
        <f t="array" ref="AE47">GammaCP(J$3,$C$4,$H12,$D$4,0,$E$5)</f>
        <v>4.0707905271917845E-6</v>
      </c>
      <c r="AF47" cm="1">
        <f t="array" ref="AF47">GammaCP(K$3,$C$4,$H12,$D$4,0,$E$5)</f>
        <v>8.6540937665519226E-5</v>
      </c>
      <c r="AG47" cm="1">
        <f t="array" ref="AG47">GammaCP(L$3,$C$4,$H12,$D$4,0,$E$5)</f>
        <v>8.6084583659867787E-4</v>
      </c>
      <c r="AH47" cm="1">
        <f t="array" ref="AH47">GammaCP(M$3,$C$4,$H12,$D$4,0,$E$5)</f>
        <v>4.573896828554253E-3</v>
      </c>
      <c r="AI47" cm="1">
        <f t="array" ref="AI47">GammaCP(N$3,$C$4,$H12,$D$4,0,$E$5)</f>
        <v>1.4407206646598534E-2</v>
      </c>
      <c r="AJ47" cm="1">
        <f t="array" ref="AJ47">GammaCP(O$3,$C$4,$H12,$D$4,0,$E$5)</f>
        <v>2.9238167534758407E-2</v>
      </c>
      <c r="AK47" cm="1">
        <f t="array" ref="AK47">GammaCP(P$3,$C$4,$H12,$D$4,0,$E$5)</f>
        <v>4.0888684659269085E-2</v>
      </c>
      <c r="AL47" cm="1">
        <f t="array" ref="AL47">GammaCP(Q$3,$C$4,$H12,$D$4,0,$E$5)</f>
        <v>4.1628578335024279E-2</v>
      </c>
      <c r="AM47" cm="1">
        <f t="array" ref="AM47">GammaCP(R$3,$C$4,$H12,$D$4,0,$E$5)</f>
        <v>3.2283704705699037E-2</v>
      </c>
      <c r="AN47" cm="1">
        <f t="array" ref="AN47">GammaCP(S$3,$C$4,$H12,$D$4,0,$E$5)</f>
        <v>1.9803191408745979E-2</v>
      </c>
      <c r="AO47" cm="1">
        <f t="array" ref="AO47">GammaCP(T$3,$C$4,$H12,$D$4,0,$E$5)</f>
        <v>9.9164315716425786E-3</v>
      </c>
      <c r="AP47" cm="1">
        <f t="array" ref="AP47">GammaCP(U$3,$C$4,$H12,$D$4,0,$E$5)</f>
        <v>4.1630686520652089E-3</v>
      </c>
      <c r="AQ47" cm="1">
        <f t="array" ref="AQ47">GammaCP(V$3,$C$4,$H12,$D$4,0,$E$5)</f>
        <v>1.4987745127806533E-3</v>
      </c>
      <c r="AR47" cm="1">
        <f t="array" ref="AR47">GammaCP(W$3,$C$4,$H12,$D$4,0,$E$5)</f>
        <v>4.7175720539731364E-4</v>
      </c>
      <c r="AS47" cm="1">
        <f t="array" ref="AS47">GammaCP(X$3,$C$4,$H12,$D$4,0,$E$5)</f>
        <v>1.3199891273585568E-4</v>
      </c>
      <c r="AT47" cm="1">
        <f t="array" ref="AT47">GammaCP(Y$3,$C$4,$H12,$D$4,0,$E$5)</f>
        <v>3.3305383198972744E-5</v>
      </c>
    </row>
    <row r="48" spans="7:46" x14ac:dyDescent="0.2">
      <c r="H48">
        <v>1</v>
      </c>
      <c r="I48" cm="1">
        <f t="array" ref="I48">GammaCP(I$3,$C$4,$H13,$D$4,0,$E$4)</f>
        <v>1.8477969471792112E-3</v>
      </c>
      <c r="J48" cm="1">
        <f t="array" ref="J48">GammaCP(J$3,$C$4,$H13,$D$4,0,$E$4)</f>
        <v>4.1207309613217006E-3</v>
      </c>
      <c r="K48" cm="1">
        <f t="array" ref="K48">GammaCP(K$3,$C$4,$H13,$D$4,0,$E$4)</f>
        <v>7.5067523489369872E-3</v>
      </c>
      <c r="L48" cm="1">
        <f t="array" ref="L48">GammaCP(L$3,$C$4,$H13,$D$4,0,$E$4)</f>
        <v>1.1597225794774839E-2</v>
      </c>
      <c r="M48" cm="1">
        <f t="array" ref="M48">GammaCP(M$3,$C$4,$H13,$D$4,0,$E$4)</f>
        <v>1.5641421674019225E-2</v>
      </c>
      <c r="N48" cm="1">
        <f t="array" ref="N48">GammaCP(N$3,$C$4,$H13,$D$4,0,$E$4)</f>
        <v>1.8841983940109528E-2</v>
      </c>
      <c r="O48" cm="1">
        <f t="array" ref="O48">GammaCP(O$3,$C$4,$H13,$D$4,0,$E$4)</f>
        <v>2.0644622964645629E-2</v>
      </c>
      <c r="P48" cm="1">
        <f t="array" ref="P48">GammaCP(P$3,$C$4,$H13,$D$4,0,$E$4)</f>
        <v>2.087829727981377E-2</v>
      </c>
      <c r="Q48" cm="1">
        <f t="array" ref="Q48">GammaCP(Q$3,$C$4,$H13,$D$4,0,$E$4)</f>
        <v>1.9723966545394447E-2</v>
      </c>
      <c r="R48" cm="1">
        <f t="array" ref="R48">GammaCP(R$3,$C$4,$H13,$D$4,0,$E$4)</f>
        <v>1.7578836087368842E-2</v>
      </c>
      <c r="S48" cm="1">
        <f t="array" ref="S48">GammaCP(S$3,$C$4,$H13,$D$4,0,$E$4)</f>
        <v>1.4901938093572724E-2</v>
      </c>
      <c r="T48" cm="1">
        <f t="array" ref="T48">GammaCP(T$3,$C$4,$H13,$D$4,0,$E$4)</f>
        <v>1.2098525266351955E-2</v>
      </c>
      <c r="U48" cm="1">
        <f t="array" ref="U48">GammaCP(U$3,$C$4,$H13,$D$4,0,$E$4)</f>
        <v>9.4617501566145283E-3</v>
      </c>
      <c r="V48" cm="1">
        <f t="array" ref="V48">GammaCP(V$3,$C$4,$H13,$D$4,0,$E$4)</f>
        <v>7.162937779782763E-3</v>
      </c>
      <c r="W48" cm="1">
        <f t="array" ref="W48">GammaCP(W$3,$C$4,$H13,$D$4,0,$E$4)</f>
        <v>5.2712072632879253E-3</v>
      </c>
      <c r="X48" cm="1">
        <f t="array" ref="X48">GammaCP(X$3,$C$4,$H13,$D$4,0,$E$4)</f>
        <v>3.7843224261389784E-3</v>
      </c>
      <c r="Y48" cm="1">
        <f t="array" ref="Y48">GammaCP(Y$3,$C$4,$H13,$D$4,0,$E$4)</f>
        <v>2.6587031941631986E-3</v>
      </c>
      <c r="AC48">
        <v>1</v>
      </c>
      <c r="AD48" cm="1">
        <f t="array" ref="AD48">GammaCP(I$3,$C$4,$H13,$D$4,0,$E$5)</f>
        <v>3.0503159925846612E-7</v>
      </c>
      <c r="AE48" cm="1">
        <f t="array" ref="AE48">GammaCP(J$3,$C$4,$H13,$D$4,0,$E$5)</f>
        <v>1.0815693509621757E-5</v>
      </c>
      <c r="AF48" cm="1">
        <f t="array" ref="AF48">GammaCP(K$3,$C$4,$H13,$D$4,0,$E$5)</f>
        <v>1.6626343859570735E-4</v>
      </c>
      <c r="AG48" cm="1">
        <f t="array" ref="AG48">GammaCP(L$3,$C$4,$H13,$D$4,0,$E$5)</f>
        <v>1.2919311227899846E-3</v>
      </c>
      <c r="AH48" cm="1">
        <f t="array" ref="AH48">GammaCP(M$3,$C$4,$H13,$D$4,0,$E$5)</f>
        <v>5.7155372876400009E-3</v>
      </c>
      <c r="AI48" cm="1">
        <f t="array" ref="AI48">GammaCP(N$3,$C$4,$H13,$D$4,0,$E$5)</f>
        <v>1.5810256172317044E-2</v>
      </c>
      <c r="AJ48" cm="1">
        <f t="array" ref="AJ48">GammaCP(O$3,$C$4,$H13,$D$4,0,$E$5)</f>
        <v>2.9469063817634214E-2</v>
      </c>
      <c r="AK48" cm="1">
        <f t="array" ref="AK48">GammaCP(P$3,$C$4,$H13,$D$4,0,$E$5)</f>
        <v>3.9317306319057527E-2</v>
      </c>
      <c r="AL48" cm="1">
        <f t="array" ref="AL48">GammaCP(Q$3,$C$4,$H13,$D$4,0,$E$5)</f>
        <v>3.9447933090788895E-2</v>
      </c>
      <c r="AM48" cm="1">
        <f t="array" ref="AM48">GammaCP(R$3,$C$4,$H13,$D$4,0,$E$5)</f>
        <v>3.0999845988993829E-2</v>
      </c>
      <c r="AN48" cm="1">
        <f t="array" ref="AN48">GammaCP(S$3,$C$4,$H13,$D$4,0,$E$5)</f>
        <v>1.9737190221859435E-2</v>
      </c>
      <c r="AO48" cm="1">
        <f t="array" ref="AO48">GammaCP(T$3,$C$4,$H13,$D$4,0,$E$5)</f>
        <v>1.0474112849205517E-2</v>
      </c>
      <c r="AP48" cm="1">
        <f t="array" ref="AP48">GammaCP(U$3,$C$4,$H13,$D$4,0,$E$5)</f>
        <v>4.7451367772989453E-3</v>
      </c>
      <c r="AQ48" cm="1">
        <f t="array" ref="AQ48">GammaCP(V$3,$C$4,$H13,$D$4,0,$E$5)</f>
        <v>1.8728672584138741E-3</v>
      </c>
      <c r="AR48" cm="1">
        <f t="array" ref="AR48">GammaCP(W$3,$C$4,$H13,$D$4,0,$E$5)</f>
        <v>6.5528870342850616E-4</v>
      </c>
      <c r="AS48" cm="1">
        <f t="array" ref="AS48">GammaCP(X$3,$C$4,$H13,$D$4,0,$E$5)</f>
        <v>2.063011779914907E-4</v>
      </c>
      <c r="AT48" cm="1">
        <f t="array" ref="AT48">GammaCP(Y$3,$C$4,$H13,$D$4,0,$E$5)</f>
        <v>5.9197424706742969E-5</v>
      </c>
    </row>
    <row r="49" spans="7:46" x14ac:dyDescent="0.2">
      <c r="H49">
        <v>2</v>
      </c>
      <c r="I49" cm="1">
        <f t="array" ref="I49">GammaCP(I$3,$C$4,$H14,$D$4,0,$E$4)</f>
        <v>6.5999568536451924E-3</v>
      </c>
      <c r="J49" cm="1">
        <f t="array" ref="J49">GammaCP(J$3,$C$4,$H14,$D$4,0,$E$4)</f>
        <v>9.1893387459059377E-3</v>
      </c>
      <c r="K49" cm="1">
        <f t="array" ref="K49">GammaCP(K$3,$C$4,$H14,$D$4,0,$E$4)</f>
        <v>1.1624159945686188E-2</v>
      </c>
      <c r="L49" cm="1">
        <f t="array" ref="L49">GammaCP(L$3,$C$4,$H14,$D$4,0,$E$4)</f>
        <v>1.3601749391133747E-2</v>
      </c>
      <c r="M49" cm="1">
        <f t="array" ref="M49">GammaCP(M$3,$C$4,$H14,$D$4,0,$E$4)</f>
        <v>1.4928999083209113E-2</v>
      </c>
      <c r="N49" cm="1">
        <f t="array" ref="N49">GammaCP(N$3,$C$4,$H14,$D$4,0,$E$4)</f>
        <v>1.5538821309956895E-2</v>
      </c>
      <c r="O49" cm="1">
        <f t="array" ref="O49">GammaCP(O$3,$C$4,$H14,$D$4,0,$E$4)</f>
        <v>1.5471684475151492E-2</v>
      </c>
      <c r="P49" cm="1">
        <f t="array" ref="P49">GammaCP(P$3,$C$4,$H14,$D$4,0,$E$4)</f>
        <v>1.4840061535306965E-2</v>
      </c>
      <c r="Q49" cm="1">
        <f t="array" ref="Q49">GammaCP(Q$3,$C$4,$H14,$D$4,0,$E$4)</f>
        <v>1.3790926583135299E-2</v>
      </c>
      <c r="R49" cm="1">
        <f t="array" ref="R49">GammaCP(R$3,$C$4,$H14,$D$4,0,$E$4)</f>
        <v>1.2475292570391814E-2</v>
      </c>
      <c r="S49" cm="1">
        <f t="array" ref="S49">GammaCP(S$3,$C$4,$H14,$D$4,0,$E$4)</f>
        <v>1.1028059378052651E-2</v>
      </c>
      <c r="T49" cm="1">
        <f t="array" ref="T49">GammaCP(T$3,$C$4,$H14,$D$4,0,$E$4)</f>
        <v>9.5576676672171172E-3</v>
      </c>
      <c r="U49" cm="1">
        <f t="array" ref="U49">GammaCP(U$3,$C$4,$H14,$D$4,0,$E$4)</f>
        <v>8.1432630811320364E-3</v>
      </c>
      <c r="V49" cm="1">
        <f t="array" ref="V49">GammaCP(V$3,$C$4,$H14,$D$4,0,$E$4)</f>
        <v>6.8366861897907437E-3</v>
      </c>
      <c r="W49" cm="1">
        <f t="array" ref="W49">GammaCP(W$3,$C$4,$H14,$D$4,0,$E$4)</f>
        <v>5.6669702285113378E-3</v>
      </c>
      <c r="X49" cm="1">
        <f t="array" ref="X49">GammaCP(X$3,$C$4,$H14,$D$4,0,$E$4)</f>
        <v>4.6456697775222461E-3</v>
      </c>
      <c r="Y49" cm="1">
        <f t="array" ref="Y49">GammaCP(Y$3,$C$4,$H14,$D$4,0,$E$4)</f>
        <v>3.7719785580502137E-3</v>
      </c>
      <c r="AC49">
        <v>2</v>
      </c>
      <c r="AD49" cm="1">
        <f t="array" ref="AD49">GammaCP(I$3,$C$4,$H14,$D$4,0,$E$5)</f>
        <v>1.4524281869372614E-4</v>
      </c>
      <c r="AE49" cm="1">
        <f t="array" ref="AE49">GammaCP(J$3,$C$4,$H14,$D$4,0,$E$5)</f>
        <v>7.8252244975753993E-4</v>
      </c>
      <c r="AF49" cm="1">
        <f t="array" ref="AF49">GammaCP(K$3,$C$4,$H14,$D$4,0,$E$5)</f>
        <v>2.7966437332461506E-3</v>
      </c>
      <c r="AG49" cm="1">
        <f t="array" ref="AG49">GammaCP(L$3,$C$4,$H14,$D$4,0,$E$5)</f>
        <v>7.1516197776597063E-3</v>
      </c>
      <c r="AH49" cm="1">
        <f t="array" ref="AH49">GammaCP(M$3,$C$4,$H14,$D$4,0,$E$5)</f>
        <v>1.3876417664915328E-2</v>
      </c>
      <c r="AI49" cm="1">
        <f t="array" ref="AI49">GammaCP(N$3,$C$4,$H14,$D$4,0,$E$5)</f>
        <v>2.139474487152776E-2</v>
      </c>
      <c r="AJ49" cm="1">
        <f t="array" ref="AJ49">GammaCP(O$3,$C$4,$H14,$D$4,0,$E$5)</f>
        <v>2.7195143108108638E-2</v>
      </c>
      <c r="AK49" cm="1">
        <f t="array" ref="AK49">GammaCP(P$3,$C$4,$H14,$D$4,0,$E$5)</f>
        <v>2.9359502161316501E-2</v>
      </c>
      <c r="AL49" cm="1">
        <f t="array" ref="AL49">GammaCP(Q$3,$C$4,$H14,$D$4,0,$E$5)</f>
        <v>2.7581853166270598E-2</v>
      </c>
      <c r="AM49" cm="1">
        <f t="array" ref="AM49">GammaCP(R$3,$C$4,$H14,$D$4,0,$E$5)</f>
        <v>2.3004058320651034E-2</v>
      </c>
      <c r="AN49" cm="1">
        <f t="array" ref="AN49">GammaCP(S$3,$C$4,$H14,$D$4,0,$E$5)</f>
        <v>1.7318613598151577E-2</v>
      </c>
      <c r="AO49" cm="1">
        <f t="array" ref="AO49">GammaCP(T$3,$C$4,$H14,$D$4,0,$E$5)</f>
        <v>1.1934318929118741E-2</v>
      </c>
      <c r="AP49" cm="1">
        <f t="array" ref="AP49">GammaCP(U$3,$C$4,$H14,$D$4,0,$E$5)</f>
        <v>7.6165645282489083E-3</v>
      </c>
      <c r="AQ49" cm="1">
        <f t="array" ref="AQ49">GammaCP(V$3,$C$4,$H14,$D$4,0,$E$5)</f>
        <v>4.5470245404394521E-3</v>
      </c>
      <c r="AR49" cm="1">
        <f t="array" ref="AR49">GammaCP(W$3,$C$4,$H14,$D$4,0,$E$5)</f>
        <v>2.5609344709387897E-3</v>
      </c>
      <c r="AS49" cm="1">
        <f t="array" ref="AS49">GammaCP(X$3,$C$4,$H14,$D$4,0,$E$5)</f>
        <v>1.3707080362701776E-3</v>
      </c>
      <c r="AT49" cm="1">
        <f t="array" ref="AT49">GammaCP(Y$3,$C$4,$H14,$D$4,0,$E$5)</f>
        <v>7.0162115948937021E-4</v>
      </c>
    </row>
    <row r="50" spans="7:46" x14ac:dyDescent="0.2">
      <c r="H50">
        <v>3</v>
      </c>
      <c r="I50" cm="1">
        <f t="array" ref="I50">GammaCP(I$3,$C$4,$H15,$D$4,0,$E$4)</f>
        <v>9.1771016304238069E-3</v>
      </c>
      <c r="J50" cm="1">
        <f t="array" ref="J50">GammaCP(J$3,$C$4,$H15,$D$4,0,$E$4)</f>
        <v>1.0920849507992856E-2</v>
      </c>
      <c r="K50" cm="1">
        <f t="array" ref="K50">GammaCP(K$3,$C$4,$H15,$D$4,0,$E$4)</f>
        <v>1.22330166765713E-2</v>
      </c>
      <c r="L50" cm="1">
        <f t="array" ref="L50">GammaCP(L$3,$C$4,$H15,$D$4,0,$E$4)</f>
        <v>1.304799601147523E-2</v>
      </c>
      <c r="M50" cm="1">
        <f t="array" ref="M50">GammaCP(M$3,$C$4,$H15,$D$4,0,$E$4)</f>
        <v>1.3370603439876852E-2</v>
      </c>
      <c r="N50" cm="1">
        <f t="array" ref="N50">GammaCP(N$3,$C$4,$H15,$D$4,0,$E$4)</f>
        <v>1.3255131727717093E-2</v>
      </c>
      <c r="O50" cm="1">
        <f t="array" ref="O50">GammaCP(O$3,$C$4,$H15,$D$4,0,$E$4)</f>
        <v>1.2783505889003444E-2</v>
      </c>
      <c r="P50" cm="1">
        <f t="array" ref="P50">GammaCP(P$3,$C$4,$H15,$D$4,0,$E$4)</f>
        <v>1.2047161650680642E-2</v>
      </c>
      <c r="Q50" cm="1">
        <f t="array" ref="Q50">GammaCP(Q$3,$C$4,$H15,$D$4,0,$E$4)</f>
        <v>1.1134276551152787E-2</v>
      </c>
      <c r="R50" cm="1">
        <f t="array" ref="R50">GammaCP(R$3,$C$4,$H15,$D$4,0,$E$4)</f>
        <v>1.0122157910866229E-2</v>
      </c>
      <c r="S50" cm="1">
        <f t="array" ref="S50">GammaCP(S$3,$C$4,$H15,$D$4,0,$E$4)</f>
        <v>9.0737477955800411E-3</v>
      </c>
      <c r="T50" cm="1">
        <f t="array" ref="T50">GammaCP(T$3,$C$4,$H15,$D$4,0,$E$4)</f>
        <v>8.0369990403848408E-3</v>
      </c>
      <c r="U50" cm="1">
        <f t="array" ref="U50">GammaCP(U$3,$C$4,$H15,$D$4,0,$E$4)</f>
        <v>7.0460051549628569E-3</v>
      </c>
      <c r="V50" cm="1">
        <f t="array" ref="V50">GammaCP(V$3,$C$4,$H15,$D$4,0,$E$4)</f>
        <v>6.1230240136718661E-3</v>
      </c>
      <c r="W50" cm="1">
        <f t="array" ref="W50">GammaCP(W$3,$C$4,$H15,$D$4,0,$E$4)</f>
        <v>5.2808038728821578E-3</v>
      </c>
      <c r="X50" cm="1">
        <f t="array" ref="X50">GammaCP(X$3,$C$4,$H15,$D$4,0,$E$4)</f>
        <v>4.5248469998567702E-3</v>
      </c>
      <c r="Y50" cm="1">
        <f t="array" ref="Y50">GammaCP(Y$3,$C$4,$H15,$D$4,0,$E$4)</f>
        <v>3.8554152638824229E-3</v>
      </c>
      <c r="AC50">
        <v>3</v>
      </c>
      <c r="AD50" cm="1">
        <f t="array" ref="AD50">GammaCP(I$3,$C$4,$H15,$D$4,0,$E$5)</f>
        <v>1.031684190152515E-3</v>
      </c>
      <c r="AE50" cm="1">
        <f t="array" ref="AE50">GammaCP(J$3,$C$4,$H15,$D$4,0,$E$5)</f>
        <v>2.9660589498737341E-3</v>
      </c>
      <c r="AF50" cm="1">
        <f t="array" ref="AF50">GammaCP(K$3,$C$4,$H15,$D$4,0,$E$5)</f>
        <v>6.5180762218455023E-3</v>
      </c>
      <c r="AG50" cm="1">
        <f t="array" ref="AG50">GammaCP(L$3,$C$4,$H15,$D$4,0,$E$5)</f>
        <v>1.150786954283289E-2</v>
      </c>
      <c r="AH50" cm="1">
        <f t="array" ref="AH50">GammaCP(M$3,$C$4,$H15,$D$4,0,$E$5)</f>
        <v>1.6964964604488354E-2</v>
      </c>
      <c r="AI50" cm="1">
        <f t="array" ref="AI50">GammaCP(N$3,$C$4,$H15,$D$4,0,$E$5)</f>
        <v>2.1526099405862077E-2</v>
      </c>
      <c r="AJ50" cm="1">
        <f t="array" ref="AJ50">GammaCP(O$3,$C$4,$H15,$D$4,0,$E$5)</f>
        <v>2.4084363839664263E-2</v>
      </c>
      <c r="AK50" cm="1">
        <f t="array" ref="AK50">GammaCP(P$3,$C$4,$H15,$D$4,0,$E$5)</f>
        <v>2.4229204673908024E-2</v>
      </c>
      <c r="AL50" cm="1">
        <f t="array" ref="AL50">GammaCP(Q$3,$C$4,$H15,$D$4,0,$E$5)</f>
        <v>2.2268553102305574E-2</v>
      </c>
      <c r="AM50" cm="1">
        <f t="array" ref="AM50">GammaCP(R$3,$C$4,$H15,$D$4,0,$E$5)</f>
        <v>1.8944723118837964E-2</v>
      </c>
      <c r="AN50" cm="1">
        <f t="array" ref="AN50">GammaCP(S$3,$C$4,$H15,$D$4,0,$E$5)</f>
        <v>1.5081963394812058E-2</v>
      </c>
      <c r="AO50" cm="1">
        <f t="array" ref="AO50">GammaCP(T$3,$C$4,$H15,$D$4,0,$E$5)</f>
        <v>1.1338612960202376E-2</v>
      </c>
      <c r="AP50" cm="1">
        <f t="array" ref="AP50">GammaCP(U$3,$C$4,$H15,$D$4,0,$E$5)</f>
        <v>8.1120649104783841E-3</v>
      </c>
      <c r="AQ50" cm="1">
        <f t="array" ref="AQ50">GammaCP(V$3,$C$4,$H15,$D$4,0,$E$5)</f>
        <v>5.5590796015987437E-3</v>
      </c>
      <c r="AR50" cm="1">
        <f t="array" ref="AR50">GammaCP(W$3,$C$4,$H15,$D$4,0,$E$5)</f>
        <v>3.6693507025244649E-3</v>
      </c>
      <c r="AS50" cm="1">
        <f t="array" ref="AS50">GammaCP(X$3,$C$4,$H15,$D$4,0,$E$5)</f>
        <v>2.3440212104340013E-3</v>
      </c>
      <c r="AT50" cm="1">
        <f t="array" ref="AT50">GammaCP(Y$3,$C$4,$H15,$D$4,0,$E$5)</f>
        <v>1.4551400495073866E-3</v>
      </c>
    </row>
    <row r="51" spans="7:46" x14ac:dyDescent="0.2">
      <c r="H51">
        <v>4</v>
      </c>
      <c r="I51" cm="1">
        <f t="array" ref="I51">GammaCP(I$3,$C$4,$H16,$D$4,0,$E$4)</f>
        <v>1.0313315500073911E-2</v>
      </c>
      <c r="J51" cm="1">
        <f t="array" ref="J51">GammaCP(J$3,$C$4,$H16,$D$4,0,$E$4)</f>
        <v>1.1346268148064859E-2</v>
      </c>
      <c r="K51" cm="1">
        <f t="array" ref="K51">GammaCP(K$3,$C$4,$H16,$D$4,0,$E$4)</f>
        <v>1.1959970353331821E-2</v>
      </c>
      <c r="L51" cm="1">
        <f t="array" ref="L51">GammaCP(L$3,$C$4,$H16,$D$4,0,$E$4)</f>
        <v>1.2179483699411454E-2</v>
      </c>
      <c r="M51" cm="1">
        <f t="array" ref="M51">GammaCP(M$3,$C$4,$H16,$D$4,0,$E$4)</f>
        <v>1.205928909750143E-2</v>
      </c>
      <c r="N51" cm="1">
        <f t="array" ref="N51">GammaCP(N$3,$C$4,$H16,$D$4,0,$E$4)</f>
        <v>1.1667493720574828E-2</v>
      </c>
      <c r="O51" cm="1">
        <f t="array" ref="O51">GammaCP(O$3,$C$4,$H16,$D$4,0,$E$4)</f>
        <v>1.1074310697636874E-2</v>
      </c>
      <c r="P51" cm="1">
        <f t="array" ref="P51">GammaCP(P$3,$C$4,$H16,$D$4,0,$E$4)</f>
        <v>1.034474514620942E-2</v>
      </c>
      <c r="Q51" cm="1">
        <f t="array" ref="Q51">GammaCP(Q$3,$C$4,$H16,$D$4,0,$E$4)</f>
        <v>9.5346953865131038E-3</v>
      </c>
      <c r="R51" cm="1">
        <f t="array" ref="R51">GammaCP(R$3,$C$4,$H16,$D$4,0,$E$4)</f>
        <v>8.6895009017126795E-3</v>
      </c>
      <c r="S51" cm="1">
        <f t="array" ref="S51">GammaCP(S$3,$C$4,$H16,$D$4,0,$E$4)</f>
        <v>7.8440625463605997E-3</v>
      </c>
      <c r="T51" cm="1">
        <f t="array" ref="T51">GammaCP(T$3,$C$4,$H16,$D$4,0,$E$4)</f>
        <v>7.0238536178371452E-3</v>
      </c>
      <c r="U51" cm="1">
        <f t="array" ref="U51">GammaCP(U$3,$C$4,$H16,$D$4,0,$E$4)</f>
        <v>6.2463417557349936E-3</v>
      </c>
      <c r="V51" cm="1">
        <f t="array" ref="V51">GammaCP(V$3,$C$4,$H16,$D$4,0,$E$4)</f>
        <v>5.5225119093422655E-3</v>
      </c>
      <c r="W51" cm="1">
        <f t="array" ref="W51">GammaCP(W$3,$C$4,$H16,$D$4,0,$E$4)</f>
        <v>4.858308981287961E-3</v>
      </c>
      <c r="X51" cm="1">
        <f t="array" ref="X51">GammaCP(X$3,$C$4,$H16,$D$4,0,$E$4)</f>
        <v>4.2559078918170063E-3</v>
      </c>
      <c r="Y51" cm="1">
        <f t="array" ref="Y51">GammaCP(Y$3,$C$4,$H16,$D$4,0,$E$4)</f>
        <v>3.7147763845488606E-3</v>
      </c>
      <c r="AC51">
        <v>4</v>
      </c>
      <c r="AD51" cm="1">
        <f t="array" ref="AD51">GammaCP(I$3,$C$4,$H16,$D$4,0,$E$5)</f>
        <v>2.6204952010288863E-3</v>
      </c>
      <c r="AE51" cm="1">
        <f t="array" ref="AE51">GammaCP(J$3,$C$4,$H16,$D$4,0,$E$5)</f>
        <v>5.5034091875470386E-3</v>
      </c>
      <c r="AF51" cm="1">
        <f t="array" ref="AF51">GammaCP(K$3,$C$4,$H16,$D$4,0,$E$5)</f>
        <v>9.4835539632301003E-3</v>
      </c>
      <c r="AG51" cm="1">
        <f t="array" ref="AG51">GammaCP(L$3,$C$4,$H16,$D$4,0,$E$5)</f>
        <v>1.3912357420204602E-2</v>
      </c>
      <c r="AH51" cm="1">
        <f t="array" ref="AH51">GammaCP(M$3,$C$4,$H16,$D$4,0,$E$5)</f>
        <v>1.7877273947675215E-2</v>
      </c>
      <c r="AI51" cm="1">
        <f t="array" ref="AI51">GammaCP(N$3,$C$4,$H16,$D$4,0,$E$5)</f>
        <v>2.0578086869191912E-2</v>
      </c>
      <c r="AJ51" cm="1">
        <f t="array" ref="AJ51">GammaCP(O$3,$C$4,$H16,$D$4,0,$E$5)</f>
        <v>2.1600690529166151E-2</v>
      </c>
      <c r="AK51" cm="1">
        <f t="array" ref="AK51">GammaCP(P$3,$C$4,$H16,$D$4,0,$E$5)</f>
        <v>2.0977075164115507E-2</v>
      </c>
      <c r="AL51" cm="1">
        <f t="array" ref="AL51">GammaCP(Q$3,$C$4,$H16,$D$4,0,$E$5)</f>
        <v>1.9069390773026208E-2</v>
      </c>
      <c r="AM51" cm="1">
        <f t="array" ref="AM51">GammaCP(R$3,$C$4,$H16,$D$4,0,$E$5)</f>
        <v>1.638478336147095E-2</v>
      </c>
      <c r="AN51" cm="1">
        <f t="array" ref="AN51">GammaCP(S$3,$C$4,$H16,$D$4,0,$E$5)</f>
        <v>1.3413459498534529E-2</v>
      </c>
      <c r="AO51" cm="1">
        <f t="array" ref="AO51">GammaCP(T$3,$C$4,$H16,$D$4,0,$E$5)</f>
        <v>1.053298866360371E-2</v>
      </c>
      <c r="AP51" cm="1">
        <f t="array" ref="AP51">GammaCP(U$3,$C$4,$H16,$D$4,0,$E$5)</f>
        <v>7.978625905498065E-3</v>
      </c>
      <c r="AQ51" cm="1">
        <f t="array" ref="AQ51">GammaCP(V$3,$C$4,$H16,$D$4,0,$E$5)</f>
        <v>5.8580251271742132E-3</v>
      </c>
      <c r="AR51" cm="1">
        <f t="array" ref="AR51">GammaCP(W$3,$C$4,$H16,$D$4,0,$E$5)</f>
        <v>4.1859606357164706E-3</v>
      </c>
      <c r="AS51" cm="1">
        <f t="array" ref="AS51">GammaCP(X$3,$C$4,$H16,$D$4,0,$E$5)</f>
        <v>2.9213283025393976E-3</v>
      </c>
      <c r="AT51" cm="1">
        <f t="array" ref="AT51">GammaCP(Y$3,$C$4,$H16,$D$4,0,$E$5)</f>
        <v>1.9971762450752021E-3</v>
      </c>
    </row>
    <row r="52" spans="7:46" x14ac:dyDescent="0.2">
      <c r="H52">
        <v>5</v>
      </c>
      <c r="I52" cm="1">
        <f t="array" ref="I52">GammaCP(I$3,$C$4,$H17,$D$4,0,$E$4)</f>
        <v>1.073708151996329E-2</v>
      </c>
      <c r="J52" cm="1">
        <f t="array" ref="J52">GammaCP(J$3,$C$4,$H17,$D$4,0,$E$4)</f>
        <v>1.126894618169702E-2</v>
      </c>
      <c r="K52" cm="1">
        <f t="array" ref="K52">GammaCP(K$3,$C$4,$H17,$D$4,0,$E$4)</f>
        <v>1.1453027766679769E-2</v>
      </c>
      <c r="L52" cm="1">
        <f t="array" ref="L52">GammaCP(L$3,$C$4,$H17,$D$4,0,$E$4)</f>
        <v>1.1343634002882847E-2</v>
      </c>
      <c r="M52" cm="1">
        <f t="array" ref="M52">GammaCP(M$3,$C$4,$H17,$D$4,0,$E$4)</f>
        <v>1.1002627628314172E-2</v>
      </c>
      <c r="N52" cm="1">
        <f t="array" ref="N52">GammaCP(N$3,$C$4,$H17,$D$4,0,$E$4)</f>
        <v>1.0490736571836448E-2</v>
      </c>
      <c r="O52" cm="1">
        <f t="array" ref="O52">GammaCP(O$3,$C$4,$H17,$D$4,0,$E$4)</f>
        <v>9.8625457284395694E-3</v>
      </c>
      <c r="P52" cm="1">
        <f t="array" ref="P52">GammaCP(P$3,$C$4,$H17,$D$4,0,$E$4)</f>
        <v>9.1641696406864273E-3</v>
      </c>
      <c r="Q52" cm="1">
        <f t="array" ref="Q52">GammaCP(Q$3,$C$4,$H17,$D$4,0,$E$4)</f>
        <v>8.4326874401380626E-3</v>
      </c>
      <c r="R52" cm="1">
        <f t="array" ref="R52">GammaCP(R$3,$C$4,$H17,$D$4,0,$E$4)</f>
        <v>7.6966219777363509E-3</v>
      </c>
      <c r="S52" cm="1">
        <f t="array" ref="S52">GammaCP(S$3,$C$4,$H17,$D$4,0,$E$4)</f>
        <v>6.9769553505238452E-3</v>
      </c>
      <c r="T52" cm="1">
        <f t="array" ref="T52">GammaCP(T$3,$C$4,$H17,$D$4,0,$E$4)</f>
        <v>6.2883493733863092E-3</v>
      </c>
      <c r="U52" cm="1">
        <f t="array" ref="U52">GammaCP(U$3,$C$4,$H17,$D$4,0,$E$4)</f>
        <v>5.6403714114604637E-3</v>
      </c>
      <c r="V52" cm="1">
        <f t="array" ref="V52">GammaCP(V$3,$C$4,$H17,$D$4,0,$E$4)</f>
        <v>5.0386172534840901E-3</v>
      </c>
      <c r="W52" cm="1">
        <f t="array" ref="W52">GammaCP(W$3,$C$4,$H17,$D$4,0,$E$4)</f>
        <v>4.4856819490140861E-3</v>
      </c>
      <c r="X52" cm="1">
        <f t="array" ref="X52">GammaCP(X$3,$C$4,$H17,$D$4,0,$E$4)</f>
        <v>3.9819655859202495E-3</v>
      </c>
      <c r="Y52" cm="1">
        <f t="array" ref="Y52">GammaCP(Y$3,$C$4,$H17,$D$4,0,$E$4)</f>
        <v>3.5263212434632854E-3</v>
      </c>
      <c r="AC52">
        <v>5</v>
      </c>
      <c r="AD52" cm="1">
        <f t="array" ref="AD52">GammaCP(I$3,$C$4,$H17,$D$4,0,$E$5)</f>
        <v>4.4499754398238519E-3</v>
      </c>
      <c r="AE52" cm="1">
        <f t="array" ref="AE52">GammaCP(J$3,$C$4,$H17,$D$4,0,$E$5)</f>
        <v>7.7406121902881767E-3</v>
      </c>
      <c r="AF52" cm="1">
        <f t="array" ref="AF52">GammaCP(K$3,$C$4,$H17,$D$4,0,$E$5)</f>
        <v>1.1528012005023357E-2</v>
      </c>
      <c r="AG52" cm="1">
        <f t="array" ref="AG52">GammaCP(L$3,$C$4,$H17,$D$4,0,$E$5)</f>
        <v>1.5132702486471092E-2</v>
      </c>
      <c r="AH52" cm="1">
        <f t="array" ref="AH52">GammaCP(M$3,$C$4,$H17,$D$4,0,$E$5)</f>
        <v>1.7906989830010486E-2</v>
      </c>
      <c r="AI52" cm="1">
        <f t="array" ref="AI52">GammaCP(N$3,$C$4,$H17,$D$4,0,$E$5)</f>
        <v>1.9442006249843848E-2</v>
      </c>
      <c r="AJ52" cm="1">
        <f t="array" ref="AJ52">GammaCP(O$3,$C$4,$H17,$D$4,0,$E$5)</f>
        <v>1.964171465053164E-2</v>
      </c>
      <c r="AK52" cm="1">
        <f t="array" ref="AK52">GammaCP(P$3,$C$4,$H17,$D$4,0,$E$5)</f>
        <v>1.8675003380643759E-2</v>
      </c>
      <c r="AL52" cm="1">
        <f t="array" ref="AL52">GammaCP(Q$3,$C$4,$H17,$D$4,0,$E$5)</f>
        <v>1.6865374880276125E-2</v>
      </c>
      <c r="AM52" cm="1">
        <f t="array" ref="AM52">GammaCP(R$3,$C$4,$H17,$D$4,0,$E$5)</f>
        <v>1.457754724330231E-2</v>
      </c>
      <c r="AN52" cm="1">
        <f t="array" ref="AN52">GammaCP(S$3,$C$4,$H17,$D$4,0,$E$5)</f>
        <v>1.2135644435772966E-2</v>
      </c>
      <c r="AO52" cm="1">
        <f t="array" ref="AO52">GammaCP(T$3,$C$4,$H17,$D$4,0,$E$5)</f>
        <v>9.7818031211006871E-3</v>
      </c>
      <c r="AP52" cm="1">
        <f t="array" ref="AP52">GammaCP(U$3,$C$4,$H17,$D$4,0,$E$5)</f>
        <v>7.6679346587994858E-3</v>
      </c>
      <c r="AQ52" cm="1">
        <f t="array" ref="AQ52">GammaCP(V$3,$C$4,$H17,$D$4,0,$E$5)</f>
        <v>5.8677624274978352E-3</v>
      </c>
      <c r="AR52" cm="1">
        <f t="array" ref="AR52">GammaCP(W$3,$C$4,$H17,$D$4,0,$E$5)</f>
        <v>4.3973494544828021E-3</v>
      </c>
      <c r="AS52" cm="1">
        <f t="array" ref="AS52">GammaCP(X$3,$C$4,$H17,$D$4,0,$E$5)</f>
        <v>3.2361150487909911E-3</v>
      </c>
      <c r="AT52" cm="1">
        <f t="array" ref="AT52">GammaCP(Y$3,$C$4,$H17,$D$4,0,$E$5)</f>
        <v>2.3442052804045392E-3</v>
      </c>
    </row>
    <row r="54" spans="7:46" x14ac:dyDescent="0.2">
      <c r="I54">
        <v>60</v>
      </c>
      <c r="J54">
        <v>65</v>
      </c>
      <c r="K54">
        <v>70</v>
      </c>
      <c r="L54">
        <v>75</v>
      </c>
      <c r="M54">
        <v>80</v>
      </c>
      <c r="N54">
        <v>85</v>
      </c>
      <c r="O54">
        <v>90</v>
      </c>
      <c r="P54">
        <v>95</v>
      </c>
      <c r="Q54">
        <v>100</v>
      </c>
      <c r="R54">
        <v>105</v>
      </c>
      <c r="S54">
        <v>110</v>
      </c>
      <c r="T54">
        <v>115</v>
      </c>
      <c r="U54">
        <v>120</v>
      </c>
      <c r="V54">
        <v>125</v>
      </c>
      <c r="W54">
        <v>130</v>
      </c>
      <c r="X54">
        <v>135</v>
      </c>
      <c r="Y54">
        <v>140</v>
      </c>
      <c r="AD54">
        <v>60</v>
      </c>
      <c r="AE54">
        <v>65</v>
      </c>
      <c r="AF54">
        <v>70</v>
      </c>
      <c r="AG54">
        <v>75</v>
      </c>
      <c r="AH54">
        <v>80</v>
      </c>
      <c r="AI54">
        <v>85</v>
      </c>
      <c r="AJ54">
        <v>90</v>
      </c>
      <c r="AK54">
        <v>95</v>
      </c>
      <c r="AL54">
        <v>100</v>
      </c>
      <c r="AM54">
        <v>105</v>
      </c>
      <c r="AN54">
        <v>110</v>
      </c>
      <c r="AO54">
        <v>115</v>
      </c>
      <c r="AP54">
        <v>120</v>
      </c>
      <c r="AQ54">
        <v>125</v>
      </c>
      <c r="AR54">
        <v>130</v>
      </c>
      <c r="AS54">
        <v>135</v>
      </c>
      <c r="AT54">
        <v>140</v>
      </c>
    </row>
    <row r="55" spans="7:46" x14ac:dyDescent="0.2">
      <c r="H55">
        <v>0.1</v>
      </c>
      <c r="I55" cm="1">
        <f t="array" ref="I55">Vega(I$3,$C$4,$H4,$D$4,0,$E$4)</f>
        <v>7.5719207361530399E-14</v>
      </c>
      <c r="J55" cm="1">
        <f t="array" ref="J55">Vega(J$3,$C$4,$H4,$D$4,0,$E$4)</f>
        <v>9.5374791219906021E-10</v>
      </c>
      <c r="K55" cm="1">
        <f t="array" ref="K55">Vega(K$3,$C$4,$H4,$D$4,0,$E$4)</f>
        <v>1.4305070674681113E-6</v>
      </c>
      <c r="L55" cm="1">
        <f t="array" ref="L55">Vega(L$3,$C$4,$H4,$D$4,0,$E$4)</f>
        <v>3.770139897571843E-4</v>
      </c>
      <c r="M55" cm="1">
        <f t="array" ref="M55">Vega(M$3,$C$4,$H4,$D$4,0,$E$4)</f>
        <v>2.3609588828415677E-2</v>
      </c>
      <c r="N55" cm="1">
        <f t="array" ref="N55">Vega(N$3,$C$4,$H4,$D$4,0,$E$4)</f>
        <v>0.44558558892443634</v>
      </c>
      <c r="O55" cm="1">
        <f t="array" ref="O55">Vega(O$3,$C$4,$H4,$D$4,0,$E$4)</f>
        <v>3.0644533309865185</v>
      </c>
      <c r="P55" cm="1">
        <f t="array" ref="P55">Vega(P$3,$C$4,$H4,$D$4,0,$E$4)</f>
        <v>8.9541358039279721</v>
      </c>
      <c r="Q55" cm="1">
        <f t="array" ref="Q55">Vega(Q$3,$C$4,$H4,$D$4,0,$E$4)</f>
        <v>12.60147797002052</v>
      </c>
      <c r="R55" cm="1">
        <f t="array" ref="R55">Vega(R$3,$C$4,$H4,$D$4,0,$E$4)</f>
        <v>9.4730567005775868</v>
      </c>
      <c r="S55" cm="1">
        <f t="array" ref="S55">Vega(S$3,$C$4,$H4,$D$4,0,$E$4)</f>
        <v>4.1459744625109485</v>
      </c>
      <c r="T55" cm="1">
        <f t="array" ref="T55">Vega(T$3,$C$4,$H4,$D$4,0,$E$4)</f>
        <v>1.1355073152064601</v>
      </c>
      <c r="U55" cm="1">
        <f t="array" ref="U55">Vega(U$3,$C$4,$H4,$D$4,0,$E$4)</f>
        <v>0.20685250757256843</v>
      </c>
      <c r="V55" cm="1">
        <f t="array" ref="V55">Vega(V$3,$C$4,$H4,$D$4,0,$E$4)</f>
        <v>2.6396322770578434E-2</v>
      </c>
      <c r="W55" cm="1">
        <f t="array" ref="W55">Vega(W$3,$C$4,$H4,$D$4,0,$E$4)</f>
        <v>2.4664615253611665E-3</v>
      </c>
      <c r="X55" cm="1">
        <f t="array" ref="X55">Vega(X$3,$C$4,$H4,$D$4,0,$E$4)</f>
        <v>1.7530109023145043E-4</v>
      </c>
      <c r="Y55" cm="1">
        <f t="array" ref="Y55">Vega(Y$3,$C$4,$H4,$D$4,0,$E$4)</f>
        <v>9.7937749170318685E-6</v>
      </c>
      <c r="AC55">
        <v>0.1</v>
      </c>
      <c r="AD55" cm="1">
        <f t="array" ref="AD55">Vega(I$3,$C$4,$H4,$D$4,0,$E$5)</f>
        <v>3.5345400505313539E-56</v>
      </c>
      <c r="AE55" cm="1">
        <f t="array" ref="AE55">Vega(J$3,$C$4,$H4,$D$4,0,$E$5)</f>
        <v>7.8904162138229805E-40</v>
      </c>
      <c r="AF55" cm="1">
        <f t="array" ref="AF55">Vega(K$3,$C$4,$H4,$D$4,0,$E$5)</f>
        <v>3.5731275340966639E-27</v>
      </c>
      <c r="AG55" cm="1">
        <f t="array" ref="AG55">Vega(L$3,$C$4,$H4,$D$4,0,$E$5)</f>
        <v>1.554438392994746E-17</v>
      </c>
      <c r="AH55" cm="1">
        <f t="array" ref="AH55">Vega(M$3,$C$4,$H4,$D$4,0,$E$5)</f>
        <v>2.1699726533395633E-10</v>
      </c>
      <c r="AI55" cm="1">
        <f t="array" ref="AI55">Vega(N$3,$C$4,$H4,$D$4,0,$E$5)</f>
        <v>2.5138056835713343E-5</v>
      </c>
      <c r="AJ55" cm="1">
        <f t="array" ref="AJ55">Vega(O$3,$C$4,$H4,$D$4,0,$E$5)</f>
        <v>5.161593864477456E-2</v>
      </c>
      <c r="AK55" cm="1">
        <f t="array" ref="AK55">Vega(P$3,$C$4,$H4,$D$4,0,$E$5)</f>
        <v>3.4693238841801244</v>
      </c>
      <c r="AL55" cm="1">
        <f t="array" ref="AL55">Vega(Q$3,$C$4,$H4,$D$4,0,$E$5)</f>
        <v>12.60147797002052</v>
      </c>
      <c r="AM55" cm="1">
        <f t="array" ref="AM55">Vega(R$3,$C$4,$H4,$D$4,0,$E$5)</f>
        <v>3.7403491562746787</v>
      </c>
      <c r="AN55" cm="1">
        <f t="array" ref="AN55">Vega(S$3,$C$4,$H4,$D$4,0,$E$5)</f>
        <v>0.12798321316875713</v>
      </c>
      <c r="AO55" cm="1">
        <f t="array" ref="AO55">Vega(T$3,$C$4,$H4,$D$4,0,$E$5)</f>
        <v>6.7367205338682843E-4</v>
      </c>
      <c r="AP55" cm="1">
        <f t="array" ref="AP55">Vega(U$3,$C$4,$H4,$D$4,0,$E$5)</f>
        <v>6.9599615016725279E-7</v>
      </c>
      <c r="AQ55" cm="1">
        <f t="array" ref="AQ55">Vega(V$3,$C$4,$H4,$D$4,0,$E$5)</f>
        <v>1.735978122671637E-10</v>
      </c>
      <c r="AR55" cm="1">
        <f t="array" ref="AR55">Vega(W$3,$C$4,$H4,$D$4,0,$E$5)</f>
        <v>1.2477221902307329E-14</v>
      </c>
      <c r="AS55" cm="1">
        <f t="array" ref="AS55">Vega(X$3,$C$4,$H4,$D$4,0,$E$5)</f>
        <v>3.0086617304103603E-19</v>
      </c>
      <c r="AT55" cm="1">
        <f t="array" ref="AT55">Vega(Y$3,$C$4,$H4,$D$4,0,$E$5)</f>
        <v>2.7755174863825501E-24</v>
      </c>
    </row>
    <row r="56" spans="7:46" x14ac:dyDescent="0.2">
      <c r="H56">
        <v>0.2</v>
      </c>
      <c r="I56" cm="1">
        <f t="array" ref="I56">Vega(I$3,$C$4,$H5,$D$4,0,$E$4)</f>
        <v>1.2945209838663301E-6</v>
      </c>
      <c r="J56" cm="1">
        <f t="array" ref="J56">Vega(J$3,$C$4,$H5,$D$4,0,$E$4)</f>
        <v>1.4674662728048757E-4</v>
      </c>
      <c r="K56" cm="1">
        <f t="array" ref="K56">Vega(K$3,$C$4,$H5,$D$4,0,$E$4)</f>
        <v>5.7361357105493501E-3</v>
      </c>
      <c r="L56" cm="1">
        <f t="array" ref="L56">Vega(L$3,$C$4,$H5,$D$4,0,$E$4)</f>
        <v>9.3928751471449773E-2</v>
      </c>
      <c r="M56" cm="1">
        <f t="array" ref="M56">Vega(M$3,$C$4,$H5,$D$4,0,$E$4)</f>
        <v>0.74932050826937013</v>
      </c>
      <c r="N56" cm="1">
        <f t="array" ref="N56">Vega(N$3,$C$4,$H5,$D$4,0,$E$4)</f>
        <v>3.2800471961839519</v>
      </c>
      <c r="O56" cm="1">
        <f t="array" ref="O56">Vega(O$3,$C$4,$H5,$D$4,0,$E$4)</f>
        <v>8.6635119422354219</v>
      </c>
      <c r="P56" cm="1">
        <f t="array" ref="P56">Vega(P$3,$C$4,$H5,$D$4,0,$E$4)</f>
        <v>14.909546983266303</v>
      </c>
      <c r="Q56" cm="1">
        <f t="array" ref="Q56">Vega(Q$3,$C$4,$H5,$D$4,0,$E$4)</f>
        <v>17.80114349570453</v>
      </c>
      <c r="R56" cm="1">
        <f t="array" ref="R56">Vega(R$3,$C$4,$H5,$D$4,0,$E$4)</f>
        <v>15.528549456541477</v>
      </c>
      <c r="S56" cm="1">
        <f t="array" ref="S56">Vega(S$3,$C$4,$H5,$D$4,0,$E$4)</f>
        <v>10.332955422391688</v>
      </c>
      <c r="T56" cm="1">
        <f t="array" ref="T56">Vega(T$3,$C$4,$H5,$D$4,0,$E$4)</f>
        <v>5.4377515022381848</v>
      </c>
      <c r="U56" cm="1">
        <f t="array" ref="U56">Vega(U$3,$C$4,$H5,$D$4,0,$E$4)</f>
        <v>2.3332711412433973</v>
      </c>
      <c r="V56" cm="1">
        <f t="array" ref="V56">Vega(V$3,$C$4,$H5,$D$4,0,$E$4)</f>
        <v>0.83776579671249984</v>
      </c>
      <c r="W56" cm="1">
        <f t="array" ref="W56">Vega(W$3,$C$4,$H5,$D$4,0,$E$4)</f>
        <v>0.25734589818730602</v>
      </c>
      <c r="X56" cm="1">
        <f t="array" ref="X56">Vega(X$3,$C$4,$H5,$D$4,0,$E$4)</f>
        <v>6.8932049054116276E-2</v>
      </c>
      <c r="Y56" cm="1">
        <f t="array" ref="Y56">Vega(Y$3,$C$4,$H5,$D$4,0,$E$4)</f>
        <v>1.6367344465552186E-2</v>
      </c>
      <c r="AC56">
        <v>0.2</v>
      </c>
      <c r="AD56" cm="1">
        <f t="array" ref="AD56">Vega(I$3,$C$4,$H5,$D$4,0,$E$5)</f>
        <v>1.0711882489098269E-27</v>
      </c>
      <c r="AE56" cm="1">
        <f t="array" ref="AE56">Vega(J$3,$C$4,$H5,$D$4,0,$E$5)</f>
        <v>1.5687681949729762E-19</v>
      </c>
      <c r="AF56" cm="1">
        <f t="array" ref="AF56">Vega(K$3,$C$4,$H5,$D$4,0,$E$5)</f>
        <v>3.2770789744139771E-13</v>
      </c>
      <c r="AG56" cm="1">
        <f t="array" ref="AG56">Vega(L$3,$C$4,$H5,$D$4,0,$E$5)</f>
        <v>2.1245091218449445E-8</v>
      </c>
      <c r="AH56" cm="1">
        <f t="array" ref="AH56">Vega(M$3,$C$4,$H5,$D$4,0,$E$5)</f>
        <v>7.8107330033859321E-5</v>
      </c>
      <c r="AI56" cm="1">
        <f t="array" ref="AI56">Vega(N$3,$C$4,$H5,$D$4,0,$E$5)</f>
        <v>2.6184740803568276E-2</v>
      </c>
      <c r="AJ56" cm="1">
        <f t="array" ref="AJ56">Vega(O$3,$C$4,$H5,$D$4,0,$E$5)</f>
        <v>1.1696837223341143</v>
      </c>
      <c r="AK56" cm="1">
        <f t="array" ref="AK56">Vega(P$3,$C$4,$H5,$D$4,0,$E$5)</f>
        <v>9.4608178373498504</v>
      </c>
      <c r="AL56" cm="1">
        <f t="array" ref="AL56">Vega(Q$3,$C$4,$H5,$D$4,0,$E$5)</f>
        <v>17.80114349570453</v>
      </c>
      <c r="AM56" cm="1">
        <f t="array" ref="AM56">Vega(R$3,$C$4,$H5,$D$4,0,$E$5)</f>
        <v>9.5806705523719593</v>
      </c>
      <c r="AN56" cm="1">
        <f t="array" ref="AN56">Vega(S$3,$C$4,$H5,$D$4,0,$E$5)</f>
        <v>1.7517232418946858</v>
      </c>
      <c r="AO56" cm="1">
        <f t="array" ref="AO56">Vega(T$3,$C$4,$H5,$D$4,0,$E$5)</f>
        <v>0.12568601723670414</v>
      </c>
      <c r="AP56" cm="1">
        <f t="array" ref="AP56">Vega(U$3,$C$4,$H5,$D$4,0,$E$5)</f>
        <v>3.9971023224294197E-3</v>
      </c>
      <c r="AQ56" cm="1">
        <f t="array" ref="AQ56">Vega(V$3,$C$4,$H5,$D$4,0,$E$5)</f>
        <v>6.2485864027086961E-5</v>
      </c>
      <c r="AR56" cm="1">
        <f t="array" ref="AR56">Vega(W$3,$C$4,$H5,$D$4,0,$E$5)</f>
        <v>5.2457823818334003E-7</v>
      </c>
      <c r="AS56" cm="1">
        <f t="array" ref="AS56">Vega(X$3,$C$4,$H5,$D$4,0,$E$5)</f>
        <v>2.5517633623765552E-9</v>
      </c>
      <c r="AT56" cm="1">
        <f t="array" ref="AT56">Vega(Y$3,$C$4,$H5,$D$4,0,$E$5)</f>
        <v>7.680281421893489E-12</v>
      </c>
    </row>
    <row r="57" spans="7:46" x14ac:dyDescent="0.2">
      <c r="H57">
        <v>0.3</v>
      </c>
      <c r="I57" cm="1">
        <f t="array" ref="I57">Vega(I$3,$C$4,$H6,$D$4,0,$E$4)</f>
        <v>3.6360095554575553E-4</v>
      </c>
      <c r="J57" cm="1">
        <f t="array" ref="J57">Vega(J$3,$C$4,$H6,$D$4,0,$E$4)</f>
        <v>8.57356044392623E-3</v>
      </c>
      <c r="K57" cm="1">
        <f t="array" ref="K57">Vega(K$3,$C$4,$H6,$D$4,0,$E$4)</f>
        <v>9.9359820227649887E-2</v>
      </c>
      <c r="L57" cm="1">
        <f t="array" ref="L57">Vega(L$3,$C$4,$H6,$D$4,0,$E$4)</f>
        <v>0.64440735249376058</v>
      </c>
      <c r="M57" cm="1">
        <f t="array" ref="M57">Vega(M$3,$C$4,$H6,$D$4,0,$E$4)</f>
        <v>2.5866773497556816</v>
      </c>
      <c r="N57" cm="1">
        <f t="array" ref="N57">Vega(N$3,$C$4,$H6,$D$4,0,$E$4)</f>
        <v>6.9568288790958261</v>
      </c>
      <c r="O57" cm="1">
        <f t="array" ref="O57">Vega(O$3,$C$4,$H6,$D$4,0,$E$4)</f>
        <v>13.35639363567296</v>
      </c>
      <c r="P57" cm="1">
        <f t="array" ref="P57">Vega(P$3,$C$4,$H6,$D$4,0,$E$4)</f>
        <v>19.267540519079148</v>
      </c>
      <c r="Q57" cm="1">
        <f t="array" ref="Q57">Vega(Q$3,$C$4,$H6,$D$4,0,$E$4)</f>
        <v>21.777345900985232</v>
      </c>
      <c r="R57" cm="1">
        <f t="array" ref="R57">Vega(R$3,$C$4,$H6,$D$4,0,$E$4)</f>
        <v>19.963011175668893</v>
      </c>
      <c r="S57" cm="1">
        <f t="array" ref="S57">Vega(S$3,$C$4,$H6,$D$4,0,$E$4)</f>
        <v>15.274679608962337</v>
      </c>
      <c r="T57" cm="1">
        <f t="array" ref="T57">Vega(T$3,$C$4,$H6,$D$4,0,$E$4)</f>
        <v>9.9933417595957987</v>
      </c>
      <c r="U57" cm="1">
        <f t="array" ref="U57">Vega(U$3,$C$4,$H6,$D$4,0,$E$4)</f>
        <v>5.7053408088958326</v>
      </c>
      <c r="V57" cm="1">
        <f t="array" ref="V57">Vega(V$3,$C$4,$H6,$D$4,0,$E$4)</f>
        <v>2.89199319495635</v>
      </c>
      <c r="W57" cm="1">
        <f t="array" ref="W57">Vega(W$3,$C$4,$H6,$D$4,0,$E$4)</f>
        <v>1.3209299733984308</v>
      </c>
      <c r="X57" cm="1">
        <f t="array" ref="X57">Vega(X$3,$C$4,$H6,$D$4,0,$E$4)</f>
        <v>0.55061531676659159</v>
      </c>
      <c r="Y57" cm="1">
        <f t="array" ref="Y57">Vega(Y$3,$C$4,$H6,$D$4,0,$E$4)</f>
        <v>0.21177230646577413</v>
      </c>
      <c r="AC57">
        <v>0.3</v>
      </c>
      <c r="AD57" cm="1">
        <f t="array" ref="AD57">Vega(I$3,$C$4,$H6,$D$4,0,$E$5)</f>
        <v>3.6413157535064409E-18</v>
      </c>
      <c r="AE57" cm="1">
        <f t="array" ref="AE57">Vega(J$3,$C$4,$H6,$D$4,0,$E$5)</f>
        <v>9.9829747601652223E-13</v>
      </c>
      <c r="AF57" cm="1">
        <f t="array" ref="AF57">Vega(K$3,$C$4,$H6,$D$4,0,$E$5)</f>
        <v>1.611318080490916E-8</v>
      </c>
      <c r="AG57" cm="1">
        <f t="array" ref="AG57">Vega(L$3,$C$4,$H6,$D$4,0,$E$5)</f>
        <v>2.5706041526295763E-5</v>
      </c>
      <c r="AH57" cm="1">
        <f t="array" ref="AH57">Vega(M$3,$C$4,$H6,$D$4,0,$E$5)</f>
        <v>6.0578597213752049E-3</v>
      </c>
      <c r="AI57" cm="1">
        <f t="array" ref="AI57">Vega(N$3,$C$4,$H6,$D$4,0,$E$5)</f>
        <v>0.28940234587731301</v>
      </c>
      <c r="AJ57" cm="1">
        <f t="array" ref="AJ57">Vega(O$3,$C$4,$H6,$D$4,0,$E$5)</f>
        <v>3.6089280836016511</v>
      </c>
      <c r="AK57" cm="1">
        <f t="array" ref="AK57">Vega(P$3,$C$4,$H6,$D$4,0,$E$5)</f>
        <v>14.411356711779723</v>
      </c>
      <c r="AL57" cm="1">
        <f t="array" ref="AL57">Vega(Q$3,$C$4,$H6,$D$4,0,$E$5)</f>
        <v>21.777345900985232</v>
      </c>
      <c r="AM57" cm="1">
        <f t="array" ref="AM57">Vega(R$3,$C$4,$H6,$D$4,0,$E$5)</f>
        <v>14.292407924672718</v>
      </c>
      <c r="AN57" cm="1">
        <f t="array" ref="AN57">Vega(S$3,$C$4,$H6,$D$4,0,$E$5)</f>
        <v>4.5686150128548206</v>
      </c>
      <c r="AO57" cm="1">
        <f t="array" ref="AO57">Vega(T$3,$C$4,$H6,$D$4,0,$E$5)</f>
        <v>0.78303531906443402</v>
      </c>
      <c r="AP57" cm="1">
        <f t="array" ref="AP57">Vega(U$3,$C$4,$H6,$D$4,0,$E$5)</f>
        <v>7.8044023598122875E-2</v>
      </c>
      <c r="AQ57" cm="1">
        <f t="array" ref="AQ57">Vega(V$3,$C$4,$H6,$D$4,0,$E$5)</f>
        <v>4.8462877771001354E-3</v>
      </c>
      <c r="AR57" cm="1">
        <f t="array" ref="AR57">Vega(W$3,$C$4,$H6,$D$4,0,$E$5)</f>
        <v>1.9887917206308568E-4</v>
      </c>
      <c r="AS57" cm="1">
        <f t="array" ref="AS57">Vega(X$3,$C$4,$H6,$D$4,0,$E$5)</f>
        <v>5.6738474150032411E-6</v>
      </c>
      <c r="AT57" cm="1">
        <f t="array" ref="AT57">Vega(Y$3,$C$4,$H6,$D$4,0,$E$5)</f>
        <v>1.1756275778131106E-7</v>
      </c>
    </row>
    <row r="58" spans="7:46" x14ac:dyDescent="0.2">
      <c r="H58">
        <v>0.4</v>
      </c>
      <c r="I58" cm="1">
        <f t="array" ref="I58">Vega(I$3,$C$4,$H7,$D$4,0,$E$4)</f>
        <v>6.354556411051324E-3</v>
      </c>
      <c r="J58" cm="1">
        <f t="array" ref="J58">Vega(J$3,$C$4,$H7,$D$4,0,$E$4)</f>
        <v>6.8337646766849905E-2</v>
      </c>
      <c r="K58" cm="1">
        <f t="array" ref="K58">Vega(K$3,$C$4,$H7,$D$4,0,$E$4)</f>
        <v>0.43122978474392287</v>
      </c>
      <c r="L58" cm="1">
        <f t="array" ref="L58">Vega(L$3,$C$4,$H7,$D$4,0,$E$4)</f>
        <v>1.76012583898282</v>
      </c>
      <c r="M58" cm="1">
        <f t="array" ref="M58">Vega(M$3,$C$4,$H7,$D$4,0,$E$4)</f>
        <v>5.0116628118720126</v>
      </c>
      <c r="N58" cm="1">
        <f t="array" ref="N58">Vega(N$3,$C$4,$H7,$D$4,0,$E$4)</f>
        <v>10.565235887329337</v>
      </c>
      <c r="O58" cm="1">
        <f t="array" ref="O58">Vega(O$3,$C$4,$H7,$D$4,0,$E$4)</f>
        <v>17.293746502576173</v>
      </c>
      <c r="P58" cm="1">
        <f t="array" ref="P58">Vega(P$3,$C$4,$H7,$D$4,0,$E$4)</f>
        <v>22.840702670307461</v>
      </c>
      <c r="Q58" cm="1">
        <f t="array" ref="Q58">Vega(Q$3,$C$4,$H7,$D$4,0,$E$4)</f>
        <v>25.118039341108513</v>
      </c>
      <c r="R58" cm="1">
        <f t="array" ref="R58">Vega(R$3,$C$4,$H7,$D$4,0,$E$4)</f>
        <v>23.603472101352111</v>
      </c>
      <c r="S58" cm="1">
        <f t="array" ref="S58">Vega(S$3,$C$4,$H7,$D$4,0,$E$4)</f>
        <v>19.366366629160034</v>
      </c>
      <c r="T58" cm="1">
        <f t="array" ref="T58">Vega(T$3,$C$4,$H7,$D$4,0,$E$4)</f>
        <v>14.127284601816148</v>
      </c>
      <c r="U58" cm="1">
        <f t="array" ref="U58">Vega(U$3,$C$4,$H7,$D$4,0,$E$4)</f>
        <v>9.3034075502440565</v>
      </c>
      <c r="V58" cm="1">
        <f t="array" ref="V58">Vega(V$3,$C$4,$H7,$D$4,0,$E$4)</f>
        <v>5.6032093638267746</v>
      </c>
      <c r="W58" cm="1">
        <f t="array" ref="W58">Vega(W$3,$C$4,$H7,$D$4,0,$E$4)</f>
        <v>3.1207812645797248</v>
      </c>
      <c r="X58" cm="1">
        <f t="array" ref="X58">Vega(X$3,$C$4,$H7,$D$4,0,$E$4)</f>
        <v>1.6227966445448345</v>
      </c>
      <c r="Y58" cm="1">
        <f t="array" ref="Y58">Vega(Y$3,$C$4,$H7,$D$4,0,$E$4)</f>
        <v>0.79435914841497823</v>
      </c>
      <c r="AC58">
        <v>0.4</v>
      </c>
      <c r="AD58" cm="1">
        <f t="array" ref="AD58">Vega(I$3,$C$4,$H7,$D$4,0,$E$5)</f>
        <v>2.213894253862579E-13</v>
      </c>
      <c r="AE58" cm="1">
        <f t="array" ref="AE58">Vega(J$3,$C$4,$H7,$D$4,0,$E$5)</f>
        <v>2.6261095230764713E-9</v>
      </c>
      <c r="AF58" cm="1">
        <f t="array" ref="AF58">Vega(K$3,$C$4,$H7,$D$4,0,$E$5)</f>
        <v>3.7258960102381547E-6</v>
      </c>
      <c r="AG58" cm="1">
        <f t="array" ref="AG58">Vega(L$3,$C$4,$H7,$D$4,0,$E$5)</f>
        <v>9.3245046528342434E-4</v>
      </c>
      <c r="AH58" cm="1">
        <f t="array" ref="AH58">Vega(M$3,$C$4,$H7,$D$4,0,$E$5)</f>
        <v>5.5633346565513969E-2</v>
      </c>
      <c r="AI58" cm="1">
        <f t="array" ref="AI58">Vega(N$3,$C$4,$H7,$D$4,0,$E$5)</f>
        <v>1.0033008819090716</v>
      </c>
      <c r="AJ58" cm="1">
        <f t="array" ref="AJ58">Vega(O$3,$C$4,$H7,$D$4,0,$E$5)</f>
        <v>6.6105163163659943</v>
      </c>
      <c r="AK58" cm="1">
        <f t="array" ref="AK58">Vega(P$3,$C$4,$H7,$D$4,0,$E$5)</f>
        <v>18.547920454659685</v>
      </c>
      <c r="AL58" cm="1">
        <f t="array" ref="AL58">Vega(Q$3,$C$4,$H7,$D$4,0,$E$5)</f>
        <v>25.118039341108513</v>
      </c>
      <c r="AM58" cm="1">
        <f t="array" ref="AM58">Vega(R$3,$C$4,$H7,$D$4,0,$E$5)</f>
        <v>18.20381504187749</v>
      </c>
      <c r="AN58" cm="1">
        <f t="array" ref="AN58">Vega(S$3,$C$4,$H7,$D$4,0,$E$5)</f>
        <v>7.6938968689493707</v>
      </c>
      <c r="AO58" cm="1">
        <f t="array" ref="AO58">Vega(T$3,$C$4,$H7,$D$4,0,$E$5)</f>
        <v>2.0381249613524028</v>
      </c>
      <c r="AP58" cm="1">
        <f t="array" ref="AP58">Vega(U$3,$C$4,$H7,$D$4,0,$E$5)</f>
        <v>0.3596160837798813</v>
      </c>
      <c r="AQ58" cm="1">
        <f t="array" ref="AQ58">Vega(V$3,$C$4,$H7,$D$4,0,$E$5)</f>
        <v>4.4506677252410989E-2</v>
      </c>
      <c r="AR58" cm="1">
        <f t="array" ref="AR58">Vega(W$3,$C$4,$H7,$D$4,0,$E$5)</f>
        <v>4.0381373145575517E-3</v>
      </c>
      <c r="AS58" cm="1">
        <f t="array" ref="AS58">Vega(X$3,$C$4,$H7,$D$4,0,$E$5)</f>
        <v>2.7899636340967843E-4</v>
      </c>
      <c r="AT58" cm="1">
        <f t="array" ref="AT58">Vega(Y$3,$C$4,$H7,$D$4,0,$E$5)</f>
        <v>1.5167651578010651E-5</v>
      </c>
    </row>
    <row r="59" spans="7:46" x14ac:dyDescent="0.2">
      <c r="G59" t="s">
        <v>37</v>
      </c>
      <c r="H59">
        <v>0.5</v>
      </c>
      <c r="I59" cm="1">
        <f t="array" ref="I59">Vega(I$3,$C$4,$H8,$D$4,0,$E$4)</f>
        <v>3.6252613967393113E-2</v>
      </c>
      <c r="J59" cm="1">
        <f t="array" ref="J59">Vega(J$3,$C$4,$H8,$D$4,0,$E$4)</f>
        <v>0.24340934965576377</v>
      </c>
      <c r="K59" cm="1">
        <f t="array" ref="K59">Vega(K$3,$C$4,$H8,$D$4,0,$E$4)</f>
        <v>1.0665604474636925</v>
      </c>
      <c r="L59" cm="1">
        <f t="array" ref="L59">Vega(L$3,$C$4,$H8,$D$4,0,$E$4)</f>
        <v>3.2972479768503962</v>
      </c>
      <c r="M59" cm="1">
        <f t="array" ref="M59">Vega(M$3,$C$4,$H8,$D$4,0,$E$4)</f>
        <v>7.6401792301498688</v>
      </c>
      <c r="N59" cm="1">
        <f t="array" ref="N59">Vega(N$3,$C$4,$H8,$D$4,0,$E$4)</f>
        <v>13.91675164727925</v>
      </c>
      <c r="O59" cm="1">
        <f t="array" ref="O59">Vega(O$3,$C$4,$H8,$D$4,0,$E$4)</f>
        <v>20.700792345453848</v>
      </c>
      <c r="P59" cm="1">
        <f t="array" ref="P59">Vega(P$3,$C$4,$H8,$D$4,0,$E$4)</f>
        <v>25.930883920219031</v>
      </c>
      <c r="Q59" cm="1">
        <f t="array" ref="Q59">Vega(Q$3,$C$4,$H8,$D$4,0,$E$4)</f>
        <v>28.051246304186257</v>
      </c>
      <c r="R59" cm="1">
        <f t="array" ref="R59">Vega(R$3,$C$4,$H8,$D$4,0,$E$4)</f>
        <v>26.754925856393442</v>
      </c>
      <c r="S59" cm="1">
        <f t="array" ref="S59">Vega(S$3,$C$4,$H8,$D$4,0,$E$4)</f>
        <v>22.89136689728651</v>
      </c>
      <c r="T59" cm="1">
        <f t="array" ref="T59">Vega(T$3,$C$4,$H8,$D$4,0,$E$4)</f>
        <v>17.82565184338004</v>
      </c>
      <c r="U59" cm="1">
        <f t="array" ref="U59">Vega(U$3,$C$4,$H8,$D$4,0,$E$4)</f>
        <v>12.788990708238194</v>
      </c>
      <c r="V59" cm="1">
        <f t="array" ref="V59">Vega(V$3,$C$4,$H8,$D$4,0,$E$4)</f>
        <v>8.5419800594485498</v>
      </c>
      <c r="W59" cm="1">
        <f t="array" ref="W59">Vega(W$3,$C$4,$H8,$D$4,0,$E$4)</f>
        <v>5.3588475727461455</v>
      </c>
      <c r="X59" cm="1">
        <f t="array" ref="X59">Vega(X$3,$C$4,$H8,$D$4,0,$E$4)</f>
        <v>3.1819367439192616</v>
      </c>
      <c r="Y59" cm="1">
        <f t="array" ref="Y59">Vega(Y$3,$C$4,$H8,$D$4,0,$E$4)</f>
        <v>1.8000455519786447</v>
      </c>
      <c r="AB59" t="s">
        <v>37</v>
      </c>
      <c r="AC59">
        <v>0.5</v>
      </c>
      <c r="AD59" cm="1">
        <f t="array" ref="AD59">Vega(I$3,$C$4,$H8,$D$4,0,$E$5)</f>
        <v>1.6837357993007972E-10</v>
      </c>
      <c r="AE59" cm="1">
        <f t="array" ref="AE59">Vega(J$3,$C$4,$H8,$D$4,0,$E$5)</f>
        <v>3.0347470957467907E-7</v>
      </c>
      <c r="AF59" cm="1">
        <f t="array" ref="AF59">Vega(K$3,$C$4,$H8,$D$4,0,$E$5)</f>
        <v>1.0010098526373569E-4</v>
      </c>
      <c r="AG59" cm="1">
        <f t="array" ref="AG59">Vega(L$3,$C$4,$H8,$D$4,0,$E$5)</f>
        <v>8.2443811591708764E-3</v>
      </c>
      <c r="AH59" cm="1">
        <f t="array" ref="AH59">Vega(M$3,$C$4,$H8,$D$4,0,$E$5)</f>
        <v>0.21573604959593176</v>
      </c>
      <c r="AI59" cm="1">
        <f t="array" ref="AI59">Vega(N$3,$C$4,$H8,$D$4,0,$E$5)</f>
        <v>2.1685359940348929</v>
      </c>
      <c r="AJ59" cm="1">
        <f t="array" ref="AJ59">Vega(O$3,$C$4,$H8,$D$4,0,$E$5)</f>
        <v>9.7437835238203121</v>
      </c>
      <c r="AK59" cm="1">
        <f t="array" ref="AK59">Vega(P$3,$C$4,$H8,$D$4,0,$E$5)</f>
        <v>22.122153003014297</v>
      </c>
      <c r="AL59" cm="1">
        <f t="array" ref="AL59">Vega(Q$3,$C$4,$H8,$D$4,0,$E$5)</f>
        <v>28.051246304186257</v>
      </c>
      <c r="AM59" cm="1">
        <f t="array" ref="AM59">Vega(R$3,$C$4,$H8,$D$4,0,$E$5)</f>
        <v>21.576180864022366</v>
      </c>
      <c r="AN59" cm="1">
        <f t="array" ref="AN59">Vega(S$3,$C$4,$H8,$D$4,0,$E$5)</f>
        <v>10.783044375026947</v>
      </c>
      <c r="AO59" cm="1">
        <f t="array" ref="AO59">Vega(T$3,$C$4,$H8,$D$4,0,$E$5)</f>
        <v>3.7091844871351078</v>
      </c>
      <c r="AP59" cm="1">
        <f t="array" ref="AP59">Vega(U$3,$C$4,$H8,$D$4,0,$E$5)</f>
        <v>0.92196988092317333</v>
      </c>
      <c r="AQ59" cm="1">
        <f t="array" ref="AQ59">Vega(V$3,$C$4,$H8,$D$4,0,$E$5)</f>
        <v>0.17258883967674513</v>
      </c>
      <c r="AR59" cm="1">
        <f t="array" ref="AR59">Vega(W$3,$C$4,$H8,$D$4,0,$E$5)</f>
        <v>2.5206590353609039E-2</v>
      </c>
      <c r="AS59" cm="1">
        <f t="array" ref="AS59">Vega(X$3,$C$4,$H8,$D$4,0,$E$5)</f>
        <v>2.9607997104108361E-3</v>
      </c>
      <c r="AT59" cm="1">
        <f t="array" ref="AT59">Vega(Y$3,$C$4,$H8,$D$4,0,$E$5)</f>
        <v>2.8713454403848714E-4</v>
      </c>
    </row>
    <row r="60" spans="7:46" x14ac:dyDescent="0.2">
      <c r="H60">
        <v>0.6</v>
      </c>
      <c r="I60" cm="1">
        <f t="array" ref="I60">Vega(I$3,$C$4,$H9,$D$4,0,$E$4)</f>
        <v>0.11766116464443557</v>
      </c>
      <c r="J60" cm="1">
        <f t="array" ref="J60">Vega(J$3,$C$4,$H9,$D$4,0,$E$4)</f>
        <v>0.57709392847973651</v>
      </c>
      <c r="K60" cm="1">
        <f t="array" ref="K60">Vega(K$3,$C$4,$H9,$D$4,0,$E$4)</f>
        <v>1.9828706392671911</v>
      </c>
      <c r="L60" cm="1">
        <f t="array" ref="L60">Vega(L$3,$C$4,$H9,$D$4,0,$E$4)</f>
        <v>5.0934802908825025</v>
      </c>
      <c r="M60" cm="1">
        <f t="array" ref="M60">Vega(M$3,$C$4,$H9,$D$4,0,$E$4)</f>
        <v>10.287482444006043</v>
      </c>
      <c r="N60" cm="1">
        <f t="array" ref="N60">Vega(N$3,$C$4,$H9,$D$4,0,$E$4)</f>
        <v>16.99944547238977</v>
      </c>
      <c r="O60" cm="1">
        <f t="array" ref="O60">Vega(O$3,$C$4,$H9,$D$4,0,$E$4)</f>
        <v>23.723384471393924</v>
      </c>
      <c r="P60" cm="1">
        <f t="array" ref="P60">Vega(P$3,$C$4,$H9,$D$4,0,$E$4)</f>
        <v>28.686682039024305</v>
      </c>
      <c r="Q60" cm="1">
        <f t="array" ref="Q60">Vega(Q$3,$C$4,$H9,$D$4,0,$E$4)</f>
        <v>30.69405049619952</v>
      </c>
      <c r="R60" cm="1">
        <f t="array" ref="R60">Vega(R$3,$C$4,$H9,$D$4,0,$E$4)</f>
        <v>29.567419013929413</v>
      </c>
      <c r="S60" cm="1">
        <f t="array" ref="S60">Vega(S$3,$C$4,$H9,$D$4,0,$E$4)</f>
        <v>26.014283512817954</v>
      </c>
      <c r="T60" cm="1">
        <f t="array" ref="T60">Vega(T$3,$C$4,$H9,$D$4,0,$E$4)</f>
        <v>21.158960540408664</v>
      </c>
      <c r="U60" cm="1">
        <f t="array" ref="U60">Vega(U$3,$C$4,$H9,$D$4,0,$E$4)</f>
        <v>16.07274965988492</v>
      </c>
      <c r="V60" cm="1">
        <f t="array" ref="V60">Vega(V$3,$C$4,$H9,$D$4,0,$E$4)</f>
        <v>11.501755031066587</v>
      </c>
      <c r="W60" cm="1">
        <f t="array" ref="W60">Vega(W$3,$C$4,$H9,$D$4,0,$E$4)</f>
        <v>7.8115019427058492</v>
      </c>
      <c r="X60" cm="1">
        <f t="array" ref="X60">Vega(X$3,$C$4,$H9,$D$4,0,$E$4)</f>
        <v>5.0671947233936798</v>
      </c>
      <c r="Y60" cm="1">
        <f t="array" ref="Y60">Vega(Y$3,$C$4,$H9,$D$4,0,$E$4)</f>
        <v>3.1568381504252203</v>
      </c>
      <c r="AC60">
        <v>0.6</v>
      </c>
      <c r="AD60" cm="1">
        <f t="array" ref="AD60">Vega(I$3,$C$4,$H9,$D$4,0,$E$5)</f>
        <v>1.4260773627185632E-8</v>
      </c>
      <c r="AE60" cm="1">
        <f t="array" ref="AE60">Vega(J$3,$C$4,$H9,$D$4,0,$E$5)</f>
        <v>7.3190274501949836E-6</v>
      </c>
      <c r="AF60" cm="1">
        <f t="array" ref="AF60">Vega(K$3,$C$4,$H9,$D$4,0,$E$5)</f>
        <v>9.1278366359241259E-4</v>
      </c>
      <c r="AG60" cm="1">
        <f t="array" ref="AG60">Vega(L$3,$C$4,$H9,$D$4,0,$E$5)</f>
        <v>3.5834719979831717E-2</v>
      </c>
      <c r="AH60" cm="1">
        <f t="array" ref="AH60">Vega(M$3,$C$4,$H9,$D$4,0,$E$5)</f>
        <v>0.54130101077600301</v>
      </c>
      <c r="AI60" cm="1">
        <f t="array" ref="AI60">Vega(N$3,$C$4,$H9,$D$4,0,$E$5)</f>
        <v>3.6850893362287711</v>
      </c>
      <c r="AJ60" cm="1">
        <f t="array" ref="AJ60">Vega(O$3,$C$4,$H9,$D$4,0,$E$5)</f>
        <v>12.828628098948194</v>
      </c>
      <c r="AK60" cm="1">
        <f t="array" ref="AK60">Vega(P$3,$C$4,$H9,$D$4,0,$E$5)</f>
        <v>25.291422770740372</v>
      </c>
      <c r="AL60" cm="1">
        <f t="array" ref="AL60">Vega(Q$3,$C$4,$H9,$D$4,0,$E$5)</f>
        <v>30.69405049619952</v>
      </c>
      <c r="AM60" cm="1">
        <f t="array" ref="AM60">Vega(R$3,$C$4,$H9,$D$4,0,$E$5)</f>
        <v>24.564453432089618</v>
      </c>
      <c r="AN60" cm="1">
        <f t="array" ref="AN60">Vega(S$3,$C$4,$H9,$D$4,0,$E$5)</f>
        <v>13.727638643411783</v>
      </c>
      <c r="AO60" cm="1">
        <f t="array" ref="AO60">Vega(T$3,$C$4,$H9,$D$4,0,$E$5)</f>
        <v>5.6204093069575221</v>
      </c>
      <c r="AP60" cm="1">
        <f t="array" ref="AP60">Vega(U$3,$C$4,$H9,$D$4,0,$E$5)</f>
        <v>1.7556027112756616</v>
      </c>
      <c r="AQ60" cm="1">
        <f t="array" ref="AQ60">Vega(V$3,$C$4,$H9,$D$4,0,$E$5)</f>
        <v>0.43304080862080163</v>
      </c>
      <c r="AR60" cm="1">
        <f t="array" ref="AR60">Vega(W$3,$C$4,$H9,$D$4,0,$E$5)</f>
        <v>8.6868143918896579E-2</v>
      </c>
      <c r="AS60" cm="1">
        <f t="array" ref="AS60">Vega(X$3,$C$4,$H9,$D$4,0,$E$5)</f>
        <v>1.4534734818581415E-2</v>
      </c>
      <c r="AT60" cm="1">
        <f t="array" ref="AT60">Vega(Y$3,$C$4,$H9,$D$4,0,$E$5)</f>
        <v>2.0732639788992959E-3</v>
      </c>
    </row>
    <row r="61" spans="7:46" x14ac:dyDescent="0.2">
      <c r="H61">
        <v>0.7</v>
      </c>
      <c r="I61" cm="1">
        <f t="array" ref="I61">Vega(I$3,$C$4,$H10,$D$4,0,$E$4)</f>
        <v>0.27599282724645069</v>
      </c>
      <c r="J61" cm="1">
        <f t="array" ref="J61">Vega(J$3,$C$4,$H10,$D$4,0,$E$4)</f>
        <v>1.0816670734477618</v>
      </c>
      <c r="K61" cm="1">
        <f t="array" ref="K61">Vega(K$3,$C$4,$H10,$D$4,0,$E$4)</f>
        <v>3.1240118425491601</v>
      </c>
      <c r="L61" cm="1">
        <f t="array" ref="L61">Vega(L$3,$C$4,$H10,$D$4,0,$E$4)</f>
        <v>7.0302629740001565</v>
      </c>
      <c r="M61" cm="1">
        <f t="array" ref="M61">Vega(M$3,$C$4,$H10,$D$4,0,$E$4)</f>
        <v>12.872223646374945</v>
      </c>
      <c r="N61" cm="1">
        <f t="array" ref="N61">Vega(N$3,$C$4,$H10,$D$4,0,$E$4)</f>
        <v>19.84077978526323</v>
      </c>
      <c r="O61" cm="1">
        <f t="array" ref="O61">Vega(O$3,$C$4,$H10,$D$4,0,$E$4)</f>
        <v>26.455122246358705</v>
      </c>
      <c r="P61" cm="1">
        <f t="array" ref="P61">Vega(P$3,$C$4,$H10,$D$4,0,$E$4)</f>
        <v>31.193622839956397</v>
      </c>
      <c r="Q61" cm="1">
        <f t="array" ref="Q61">Vega(Q$3,$C$4,$H10,$D$4,0,$E$4)</f>
        <v>33.116087146110289</v>
      </c>
      <c r="R61" cm="1">
        <f t="array" ref="R61">Vega(R$3,$C$4,$H10,$D$4,0,$E$4)</f>
        <v>32.127364650068387</v>
      </c>
      <c r="S61" cm="1">
        <f t="array" ref="S61">Vega(S$3,$C$4,$H10,$D$4,0,$E$4)</f>
        <v>28.836210247206257</v>
      </c>
      <c r="T61" cm="1">
        <f t="array" ref="T61">Vega(T$3,$C$4,$H10,$D$4,0,$E$4)</f>
        <v>24.195071188978151</v>
      </c>
      <c r="U61" cm="1">
        <f t="array" ref="U61">Vega(U$3,$C$4,$H10,$D$4,0,$E$4)</f>
        <v>19.144349454685667</v>
      </c>
      <c r="V61" cm="1">
        <f t="array" ref="V61">Vega(V$3,$C$4,$H10,$D$4,0,$E$4)</f>
        <v>14.391583547437294</v>
      </c>
      <c r="W61" cm="1">
        <f t="array" ref="W61">Vega(W$3,$C$4,$H10,$D$4,0,$E$4)</f>
        <v>10.344072895213412</v>
      </c>
      <c r="X61" cm="1">
        <f t="array" ref="X61">Vega(X$3,$C$4,$H10,$D$4,0,$E$4)</f>
        <v>7.1476357882319848</v>
      </c>
      <c r="Y61" cm="1">
        <f t="array" ref="Y61">Vega(Y$3,$C$4,$H10,$D$4,0,$E$4)</f>
        <v>4.7705729750376911</v>
      </c>
      <c r="AC61">
        <v>0.7</v>
      </c>
      <c r="AD61" cm="1">
        <f t="array" ref="AD61">Vega(I$3,$C$4,$H10,$D$4,0,$E$5)</f>
        <v>3.4375360039163328E-7</v>
      </c>
      <c r="AE61" cm="1">
        <f t="array" ref="AE61">Vega(J$3,$C$4,$H10,$D$4,0,$E$5)</f>
        <v>7.1926239310786806E-5</v>
      </c>
      <c r="AF61" cm="1">
        <f t="array" ref="AF61">Vega(K$3,$C$4,$H10,$D$4,0,$E$5)</f>
        <v>4.4780256387178217E-3</v>
      </c>
      <c r="AG61" cm="1">
        <f t="array" ref="AG61">Vega(L$3,$C$4,$H10,$D$4,0,$E$5)</f>
        <v>0.10355649356059844</v>
      </c>
      <c r="AH61" cm="1">
        <f t="array" ref="AH61">Vega(M$3,$C$4,$H10,$D$4,0,$E$5)</f>
        <v>1.0564824233400871</v>
      </c>
      <c r="AI61" cm="1">
        <f t="array" ref="AI61">Vega(N$3,$C$4,$H10,$D$4,0,$E$5)</f>
        <v>5.4448949916165592</v>
      </c>
      <c r="AJ61" cm="1">
        <f t="array" ref="AJ61">Vega(O$3,$C$4,$H10,$D$4,0,$E$5)</f>
        <v>15.796405593882865</v>
      </c>
      <c r="AK61" cm="1">
        <f t="array" ref="AK61">Vega(P$3,$C$4,$H10,$D$4,0,$E$5)</f>
        <v>28.155342127741203</v>
      </c>
      <c r="AL61" cm="1">
        <f t="array" ref="AL61">Vega(Q$3,$C$4,$H10,$D$4,0,$E$5)</f>
        <v>33.116087146110289</v>
      </c>
      <c r="AM61" cm="1">
        <f t="array" ref="AM61">Vega(R$3,$C$4,$H10,$D$4,0,$E$5)</f>
        <v>27.264617640732549</v>
      </c>
      <c r="AN61" cm="1">
        <f t="array" ref="AN61">Vega(S$3,$C$4,$H10,$D$4,0,$E$5)</f>
        <v>16.502382731650936</v>
      </c>
      <c r="AO61" cm="1">
        <f t="array" ref="AO61">Vega(T$3,$C$4,$H10,$D$4,0,$E$5)</f>
        <v>7.6514510849957471</v>
      </c>
      <c r="AP61" cm="1">
        <f t="array" ref="AP61">Vega(U$3,$C$4,$H10,$D$4,0,$E$5)</f>
        <v>2.8136724172845171</v>
      </c>
      <c r="AQ61" cm="1">
        <f t="array" ref="AQ61">Vega(V$3,$C$4,$H10,$D$4,0,$E$5)</f>
        <v>0.84518593867206881</v>
      </c>
      <c r="AR61" cm="1">
        <f t="array" ref="AR61">Vega(W$3,$C$4,$H10,$D$4,0,$E$5)</f>
        <v>0.21268370180966031</v>
      </c>
      <c r="AS61" cm="1">
        <f t="array" ref="AS61">Vega(X$3,$C$4,$H10,$D$4,0,$E$5)</f>
        <v>4.5817559828766945E-2</v>
      </c>
      <c r="AT61" cm="1">
        <f t="array" ref="AT61">Vega(Y$3,$C$4,$H10,$D$4,0,$E$5)</f>
        <v>8.6094036586961634E-3</v>
      </c>
    </row>
    <row r="62" spans="7:46" x14ac:dyDescent="0.2">
      <c r="H62">
        <v>0.8</v>
      </c>
      <c r="I62" cm="1">
        <f t="array" ref="I62">Vega(I$3,$C$4,$H11,$D$4,0,$E$4)</f>
        <v>0.52767323580423287</v>
      </c>
      <c r="J62" cm="1">
        <f t="array" ref="J62">Vega(J$3,$C$4,$H11,$D$4,0,$E$4)</f>
        <v>1.747824087361423</v>
      </c>
      <c r="K62" cm="1">
        <f t="array" ref="K62">Vega(K$3,$C$4,$H11,$D$4,0,$E$4)</f>
        <v>4.4314430319658937</v>
      </c>
      <c r="L62" cm="1">
        <f t="array" ref="L62">Vega(L$3,$C$4,$H11,$D$4,0,$E$4)</f>
        <v>9.0304222542602286</v>
      </c>
      <c r="M62" cm="1">
        <f t="array" ref="M62">Vega(M$3,$C$4,$H11,$D$4,0,$E$4)</f>
        <v>15.361396923011618</v>
      </c>
      <c r="N62" cm="1">
        <f t="array" ref="N62">Vega(N$3,$C$4,$H11,$D$4,0,$E$4)</f>
        <v>22.473489195639598</v>
      </c>
      <c r="O62" cm="1">
        <f t="array" ref="O62">Vega(O$3,$C$4,$H11,$D$4,0,$E$4)</f>
        <v>28.958655791598932</v>
      </c>
      <c r="P62" cm="1">
        <f t="array" ref="P62">Vega(P$3,$C$4,$H11,$D$4,0,$E$4)</f>
        <v>33.506087760385839</v>
      </c>
      <c r="Q62" cm="1">
        <f t="array" ref="Q62">Vega(Q$3,$C$4,$H11,$D$4,0,$E$4)</f>
        <v>35.362780796997576</v>
      </c>
      <c r="R62" cm="1">
        <f t="array" ref="R62">Vega(R$3,$C$4,$H11,$D$4,0,$E$4)</f>
        <v>34.489758203526321</v>
      </c>
      <c r="S62" cm="1">
        <f t="array" ref="S62">Vega(S$3,$C$4,$H11,$D$4,0,$E$4)</f>
        <v>31.423293448931329</v>
      </c>
      <c r="T62" cm="1">
        <f t="array" ref="T62">Vega(T$3,$C$4,$H11,$D$4,0,$E$4)</f>
        <v>26.987963743602148</v>
      </c>
      <c r="U62" cm="1">
        <f t="array" ref="U62">Vega(U$3,$C$4,$H11,$D$4,0,$E$4)</f>
        <v>22.017713675499852</v>
      </c>
      <c r="V62" cm="1">
        <f t="array" ref="V62">Vega(V$3,$C$4,$H11,$D$4,0,$E$4)</f>
        <v>17.174563874605031</v>
      </c>
      <c r="W62" cm="1">
        <f t="array" ref="W62">Vega(W$3,$C$4,$H11,$D$4,0,$E$4)</f>
        <v>12.880363658795954</v>
      </c>
      <c r="X62" cm="1">
        <f t="array" ref="X62">Vega(X$3,$C$4,$H11,$D$4,0,$E$4)</f>
        <v>9.3320554875542943</v>
      </c>
      <c r="Y62" cm="1">
        <f t="array" ref="Y62">Vega(Y$3,$C$4,$H11,$D$4,0,$E$4)</f>
        <v>6.5588544899120951</v>
      </c>
      <c r="AC62">
        <v>0.8</v>
      </c>
      <c r="AD62" cm="1">
        <f t="array" ref="AD62">Vega(I$3,$C$4,$H11,$D$4,0,$E$5)</f>
        <v>3.7721952577593389E-6</v>
      </c>
      <c r="AE62" cm="1">
        <f t="array" ref="AE62">Vega(J$3,$C$4,$H11,$D$4,0,$E$5)</f>
        <v>4.0269999011754233E-4</v>
      </c>
      <c r="AF62" cm="1">
        <f t="array" ref="AF62">Vega(K$3,$C$4,$H11,$D$4,0,$E$5)</f>
        <v>1.4889989640669983E-2</v>
      </c>
      <c r="AG62" cm="1">
        <f t="array" ref="AG62">Vega(L$3,$C$4,$H11,$D$4,0,$E$5)</f>
        <v>0.23152671506102002</v>
      </c>
      <c r="AH62" cm="1">
        <f t="array" ref="AH62">Vega(M$3,$C$4,$H11,$D$4,0,$E$5)</f>
        <v>1.7597405298560351</v>
      </c>
      <c r="AI62" cm="1">
        <f t="array" ref="AI62">Vega(N$3,$C$4,$H11,$D$4,0,$E$5)</f>
        <v>7.3606201526075647</v>
      </c>
      <c r="AJ62" cm="1">
        <f t="array" ref="AJ62">Vega(O$3,$C$4,$H11,$D$4,0,$E$5)</f>
        <v>18.625614252560368</v>
      </c>
      <c r="AK62" cm="1">
        <f t="array" ref="AK62">Vega(P$3,$C$4,$H11,$D$4,0,$E$5)</f>
        <v>30.78011597429861</v>
      </c>
      <c r="AL62" cm="1">
        <f t="array" ref="AL62">Vega(Q$3,$C$4,$H11,$D$4,0,$E$5)</f>
        <v>35.362780796997576</v>
      </c>
      <c r="AM62" cm="1">
        <f t="array" ref="AM62">Vega(R$3,$C$4,$H11,$D$4,0,$E$5)</f>
        <v>29.739757516778266</v>
      </c>
      <c r="AN62" cm="1">
        <f t="array" ref="AN62">Vega(S$3,$C$4,$H11,$D$4,0,$E$5)</f>
        <v>19.110786021475306</v>
      </c>
      <c r="AO62" cm="1">
        <f t="array" ref="AO62">Vega(T$3,$C$4,$H11,$D$4,0,$E$5)</f>
        <v>9.7273487048199261</v>
      </c>
      <c r="AP62" cm="1">
        <f t="array" ref="AP62">Vega(U$3,$C$4,$H11,$D$4,0,$E$5)</f>
        <v>4.0427583513910719</v>
      </c>
      <c r="AQ62" cm="1">
        <f t="array" ref="AQ62">Vega(V$3,$C$4,$H11,$D$4,0,$E$5)</f>
        <v>1.407792423884823</v>
      </c>
      <c r="AR62" cm="1">
        <f t="array" ref="AR62">Vega(W$3,$C$4,$H11,$D$4,0,$E$5)</f>
        <v>0.41991195969349704</v>
      </c>
      <c r="AS62" cm="1">
        <f t="array" ref="AS62">Vega(X$3,$C$4,$H11,$D$4,0,$E$5)</f>
        <v>0.10933755800638381</v>
      </c>
      <c r="AT62" cm="1">
        <f t="array" ref="AT62">Vega(Y$3,$C$4,$H11,$D$4,0,$E$5)</f>
        <v>2.5262754622349386E-2</v>
      </c>
    </row>
    <row r="63" spans="7:46" x14ac:dyDescent="0.2">
      <c r="H63">
        <v>0.9</v>
      </c>
      <c r="I63" cm="1">
        <f t="array" ref="I63">Vega(I$3,$C$4,$H12,$D$4,0,$E$4)</f>
        <v>0.87942603690305643</v>
      </c>
      <c r="J63" cm="1">
        <f t="array" ref="J63">Vega(J$3,$C$4,$H12,$D$4,0,$E$4)</f>
        <v>2.5556717355709897</v>
      </c>
      <c r="K63" cm="1">
        <f t="array" ref="K63">Vega(K$3,$C$4,$H12,$D$4,0,$E$4)</f>
        <v>5.855343505406033</v>
      </c>
      <c r="L63" cm="1">
        <f t="array" ref="L63">Vega(L$3,$C$4,$H12,$D$4,0,$E$4)</f>
        <v>11.045773801093519</v>
      </c>
      <c r="M63" cm="1">
        <f t="array" ref="M63">Vega(M$3,$C$4,$H12,$D$4,0,$E$4)</f>
        <v>17.744408367129644</v>
      </c>
      <c r="N63" cm="1">
        <f t="array" ref="N63">Vega(N$3,$C$4,$H12,$D$4,0,$E$4)</f>
        <v>24.927154208382696</v>
      </c>
      <c r="O63" cm="1">
        <f t="array" ref="O63">Vega(O$3,$C$4,$H12,$D$4,0,$E$4)</f>
        <v>31.27778048750498</v>
      </c>
      <c r="P63" cm="1">
        <f t="array" ref="P63">Vega(P$3,$C$4,$H12,$D$4,0,$E$4)</f>
        <v>35.661132714949467</v>
      </c>
      <c r="Q63" cm="1">
        <f t="array" ref="Q63">Vega(Q$3,$C$4,$H12,$D$4,0,$E$4)</f>
        <v>37.465720501521851</v>
      </c>
      <c r="R63" cm="1">
        <f t="array" ref="R63">Vega(R$3,$C$4,$H12,$D$4,0,$E$4)</f>
        <v>36.692108772311308</v>
      </c>
      <c r="S63" cm="1">
        <f t="array" ref="S63">Vega(S$3,$C$4,$H12,$D$4,0,$E$4)</f>
        <v>33.821167077407694</v>
      </c>
      <c r="T63" cm="1">
        <f t="array" ref="T63">Vega(T$3,$C$4,$H12,$D$4,0,$E$4)</f>
        <v>29.5791479187344</v>
      </c>
      <c r="U63" cm="1">
        <f t="array" ref="U63">Vega(U$3,$C$4,$H12,$D$4,0,$E$4)</f>
        <v>24.712869597243461</v>
      </c>
      <c r="V63" cm="1">
        <f t="array" ref="V63">Vega(V$3,$C$4,$H12,$D$4,0,$E$4)</f>
        <v>19.838851664708947</v>
      </c>
      <c r="W63" cm="1">
        <f t="array" ref="W63">Vega(W$3,$C$4,$H12,$D$4,0,$E$4)</f>
        <v>15.378580943041786</v>
      </c>
      <c r="X63" cm="1">
        <f t="array" ref="X63">Vega(X$3,$C$4,$H12,$D$4,0,$E$4)</f>
        <v>11.560345928134989</v>
      </c>
      <c r="Y63" cm="1">
        <f t="array" ref="Y63">Vega(Y$3,$C$4,$H12,$D$4,0,$E$4)</f>
        <v>8.4581782621465393</v>
      </c>
      <c r="AC63">
        <v>0.9</v>
      </c>
      <c r="AD63" cm="1">
        <f t="array" ref="AD63">Vega(I$3,$C$4,$H12,$D$4,0,$E$5)</f>
        <v>2.4471925152833628E-5</v>
      </c>
      <c r="AE63" cm="1">
        <f t="array" ref="AE63">Vega(J$3,$C$4,$H12,$D$4,0,$E$5)</f>
        <v>1.5479180979646758E-3</v>
      </c>
      <c r="AF63" cm="1">
        <f t="array" ref="AF63">Vega(K$3,$C$4,$H12,$D$4,0,$E$5)</f>
        <v>3.8164553510493977E-2</v>
      </c>
      <c r="AG63" cm="1">
        <f t="array" ref="AG63">Vega(L$3,$C$4,$H12,$D$4,0,$E$5)</f>
        <v>0.43580320477808066</v>
      </c>
      <c r="AH63" cm="1">
        <f t="array" ref="AH63">Vega(M$3,$C$4,$H12,$D$4,0,$E$5)</f>
        <v>2.6345645732472498</v>
      </c>
      <c r="AI63" cm="1">
        <f t="array" ref="AI63">Vega(N$3,$C$4,$H12,$D$4,0,$E$5)</f>
        <v>9.3682861219506979</v>
      </c>
      <c r="AJ63" cm="1">
        <f t="array" ref="AJ63">Vega(O$3,$C$4,$H12,$D$4,0,$E$5)</f>
        <v>21.314624132838873</v>
      </c>
      <c r="AK63" cm="1">
        <f t="array" ref="AK63">Vega(P$3,$C$4,$H12,$D$4,0,$E$5)</f>
        <v>33.21183411449131</v>
      </c>
      <c r="AL63" cm="1">
        <f t="array" ref="AL63">Vega(Q$3,$C$4,$H12,$D$4,0,$E$5)</f>
        <v>37.465720501521851</v>
      </c>
      <c r="AM63" cm="1">
        <f t="array" ref="AM63">Vega(R$3,$C$4,$H12,$D$4,0,$E$5)</f>
        <v>32.03350599422987</v>
      </c>
      <c r="AN63" cm="1">
        <f t="array" ref="AN63">Vega(S$3,$C$4,$H12,$D$4,0,$E$5)</f>
        <v>21.56567544412437</v>
      </c>
      <c r="AO63" cm="1">
        <f t="array" ref="AO63">Vega(T$3,$C$4,$H12,$D$4,0,$E$5)</f>
        <v>11.803032678147579</v>
      </c>
      <c r="AP63" cm="1">
        <f t="array" ref="AP63">Vega(U$3,$C$4,$H12,$D$4,0,$E$5)</f>
        <v>5.3953369730765104</v>
      </c>
      <c r="AQ63" cm="1">
        <f t="array" ref="AQ63">Vega(V$3,$C$4,$H12,$D$4,0,$E$5)</f>
        <v>2.1076516585977934</v>
      </c>
      <c r="AR63" cm="1">
        <f t="array" ref="AR63">Vega(W$3,$C$4,$H12,$D$4,0,$E$5)</f>
        <v>0.71754270940931397</v>
      </c>
      <c r="AS63" cm="1">
        <f t="array" ref="AS63">Vega(X$3,$C$4,$H12,$D$4,0,$E$5)</f>
        <v>0.21651121661498729</v>
      </c>
      <c r="AT63" cm="1">
        <f t="array" ref="AT63">Vega(Y$3,$C$4,$H12,$D$4,0,$E$5)</f>
        <v>5.8750695962987917E-2</v>
      </c>
    </row>
    <row r="64" spans="7:46" x14ac:dyDescent="0.2">
      <c r="H64">
        <v>1</v>
      </c>
      <c r="I64" cm="1">
        <f t="array" ref="I64">Vega(I$3,$C$4,$H13,$D$4,0,$E$4)</f>
        <v>1.3304138019690321</v>
      </c>
      <c r="J64" cm="1">
        <f t="array" ref="J64">Vega(J$3,$C$4,$H13,$D$4,0,$E$4)</f>
        <v>3.4820176623168373</v>
      </c>
      <c r="K64" cm="1">
        <f t="array" ref="K64">Vega(K$3,$C$4,$H13,$D$4,0,$E$4)</f>
        <v>7.3566173019582468</v>
      </c>
      <c r="L64" cm="1">
        <f t="array" ref="L64">Vega(L$3,$C$4,$H13,$D$4,0,$E$4)</f>
        <v>13.046879019121693</v>
      </c>
      <c r="M64" cm="1">
        <f t="array" ref="M64">Vega(M$3,$C$4,$H13,$D$4,0,$E$4)</f>
        <v>20.021019742744606</v>
      </c>
      <c r="N64" cm="1">
        <f t="array" ref="N64">Vega(N$3,$C$4,$H13,$D$4,0,$E$4)</f>
        <v>27.226666793458271</v>
      </c>
      <c r="O64" cm="1">
        <f t="array" ref="O64">Vega(O$3,$C$4,$H13,$D$4,0,$E$4)</f>
        <v>33.444289202725919</v>
      </c>
      <c r="P64" cm="1">
        <f t="array" ref="P64">Vega(P$3,$C$4,$H13,$D$4,0,$E$4)</f>
        <v>37.685326590063859</v>
      </c>
      <c r="Q64" cm="1">
        <f t="array" ref="Q64">Vega(Q$3,$C$4,$H13,$D$4,0,$E$4)</f>
        <v>39.447933090788894</v>
      </c>
      <c r="R64" cm="1">
        <f t="array" ref="R64">Vega(R$3,$C$4,$H13,$D$4,0,$E$4)</f>
        <v>38.761333572648297</v>
      </c>
      <c r="S64" cm="1">
        <f t="array" ref="S64">Vega(S$3,$C$4,$H13,$D$4,0,$E$4)</f>
        <v>36.062690186445991</v>
      </c>
      <c r="T64" cm="1">
        <f t="array" ref="T64">Vega(T$3,$C$4,$H13,$D$4,0,$E$4)</f>
        <v>32.000599329500922</v>
      </c>
      <c r="U64" cm="1">
        <f t="array" ref="U64">Vega(U$3,$C$4,$H13,$D$4,0,$E$4)</f>
        <v>27.249840451049842</v>
      </c>
      <c r="V64" cm="1">
        <f t="array" ref="V64">Vega(V$3,$C$4,$H13,$D$4,0,$E$4)</f>
        <v>22.384180561821136</v>
      </c>
      <c r="W64" cm="1">
        <f t="array" ref="W64">Vega(W$3,$C$4,$H13,$D$4,0,$E$4)</f>
        <v>17.816680549913187</v>
      </c>
      <c r="X64" cm="1">
        <f t="array" ref="X64">Vega(X$3,$C$4,$H13,$D$4,0,$E$4)</f>
        <v>13.793855243276576</v>
      </c>
      <c r="Y64" cm="1">
        <f t="array" ref="Y64">Vega(Y$3,$C$4,$H13,$D$4,0,$E$4)</f>
        <v>10.422116521119738</v>
      </c>
      <c r="AC64">
        <v>1</v>
      </c>
      <c r="AD64" cm="1">
        <f t="array" ref="AD64">Vega(I$3,$C$4,$H13,$D$4,0,$E$5)</f>
        <v>1.0981137573304779E-4</v>
      </c>
      <c r="AE64" cm="1">
        <f t="array" ref="AE64">Vega(J$3,$C$4,$H13,$D$4,0,$E$5)</f>
        <v>4.5696305078151925E-3</v>
      </c>
      <c r="AF64" cm="1">
        <f t="array" ref="AF64">Vega(K$3,$C$4,$H13,$D$4,0,$E$5)</f>
        <v>8.1469084911896597E-2</v>
      </c>
      <c r="AG64" cm="1">
        <f t="array" ref="AG64">Vega(L$3,$C$4,$H13,$D$4,0,$E$5)</f>
        <v>0.7267112565693663</v>
      </c>
      <c r="AH64" cm="1">
        <f t="array" ref="AH64">Vega(M$3,$C$4,$H13,$D$4,0,$E$5)</f>
        <v>3.6579438640896007</v>
      </c>
      <c r="AI64" cm="1">
        <f t="array" ref="AI64">Vega(N$3,$C$4,$H13,$D$4,0,$E$5)</f>
        <v>11.422910084499065</v>
      </c>
      <c r="AJ64" cm="1">
        <f t="array" ref="AJ64">Vega(O$3,$C$4,$H13,$D$4,0,$E$5)</f>
        <v>23.869941692283714</v>
      </c>
      <c r="AK64" cm="1">
        <f t="array" ref="AK64">Vega(P$3,$C$4,$H13,$D$4,0,$E$5)</f>
        <v>35.483868952949422</v>
      </c>
      <c r="AL64" cm="1">
        <f t="array" ref="AL64">Vega(Q$3,$C$4,$H13,$D$4,0,$E$5)</f>
        <v>39.447933090788894</v>
      </c>
      <c r="AM64" cm="1">
        <f t="array" ref="AM64">Vega(R$3,$C$4,$H13,$D$4,0,$E$5)</f>
        <v>34.177330202865697</v>
      </c>
      <c r="AN64" cm="1">
        <f t="array" ref="AN64">Vega(S$3,$C$4,$H13,$D$4,0,$E$5)</f>
        <v>23.882000168449917</v>
      </c>
      <c r="AO64" cm="1">
        <f t="array" ref="AO64">Vega(T$3,$C$4,$H13,$D$4,0,$E$5)</f>
        <v>13.852014243074295</v>
      </c>
      <c r="AP64" cm="1">
        <f t="array" ref="AP64">Vega(U$3,$C$4,$H13,$D$4,0,$E$5)</f>
        <v>6.8329969593104805</v>
      </c>
      <c r="AQ64" cm="1">
        <f t="array" ref="AQ64">Vega(V$3,$C$4,$H13,$D$4,0,$E$5)</f>
        <v>2.9263550912716783</v>
      </c>
      <c r="AR64" cm="1">
        <f t="array" ref="AR64">Vega(W$3,$C$4,$H13,$D$4,0,$E$5)</f>
        <v>1.1074379087941755</v>
      </c>
      <c r="AS64" cm="1">
        <f t="array" ref="AS64">Vega(X$3,$C$4,$H13,$D$4,0,$E$5)</f>
        <v>0.3759838968894918</v>
      </c>
      <c r="AT64" cm="1">
        <f t="array" ref="AT64">Vega(Y$3,$C$4,$H13,$D$4,0,$E$5)</f>
        <v>0.11602695242521623</v>
      </c>
    </row>
    <row r="65" spans="7:46" x14ac:dyDescent="0.2">
      <c r="H65">
        <v>2</v>
      </c>
      <c r="I65" cm="1">
        <f t="array" ref="I65">Vega(I$3,$C$4,$H14,$D$4,0,$E$4)</f>
        <v>9.5039378692490786</v>
      </c>
      <c r="J65" cm="1">
        <f t="array" ref="J65">Vega(J$3,$C$4,$H14,$D$4,0,$E$4)</f>
        <v>15.529982480581037</v>
      </c>
      <c r="K65" cm="1">
        <f t="array" ref="K65">Vega(K$3,$C$4,$H14,$D$4,0,$E$4)</f>
        <v>22.783353493544929</v>
      </c>
      <c r="L65" cm="1">
        <f t="array" ref="L65">Vega(L$3,$C$4,$H14,$D$4,0,$E$4)</f>
        <v>30.603936130050933</v>
      </c>
      <c r="M65" cm="1">
        <f t="array" ref="M65">Vega(M$3,$C$4,$H14,$D$4,0,$E$4)</f>
        <v>38.218237653015336</v>
      </c>
      <c r="N65" cm="1">
        <f t="array" ref="N65">Vega(N$3,$C$4,$H14,$D$4,0,$E$4)</f>
        <v>44.907193585775431</v>
      </c>
      <c r="O65" cm="1">
        <f t="array" ref="O65">Vega(O$3,$C$4,$H14,$D$4,0,$E$4)</f>
        <v>50.128257699490845</v>
      </c>
      <c r="P65" cm="1">
        <f t="array" ref="P65">Vega(P$3,$C$4,$H14,$D$4,0,$E$4)</f>
        <v>53.572622142458144</v>
      </c>
      <c r="Q65" cm="1">
        <f t="array" ref="Q65">Vega(Q$3,$C$4,$H14,$D$4,0,$E$4)</f>
        <v>55.163706332541196</v>
      </c>
      <c r="R65" cm="1">
        <f t="array" ref="R65">Vega(R$3,$C$4,$H14,$D$4,0,$E$4)</f>
        <v>55.016040235427909</v>
      </c>
      <c r="S65" cm="1">
        <f t="array" ref="S65">Vega(S$3,$C$4,$H14,$D$4,0,$E$4)</f>
        <v>53.375807389774835</v>
      </c>
      <c r="T65" cm="1">
        <f t="array" ref="T65">Vega(T$3,$C$4,$H14,$D$4,0,$E$4)</f>
        <v>50.560061959578547</v>
      </c>
      <c r="U65" cm="1">
        <f t="array" ref="U65">Vega(U$3,$C$4,$H14,$D$4,0,$E$4)</f>
        <v>46.905195347320536</v>
      </c>
      <c r="V65" cm="1">
        <f t="array" ref="V65">Vega(V$3,$C$4,$H14,$D$4,0,$E$4)</f>
        <v>42.729288686192149</v>
      </c>
      <c r="W65" cm="1">
        <f t="array" ref="W65">Vega(W$3,$C$4,$H14,$D$4,0,$E$4)</f>
        <v>38.308718744736652</v>
      </c>
      <c r="X65" cm="1">
        <f t="array" ref="X65">Vega(X$3,$C$4,$H14,$D$4,0,$E$4)</f>
        <v>33.866932678137182</v>
      </c>
      <c r="Y65" cm="1">
        <f t="array" ref="Y65">Vega(Y$3,$C$4,$H14,$D$4,0,$E$4)</f>
        <v>29.572311895113678</v>
      </c>
      <c r="AC65">
        <v>2</v>
      </c>
      <c r="AD65" cm="1">
        <f t="array" ref="AD65">Vega(I$3,$C$4,$H14,$D$4,0,$E$5)</f>
        <v>0.10457482945948283</v>
      </c>
      <c r="AE65" cm="1">
        <f t="array" ref="AE65">Vega(J$3,$C$4,$H14,$D$4,0,$E$5)</f>
        <v>0.66123147004512139</v>
      </c>
      <c r="AF65" cm="1">
        <f t="array" ref="AF65">Vega(K$3,$C$4,$H14,$D$4,0,$E$5)</f>
        <v>2.7407108585812279</v>
      </c>
      <c r="AG65" cm="1">
        <f t="array" ref="AG65">Vega(L$3,$C$4,$H14,$D$4,0,$E$5)</f>
        <v>8.0455722498671705</v>
      </c>
      <c r="AH65" cm="1">
        <f t="array" ref="AH65">Vega(M$3,$C$4,$H14,$D$4,0,$E$5)</f>
        <v>17.761814611091623</v>
      </c>
      <c r="AI65" cm="1">
        <f t="array" ref="AI65">Vega(N$3,$C$4,$H14,$D$4,0,$E$5)</f>
        <v>30.915406339357617</v>
      </c>
      <c r="AJ65" cm="1">
        <f t="array" ref="AJ65">Vega(O$3,$C$4,$H14,$D$4,0,$E$5)</f>
        <v>44.056131835136</v>
      </c>
      <c r="AK65" cm="1">
        <f t="array" ref="AK65">Vega(P$3,$C$4,$H14,$D$4,0,$E$5)</f>
        <v>52.993901401176288</v>
      </c>
      <c r="AL65" cm="1">
        <f t="array" ref="AL65">Vega(Q$3,$C$4,$H14,$D$4,0,$E$5)</f>
        <v>55.163706332541196</v>
      </c>
      <c r="AM65" cm="1">
        <f t="array" ref="AM65">Vega(R$3,$C$4,$H14,$D$4,0,$E$5)</f>
        <v>50.723948597035537</v>
      </c>
      <c r="AN65" cm="1">
        <f t="array" ref="AN65">Vega(S$3,$C$4,$H14,$D$4,0,$E$5)</f>
        <v>41.911044907526822</v>
      </c>
      <c r="AO65" cm="1">
        <f t="array" ref="AO65">Vega(T$3,$C$4,$H14,$D$4,0,$E$5)</f>
        <v>31.566273567519072</v>
      </c>
      <c r="AP65" cm="1">
        <f t="array" ref="AP65">Vega(U$3,$C$4,$H14,$D$4,0,$E$5)</f>
        <v>21.93570584135686</v>
      </c>
      <c r="AQ65" cm="1">
        <f t="array" ref="AQ65">Vega(V$3,$C$4,$H14,$D$4,0,$E$5)</f>
        <v>14.209451688873289</v>
      </c>
      <c r="AR65" cm="1">
        <f t="array" ref="AR65">Vega(W$3,$C$4,$H14,$D$4,0,$E$5)</f>
        <v>8.655958511773111</v>
      </c>
      <c r="AS65" cm="1">
        <f t="array" ref="AS65">Vega(X$3,$C$4,$H14,$D$4,0,$E$5)</f>
        <v>4.9962307922047975</v>
      </c>
      <c r="AT65" cm="1">
        <f t="array" ref="AT65">Vega(Y$3,$C$4,$H14,$D$4,0,$E$5)</f>
        <v>2.7503549451983313</v>
      </c>
    </row>
    <row r="66" spans="7:46" x14ac:dyDescent="0.2">
      <c r="H66">
        <v>3</v>
      </c>
      <c r="I66" cm="1">
        <f t="array" ref="I66">Vega(I$3,$C$4,$H15,$D$4,0,$E$4)</f>
        <v>19.822539521715424</v>
      </c>
      <c r="J66" cm="1">
        <f t="array" ref="J66">Vega(J$3,$C$4,$H15,$D$4,0,$E$4)</f>
        <v>27.684353502761887</v>
      </c>
      <c r="K66" cm="1">
        <f t="array" ref="K66">Vega(K$3,$C$4,$H15,$D$4,0,$E$4)</f>
        <v>35.965069029119618</v>
      </c>
      <c r="L66" cm="1">
        <f t="array" ref="L66">Vega(L$3,$C$4,$H15,$D$4,0,$E$4)</f>
        <v>44.036986538728897</v>
      </c>
      <c r="M66" cm="1">
        <f t="array" ref="M66">Vega(M$3,$C$4,$H15,$D$4,0,$E$4)</f>
        <v>51.343117209127108</v>
      </c>
      <c r="N66" cm="1">
        <f t="array" ref="N66">Vega(N$3,$C$4,$H15,$D$4,0,$E$4)</f>
        <v>57.460996039653594</v>
      </c>
      <c r="O66" cm="1">
        <f t="array" ref="O66">Vega(O$3,$C$4,$H15,$D$4,0,$E$4)</f>
        <v>62.127838620556737</v>
      </c>
      <c r="P66" cm="1">
        <f t="array" ref="P66">Vega(P$3,$C$4,$H15,$D$4,0,$E$4)</f>
        <v>65.235380338435675</v>
      </c>
      <c r="Q66" cm="1">
        <f t="array" ref="Q66">Vega(Q$3,$C$4,$H15,$D$4,0,$E$4)</f>
        <v>66.805659306916709</v>
      </c>
      <c r="R66" cm="1">
        <f t="array" ref="R66">Vega(R$3,$C$4,$H15,$D$4,0,$E$4)</f>
        <v>66.958074580380099</v>
      </c>
      <c r="S66" cm="1">
        <f t="array" ref="S66">Vega(S$3,$C$4,$H15,$D$4,0,$E$4)</f>
        <v>65.875408995911101</v>
      </c>
      <c r="T66" cm="1">
        <f t="array" ref="T66">Vega(T$3,$C$4,$H15,$D$4,0,$E$4)</f>
        <v>63.773587385453709</v>
      </c>
      <c r="U66" cm="1">
        <f t="array" ref="U66">Vega(U$3,$C$4,$H15,$D$4,0,$E$4)</f>
        <v>60.877484538879074</v>
      </c>
      <c r="V66" cm="1">
        <f t="array" ref="V66">Vega(V$3,$C$4,$H15,$D$4,0,$E$4)</f>
        <v>57.403350128173741</v>
      </c>
      <c r="W66" cm="1">
        <f t="array" ref="W66">Vega(W$3,$C$4,$H15,$D$4,0,$E$4)</f>
        <v>53.547351271025079</v>
      </c>
      <c r="X66" cm="1">
        <f t="array" ref="X66">Vega(X$3,$C$4,$H15,$D$4,0,$E$4)</f>
        <v>49.479201943433772</v>
      </c>
      <c r="Y66" cm="1">
        <f t="array" ref="Y66">Vega(Y$3,$C$4,$H15,$D$4,0,$E$4)</f>
        <v>45.339683503257291</v>
      </c>
      <c r="AC66">
        <v>3</v>
      </c>
      <c r="AD66" cm="1">
        <f t="array" ref="AD66">Vega(I$3,$C$4,$H15,$D$4,0,$E$5)</f>
        <v>1.1142189253647161</v>
      </c>
      <c r="AE66" cm="1">
        <f t="array" ref="AE66">Vega(J$3,$C$4,$H15,$D$4,0,$E$5)</f>
        <v>3.7594797189649576</v>
      </c>
      <c r="AF66" cm="1">
        <f t="array" ref="AF66">Vega(K$3,$C$4,$H15,$D$4,0,$E$5)</f>
        <v>9.5815720461128873</v>
      </c>
      <c r="AG66" cm="1">
        <f t="array" ref="AG66">Vega(L$3,$C$4,$H15,$D$4,0,$E$5)</f>
        <v>19.419529853530502</v>
      </c>
      <c r="AH66" cm="1">
        <f t="array" ref="AH66">Vega(M$3,$C$4,$H15,$D$4,0,$E$5)</f>
        <v>32.57273204061763</v>
      </c>
      <c r="AI66" cm="1">
        <f t="array" ref="AI66">Vega(N$3,$C$4,$H15,$D$4,0,$E$5)</f>
        <v>46.657820462206054</v>
      </c>
      <c r="AJ66" cm="1">
        <f t="array" ref="AJ66">Vega(O$3,$C$4,$H15,$D$4,0,$E$5)</f>
        <v>58.525004130384154</v>
      </c>
      <c r="AK66" cm="1">
        <f t="array" ref="AK66">Vega(P$3,$C$4,$H15,$D$4,0,$E$5)</f>
        <v>65.600571654605972</v>
      </c>
      <c r="AL66" cm="1">
        <f t="array" ref="AL66">Vega(Q$3,$C$4,$H15,$D$4,0,$E$5)</f>
        <v>66.805659306916709</v>
      </c>
      <c r="AM66" cm="1">
        <f t="array" ref="AM66">Vega(R$3,$C$4,$H15,$D$4,0,$E$5)</f>
        <v>62.659671715556563</v>
      </c>
      <c r="AN66" cm="1">
        <f t="array" ref="AN66">Vega(S$3,$C$4,$H15,$D$4,0,$E$5)</f>
        <v>54.747527123167771</v>
      </c>
      <c r="AO66" cm="1">
        <f t="array" ref="AO66">Vega(T$3,$C$4,$H15,$D$4,0,$E$5)</f>
        <v>44.985946919602924</v>
      </c>
      <c r="AP66" cm="1">
        <f t="array" ref="AP66">Vega(U$3,$C$4,$H15,$D$4,0,$E$5)</f>
        <v>35.044120413266619</v>
      </c>
      <c r="AQ66" cm="1">
        <f t="array" ref="AQ66">Vega(V$3,$C$4,$H15,$D$4,0,$E$5)</f>
        <v>26.058185632494105</v>
      </c>
      <c r="AR66" cm="1">
        <f t="array" ref="AR66">Vega(W$3,$C$4,$H15,$D$4,0,$E$5)</f>
        <v>18.603608061799033</v>
      </c>
      <c r="AS66" cm="1">
        <f t="array" ref="AS66">Vega(X$3,$C$4,$H15,$D$4,0,$E$5)</f>
        <v>12.815935968047901</v>
      </c>
      <c r="AT66" cm="1">
        <f t="array" ref="AT66">Vega(Y$3,$C$4,$H15,$D$4,0,$E$5)</f>
        <v>8.5562234911034327</v>
      </c>
    </row>
    <row r="67" spans="7:46" x14ac:dyDescent="0.2">
      <c r="H67">
        <v>4</v>
      </c>
      <c r="I67" cm="1">
        <f t="array" ref="I67">Vega(I$3,$C$4,$H16,$D$4,0,$E$4)</f>
        <v>29.702348640212861</v>
      </c>
      <c r="J67" cm="1">
        <f t="array" ref="J67">Vega(J$3,$C$4,$H16,$D$4,0,$E$4)</f>
        <v>38.350386340459224</v>
      </c>
      <c r="K67" cm="1">
        <f t="array" ref="K67">Vega(K$3,$C$4,$H16,$D$4,0,$E$4)</f>
        <v>46.883083785060734</v>
      </c>
      <c r="L67" cm="1">
        <f t="array" ref="L67">Vega(L$3,$C$4,$H16,$D$4,0,$E$4)</f>
        <v>54.807676647351542</v>
      </c>
      <c r="M67" cm="1">
        <f t="array" ref="M67">Vega(M$3,$C$4,$H16,$D$4,0,$E$4)</f>
        <v>61.743560179207321</v>
      </c>
      <c r="N67" cm="1">
        <f t="array" ref="N67">Vega(N$3,$C$4,$H16,$D$4,0,$E$4)</f>
        <v>67.4381137049225</v>
      </c>
      <c r="O67" cm="1">
        <f t="array" ref="O67">Vega(O$3,$C$4,$H16,$D$4,0,$E$4)</f>
        <v>71.761533320686937</v>
      </c>
      <c r="P67" cm="1">
        <f t="array" ref="P67">Vega(P$3,$C$4,$H16,$D$4,0,$E$4)</f>
        <v>74.689059955632018</v>
      </c>
      <c r="Q67" cm="1">
        <f t="array" ref="Q67">Vega(Q$3,$C$4,$H16,$D$4,0,$E$4)</f>
        <v>76.277563092104828</v>
      </c>
      <c r="R67" cm="1">
        <f t="array" ref="R67">Vega(R$3,$C$4,$H16,$D$4,0,$E$4)</f>
        <v>76.641397953105823</v>
      </c>
      <c r="S67" cm="1">
        <f t="array" ref="S67">Vega(S$3,$C$4,$H16,$D$4,0,$E$4)</f>
        <v>75.930525448770609</v>
      </c>
      <c r="T67" cm="1">
        <f t="array" ref="T67">Vega(T$3,$C$4,$H16,$D$4,0,$E$4)</f>
        <v>74.312371276717002</v>
      </c>
      <c r="U67" cm="1">
        <f t="array" ref="U67">Vega(U$3,$C$4,$H16,$D$4,0,$E$4)</f>
        <v>71.957857026067117</v>
      </c>
      <c r="V67" cm="1">
        <f t="array" ref="V67">Vega(V$3,$C$4,$H16,$D$4,0,$E$4)</f>
        <v>69.031398866778318</v>
      </c>
      <c r="W67" cm="1">
        <f t="array" ref="W67">Vega(W$3,$C$4,$H16,$D$4,0,$E$4)</f>
        <v>65.684337427013233</v>
      </c>
      <c r="X67" cm="1">
        <f t="array" ref="X67">Vega(X$3,$C$4,$H16,$D$4,0,$E$4)</f>
        <v>62.051137062691957</v>
      </c>
      <c r="Y67" cm="1">
        <f t="array" ref="Y67">Vega(Y$3,$C$4,$H16,$D$4,0,$E$4)</f>
        <v>58.247693709726136</v>
      </c>
      <c r="AC67">
        <v>4</v>
      </c>
      <c r="AD67" cm="1">
        <f t="array" ref="AD67">Vega(I$3,$C$4,$H16,$D$4,0,$E$5)</f>
        <v>3.7735130894815958</v>
      </c>
      <c r="AE67" cm="1">
        <f t="array" ref="AE67">Vega(J$3,$C$4,$H16,$D$4,0,$E$5)</f>
        <v>9.3007615269544957</v>
      </c>
      <c r="AF67" cm="1">
        <f t="array" ref="AF67">Vega(K$3,$C$4,$H16,$D$4,0,$E$5)</f>
        <v>18.587765767930996</v>
      </c>
      <c r="AG67" cm="1">
        <f t="array" ref="AG67">Vega(L$3,$C$4,$H16,$D$4,0,$E$5)</f>
        <v>31.302804195460354</v>
      </c>
      <c r="AH67" cm="1">
        <f t="array" ref="AH67">Vega(M$3,$C$4,$H16,$D$4,0,$E$5)</f>
        <v>45.765821306048551</v>
      </c>
      <c r="AI67" cm="1">
        <f t="array" ref="AI67">Vega(N$3,$C$4,$H16,$D$4,0,$E$5)</f>
        <v>59.470671051964629</v>
      </c>
      <c r="AJ67" cm="1">
        <f t="array" ref="AJ67">Vega(O$3,$C$4,$H16,$D$4,0,$E$5)</f>
        <v>69.986237314498325</v>
      </c>
      <c r="AK67" cm="1">
        <f t="array" ref="AK67">Vega(P$3,$C$4,$H16,$D$4,0,$E$5)</f>
        <v>75.727241342456978</v>
      </c>
      <c r="AL67" cm="1">
        <f t="array" ref="AL67">Vega(Q$3,$C$4,$H16,$D$4,0,$E$5)</f>
        <v>76.277563092104828</v>
      </c>
      <c r="AM67" cm="1">
        <f t="array" ref="AM67">Vega(R$3,$C$4,$H16,$D$4,0,$E$5)</f>
        <v>72.256894624086897</v>
      </c>
      <c r="AN67" cm="1">
        <f t="array" ref="AN67">Vega(S$3,$C$4,$H16,$D$4,0,$E$5)</f>
        <v>64.921143972907117</v>
      </c>
      <c r="AO67" cm="1">
        <f t="array" ref="AO67">Vega(T$3,$C$4,$H16,$D$4,0,$E$5)</f>
        <v>55.719510030463624</v>
      </c>
      <c r="AP67" cm="1">
        <f t="array" ref="AP67">Vega(U$3,$C$4,$H16,$D$4,0,$E$5)</f>
        <v>45.956885215668855</v>
      </c>
      <c r="AQ67" cm="1">
        <f t="array" ref="AQ67">Vega(V$3,$C$4,$H16,$D$4,0,$E$5)</f>
        <v>36.612657044838834</v>
      </c>
      <c r="AR67" cm="1">
        <f t="array" ref="AR67">Vega(W$3,$C$4,$H16,$D$4,0,$E$5)</f>
        <v>28.297093897443343</v>
      </c>
      <c r="AS67" cm="1">
        <f t="array" ref="AS67">Vega(X$3,$C$4,$H16,$D$4,0,$E$5)</f>
        <v>21.296483325512209</v>
      </c>
      <c r="AT67" cm="1">
        <f t="array" ref="AT67">Vega(Y$3,$C$4,$H16,$D$4,0,$E$5)</f>
        <v>15.657861761389583</v>
      </c>
    </row>
    <row r="68" spans="7:46" x14ac:dyDescent="0.2">
      <c r="H68">
        <v>5</v>
      </c>
      <c r="I68" cm="1">
        <f t="array" ref="I68">Vega(I$3,$C$4,$H17,$D$4,0,$E$4)</f>
        <v>38.653493471867854</v>
      </c>
      <c r="J68" cm="1">
        <f t="array" ref="J68">Vega(J$3,$C$4,$H17,$D$4,0,$E$4)</f>
        <v>47.611297617669919</v>
      </c>
      <c r="K68" cm="1">
        <f t="array" ref="K68">Vega(K$3,$C$4,$H17,$D$4,0,$E$4)</f>
        <v>56.119836056730875</v>
      </c>
      <c r="L68" cm="1">
        <f t="array" ref="L68">Vega(L$3,$C$4,$H17,$D$4,0,$E$4)</f>
        <v>63.807941266216027</v>
      </c>
      <c r="M68" cm="1">
        <f t="array" ref="M68">Vega(M$3,$C$4,$H17,$D$4,0,$E$4)</f>
        <v>70.416816821210716</v>
      </c>
      <c r="N68" cm="1">
        <f t="array" ref="N68">Vega(N$3,$C$4,$H17,$D$4,0,$E$4)</f>
        <v>75.795571731518351</v>
      </c>
      <c r="O68" cm="1">
        <f t="array" ref="O68">Vega(O$3,$C$4,$H17,$D$4,0,$E$4)</f>
        <v>79.886620400360513</v>
      </c>
      <c r="P68" cm="1">
        <f t="array" ref="P68">Vega(P$3,$C$4,$H17,$D$4,0,$E$4)</f>
        <v>82.706631007195014</v>
      </c>
      <c r="Q68" cm="1">
        <f t="array" ref="Q68">Vega(Q$3,$C$4,$H17,$D$4,0,$E$4)</f>
        <v>84.326874401380636</v>
      </c>
      <c r="R68" cm="1">
        <f t="array" ref="R68">Vega(R$3,$C$4,$H17,$D$4,0,$E$4)</f>
        <v>84.855257304543272</v>
      </c>
      <c r="S68" cm="1">
        <f t="array" ref="S68">Vega(S$3,$C$4,$H17,$D$4,0,$E$4)</f>
        <v>84.421159741338542</v>
      </c>
      <c r="T68" cm="1">
        <f t="array" ref="T68">Vega(T$3,$C$4,$H17,$D$4,0,$E$4)</f>
        <v>83.163420463033958</v>
      </c>
      <c r="U68" cm="1">
        <f t="array" ref="U68">Vega(U$3,$C$4,$H17,$D$4,0,$E$4)</f>
        <v>81.221348325030689</v>
      </c>
      <c r="V68" cm="1">
        <f t="array" ref="V68">Vega(V$3,$C$4,$H17,$D$4,0,$E$4)</f>
        <v>78.728394585688918</v>
      </c>
      <c r="W68" cm="1">
        <f t="array" ref="W68">Vega(W$3,$C$4,$H17,$D$4,0,$E$4)</f>
        <v>75.808024938338079</v>
      </c>
      <c r="X68" cm="1">
        <f t="array" ref="X68">Vega(X$3,$C$4,$H17,$D$4,0,$E$4)</f>
        <v>72.571322803396555</v>
      </c>
      <c r="Y68" cm="1">
        <f t="array" ref="Y68">Vega(Y$3,$C$4,$H17,$D$4,0,$E$4)</f>
        <v>69.115896371880396</v>
      </c>
      <c r="AC68">
        <v>5</v>
      </c>
      <c r="AD68" cm="1">
        <f t="array" ref="AD68">Vega(I$3,$C$4,$H17,$D$4,0,$E$5)</f>
        <v>8.0099557916829358</v>
      </c>
      <c r="AE68" cm="1">
        <f t="array" ref="AE68">Vega(J$3,$C$4,$H17,$D$4,0,$E$5)</f>
        <v>16.352043251983776</v>
      </c>
      <c r="AF68" cm="1">
        <f t="array" ref="AF68">Vega(K$3,$C$4,$H17,$D$4,0,$E$5)</f>
        <v>28.243629412307229</v>
      </c>
      <c r="AG68" cm="1">
        <f t="array" ref="AG68">Vega(L$3,$C$4,$H17,$D$4,0,$E$5)</f>
        <v>42.560725743199953</v>
      </c>
      <c r="AH68" cm="1">
        <f t="array" ref="AH68">Vega(M$3,$C$4,$H17,$D$4,0,$E$5)</f>
        <v>57.302367456033558</v>
      </c>
      <c r="AI68" cm="1">
        <f t="array" ref="AI68">Vega(N$3,$C$4,$H17,$D$4,0,$E$5)</f>
        <v>70.234247577560907</v>
      </c>
      <c r="AJ68" cm="1">
        <f t="array" ref="AJ68">Vega(O$3,$C$4,$H17,$D$4,0,$E$5)</f>
        <v>79.548944334653157</v>
      </c>
      <c r="AK68" cm="1">
        <f t="array" ref="AK68">Vega(P$3,$C$4,$H17,$D$4,0,$E$5)</f>
        <v>84.270952755154966</v>
      </c>
      <c r="AL68" cm="1">
        <f t="array" ref="AL68">Vega(Q$3,$C$4,$H17,$D$4,0,$E$5)</f>
        <v>84.326874401380636</v>
      </c>
      <c r="AM68" cm="1">
        <f t="array" ref="AM68">Vega(R$3,$C$4,$H17,$D$4,0,$E$5)</f>
        <v>80.358729178703982</v>
      </c>
      <c r="AN68" cm="1">
        <f t="array" ref="AN68">Vega(S$3,$C$4,$H17,$D$4,0,$E$5)</f>
        <v>73.420648836426452</v>
      </c>
      <c r="AO68" cm="1">
        <f t="array" ref="AO68">Vega(T$3,$C$4,$H17,$D$4,0,$E$5)</f>
        <v>64.682173138278316</v>
      </c>
      <c r="AP68" cm="1">
        <f t="array" ref="AP68">Vega(U$3,$C$4,$H17,$D$4,0,$E$5)</f>
        <v>55.209129543356312</v>
      </c>
      <c r="AQ68" cm="1">
        <f t="array" ref="AQ68">Vega(V$3,$C$4,$H17,$D$4,0,$E$5)</f>
        <v>45.841893964826838</v>
      </c>
      <c r="AR68" cm="1">
        <f t="array" ref="AR68">Vega(W$3,$C$4,$H17,$D$4,0,$E$5)</f>
        <v>37.157602890379685</v>
      </c>
      <c r="AS68" cm="1">
        <f t="array" ref="AS68">Vega(X$3,$C$4,$H17,$D$4,0,$E$5)</f>
        <v>29.489098382107908</v>
      </c>
      <c r="AT68" cm="1">
        <f t="array" ref="AT68">Vega(Y$3,$C$4,$H17,$D$4,0,$E$5)</f>
        <v>22.973211747964488</v>
      </c>
    </row>
    <row r="70" spans="7:46" x14ac:dyDescent="0.2">
      <c r="I70">
        <v>60</v>
      </c>
      <c r="J70">
        <v>65</v>
      </c>
      <c r="K70">
        <v>70</v>
      </c>
      <c r="L70">
        <v>75</v>
      </c>
      <c r="M70">
        <v>80</v>
      </c>
      <c r="N70">
        <v>85</v>
      </c>
      <c r="O70">
        <v>90</v>
      </c>
      <c r="P70">
        <v>95</v>
      </c>
      <c r="Q70">
        <v>100</v>
      </c>
      <c r="R70">
        <v>105</v>
      </c>
      <c r="S70">
        <v>110</v>
      </c>
      <c r="T70">
        <v>115</v>
      </c>
      <c r="U70">
        <v>120</v>
      </c>
      <c r="V70">
        <v>125</v>
      </c>
      <c r="W70">
        <v>130</v>
      </c>
      <c r="X70">
        <v>135</v>
      </c>
      <c r="Y70">
        <v>140</v>
      </c>
      <c r="AD70">
        <v>60</v>
      </c>
      <c r="AE70">
        <v>65</v>
      </c>
      <c r="AF70">
        <v>70</v>
      </c>
      <c r="AG70">
        <v>75</v>
      </c>
      <c r="AH70">
        <v>80</v>
      </c>
      <c r="AI70">
        <v>85</v>
      </c>
      <c r="AJ70">
        <v>90</v>
      </c>
      <c r="AK70">
        <v>95</v>
      </c>
      <c r="AL70">
        <v>100</v>
      </c>
      <c r="AM70">
        <v>105</v>
      </c>
      <c r="AN70">
        <v>110</v>
      </c>
      <c r="AO70">
        <v>115</v>
      </c>
      <c r="AP70">
        <v>120</v>
      </c>
      <c r="AQ70">
        <v>125</v>
      </c>
      <c r="AR70">
        <v>130</v>
      </c>
      <c r="AS70">
        <v>135</v>
      </c>
      <c r="AT70">
        <v>140</v>
      </c>
    </row>
    <row r="71" spans="7:46" x14ac:dyDescent="0.2">
      <c r="H71">
        <v>0.1</v>
      </c>
      <c r="I71" cm="1">
        <f t="array" ref="I71">ThetaC(I$3,$C$4,$H4,$D$4,0,$E$4)</f>
        <v>-7.6010761094708108E-14</v>
      </c>
      <c r="J71" cm="1">
        <f t="array" ref="J71">ThetaC(J$3,$C$4,$H4,$D$4,0,$E$4)</f>
        <v>-9.5807637849778073E-10</v>
      </c>
      <c r="K71" cm="1">
        <f t="array" ref="K71">ThetaC(K$3,$C$4,$H4,$D$4,0,$E$4)</f>
        <v>-1.4382763141881702E-6</v>
      </c>
      <c r="L71" cm="1">
        <f t="array" ref="L71">ThetaC(L$3,$C$4,$H4,$D$4,0,$E$4)</f>
        <v>-3.795153436595248E-4</v>
      </c>
      <c r="M71" cm="1">
        <f t="array" ref="M71">ThetaC(M$3,$C$4,$H4,$D$4,0,$E$4)</f>
        <v>-2.3806429023180083E-2</v>
      </c>
      <c r="N71" cm="1">
        <f t="array" ref="N71">ThetaC(N$3,$C$4,$H4,$D$4,0,$E$4)</f>
        <v>-0.45044316854020067</v>
      </c>
      <c r="O71" cm="1">
        <f t="array" ref="O71">ThetaC(O$3,$C$4,$H4,$D$4,0,$E$4)</f>
        <v>-3.1107198362775765</v>
      </c>
      <c r="P71" cm="1">
        <f t="array" ref="P71">ThetaC(P$3,$C$4,$H4,$D$4,0,$E$4)</f>
        <v>-9.1580985691009307</v>
      </c>
      <c r="Q71" cm="1">
        <f t="array" ref="Q71">ThetaC(Q$3,$C$4,$H4,$D$4,0,$E$4)</f>
        <v>-13.094676955864362</v>
      </c>
      <c r="R71" cm="1">
        <f t="array" ref="R71">ThetaC(R$3,$C$4,$H4,$D$4,0,$E$4)</f>
        <v>-10.247346144859719</v>
      </c>
      <c r="S71" cm="1">
        <f t="array" ref="S71">ThetaC(S$3,$C$4,$H4,$D$4,0,$E$4)</f>
        <v>-5.0770850918414965</v>
      </c>
      <c r="T71" cm="1">
        <f t="array" ref="T71">ThetaC(T$3,$C$4,$H4,$D$4,0,$E$4)</f>
        <v>-2.120404901462253</v>
      </c>
      <c r="U71" cm="1">
        <f t="array" ref="U71">ThetaC(U$3,$C$4,$H4,$D$4,0,$E$4)</f>
        <v>-1.203782807025447</v>
      </c>
      <c r="V71" cm="1">
        <f t="array" ref="V71">ThetaC(V$3,$C$4,$H4,$D$4,0,$E$4)</f>
        <v>-1.0251750032769935</v>
      </c>
      <c r="W71" cm="1">
        <f t="array" ref="W71">ThetaC(W$3,$C$4,$H4,$D$4,0,$E$4)</f>
        <v>-1.0014490398395373</v>
      </c>
      <c r="X71" cm="1">
        <f t="array" ref="X71">ThetaC(X$3,$C$4,$H4,$D$4,0,$E$4)</f>
        <v>-0.99917467534510218</v>
      </c>
      <c r="Y71" cm="1">
        <f t="array" ref="Y71">ThetaC(Y$3,$C$4,$H4,$D$4,0,$E$4)</f>
        <v>-0.9990102371060936</v>
      </c>
      <c r="AC71">
        <v>0.1</v>
      </c>
      <c r="AD71" cm="1">
        <f t="array" ref="AD71">ThetaC(I$3,$C$4,$H4,$D$4,0,$E$5)</f>
        <v>-1.7741697800085733E-56</v>
      </c>
      <c r="AE71" cm="1">
        <f t="array" ref="AE71">ThetaC(J$3,$C$4,$H4,$D$4,0,$E$5)</f>
        <v>-3.9634483638267011E-40</v>
      </c>
      <c r="AF71" cm="1">
        <f t="array" ref="AF71">ThetaC(K$3,$C$4,$H4,$D$4,0,$E$5)</f>
        <v>-1.7965184339350717E-27</v>
      </c>
      <c r="AG71" cm="1">
        <f t="array" ref="AG71">ThetaC(L$3,$C$4,$H4,$D$4,0,$E$5)</f>
        <v>-7.8256854812150232E-18</v>
      </c>
      <c r="AH71" cm="1">
        <f t="array" ref="AH71">ThetaC(M$3,$C$4,$H4,$D$4,0,$E$5)</f>
        <v>-1.0945469496445877E-10</v>
      </c>
      <c r="AI71" cm="1">
        <f t="array" ref="AI71">ThetaC(N$3,$C$4,$H4,$D$4,0,$E$5)</f>
        <v>-1.2718845568899485E-5</v>
      </c>
      <c r="AJ71" cm="1">
        <f t="array" ref="AJ71">ThetaC(O$3,$C$4,$H4,$D$4,0,$E$5)</f>
        <v>-2.6264123680401839E-2</v>
      </c>
      <c r="AK71" cm="1">
        <f t="array" ref="AK71">ThetaC(P$3,$C$4,$H4,$D$4,0,$E$5)</f>
        <v>-1.7887200978989348</v>
      </c>
      <c r="AL71" cm="1">
        <f t="array" ref="AL71">ThetaC(Q$3,$C$4,$H4,$D$4,0,$E$5)</f>
        <v>-6.8065404989997935</v>
      </c>
      <c r="AM71" cm="1">
        <f t="array" ref="AM71">ThetaC(R$3,$C$4,$H4,$D$4,0,$E$5)</f>
        <v>-2.8096999170641368</v>
      </c>
      <c r="AN71" cm="1">
        <f t="array" ref="AN71">ThetaC(S$3,$C$4,$H4,$D$4,0,$E$5)</f>
        <v>-1.0617696856203676</v>
      </c>
      <c r="AO71" cm="1">
        <f t="array" ref="AO71">ThetaC(T$3,$C$4,$H4,$D$4,0,$E$5)</f>
        <v>-0.99933274691414908</v>
      </c>
      <c r="AP71" cm="1">
        <f t="array" ref="AP71">ThetaC(U$3,$C$4,$H4,$D$4,0,$E$5)</f>
        <v>-0.9990008441294318</v>
      </c>
      <c r="AQ71" cm="1">
        <f t="array" ref="AQ71">ThetaC(V$3,$C$4,$H4,$D$4,0,$E$5)</f>
        <v>-0.99900049991941242</v>
      </c>
      <c r="AR71" cm="1">
        <f t="array" ref="AR71">ThetaC(W$3,$C$4,$H4,$D$4,0,$E$5)</f>
        <v>-0.99900049983338124</v>
      </c>
      <c r="AS71" cm="1">
        <f t="array" ref="AS71">ThetaC(X$3,$C$4,$H4,$D$4,0,$E$5)</f>
        <v>-0.99900049983337502</v>
      </c>
      <c r="AT71" cm="1">
        <f t="array" ref="AT71">ThetaC(Y$3,$C$4,$H4,$D$4,0,$E$5)</f>
        <v>-0.99900049983337502</v>
      </c>
    </row>
    <row r="72" spans="7:46" x14ac:dyDescent="0.2">
      <c r="H72">
        <v>0.2</v>
      </c>
      <c r="I72" cm="1">
        <f t="array" ref="I72">ThetaC(I$3,$C$4,$H5,$D$4,0,$E$4)</f>
        <v>-6.5216774177186137E-7</v>
      </c>
      <c r="J72" cm="1">
        <f t="array" ref="J72">ThetaC(J$3,$C$4,$H5,$D$4,0,$E$4)</f>
        <v>-7.4025594654806079E-5</v>
      </c>
      <c r="K72" cm="1">
        <f t="array" ref="K72">ThetaC(K$3,$C$4,$H5,$D$4,0,$E$4)</f>
        <v>-2.8983527435579304E-3</v>
      </c>
      <c r="L72" cm="1">
        <f t="array" ref="L72">ThetaC(L$3,$C$4,$H5,$D$4,0,$E$4)</f>
        <v>-4.7563462701187005E-2</v>
      </c>
      <c r="M72" cm="1">
        <f t="array" ref="M72">ThetaC(M$3,$C$4,$H5,$D$4,0,$E$4)</f>
        <v>-0.38056333097459333</v>
      </c>
      <c r="N72" cm="1">
        <f t="array" ref="N72">ThetaC(N$3,$C$4,$H5,$D$4,0,$E$4)</f>
        <v>-1.6728876411574809</v>
      </c>
      <c r="O72" cm="1">
        <f t="array" ref="O72">ThetaC(O$3,$C$4,$H5,$D$4,0,$E$4)</f>
        <v>-4.4465323616872592</v>
      </c>
      <c r="P72" cm="1">
        <f t="array" ref="P72">ThetaC(P$3,$C$4,$H5,$D$4,0,$E$4)</f>
        <v>-7.7298647717854028</v>
      </c>
      <c r="Q72" cm="1">
        <f t="array" ref="Q72">ThetaC(Q$3,$C$4,$H5,$D$4,0,$E$4)</f>
        <v>-9.3906706918611</v>
      </c>
      <c r="R72" cm="1">
        <f t="array" ref="R72">ThetaC(R$3,$C$4,$H5,$D$4,0,$E$4)</f>
        <v>-8.4624350940387636</v>
      </c>
      <c r="S72" cm="1">
        <f t="array" ref="S72">ThetaC(S$3,$C$4,$H5,$D$4,0,$E$4)</f>
        <v>-6.0163575646890362</v>
      </c>
      <c r="T72" cm="1">
        <f t="array" ref="T72">ThetaC(T$3,$C$4,$H5,$D$4,0,$E$4)</f>
        <v>-3.655248414122735</v>
      </c>
      <c r="U72" cm="1">
        <f t="array" ref="U72">ThetaC(U$3,$C$4,$H5,$D$4,0,$E$4)</f>
        <v>-2.1427842748222052</v>
      </c>
      <c r="V72" cm="1">
        <f t="array" ref="V72">ThetaC(V$3,$C$4,$H5,$D$4,0,$E$4)</f>
        <v>-1.4101889670878098</v>
      </c>
      <c r="W72" cm="1">
        <f t="array" ref="W72">ThetaC(W$3,$C$4,$H5,$D$4,0,$E$4)</f>
        <v>-1.1248769522380362</v>
      </c>
      <c r="X72" cm="1">
        <f t="array" ref="X72">ThetaC(X$3,$C$4,$H5,$D$4,0,$E$4)</f>
        <v>-1.0320391690967272</v>
      </c>
      <c r="Y72" cm="1">
        <f t="array" ref="Y72">ThetaC(Y$3,$C$4,$H5,$D$4,0,$E$4)</f>
        <v>-1.0060936666418689</v>
      </c>
      <c r="AC72">
        <v>0.2</v>
      </c>
      <c r="AD72" cm="1">
        <f t="array" ref="AD72">ThetaC(I$3,$C$4,$H5,$D$4,0,$E$5)</f>
        <v>-2.6988234224663945E-28</v>
      </c>
      <c r="AE72" cm="1">
        <f t="array" ref="AE72">ThetaC(J$3,$C$4,$H5,$D$4,0,$E$5)</f>
        <v>-3.9580388650882416E-20</v>
      </c>
      <c r="AF72" cm="1">
        <f t="array" ref="AF72">ThetaC(K$3,$C$4,$H5,$D$4,0,$E$5)</f>
        <v>-8.2834418456166403E-14</v>
      </c>
      <c r="AG72" cm="1">
        <f t="array" ref="AG72">ThetaC(L$3,$C$4,$H5,$D$4,0,$E$5)</f>
        <v>-5.3836941160189032E-9</v>
      </c>
      <c r="AH72" cm="1">
        <f t="array" ref="AH72">ThetaC(M$3,$C$4,$H5,$D$4,0,$E$5)</f>
        <v>-1.9865645367966133E-5</v>
      </c>
      <c r="AI72" cm="1">
        <f t="array" ref="AI72">ThetaC(N$3,$C$4,$H5,$D$4,0,$E$5)</f>
        <v>-6.6979952562465309E-3</v>
      </c>
      <c r="AJ72" cm="1">
        <f t="array" ref="AJ72">ThetaC(O$3,$C$4,$H5,$D$4,0,$E$5)</f>
        <v>-0.30221040224718798</v>
      </c>
      <c r="AK72" cm="1">
        <f t="array" ref="AK72">ThetaC(P$3,$C$4,$H5,$D$4,0,$E$5)</f>
        <v>-2.4953248875877767</v>
      </c>
      <c r="AL72" cm="1">
        <f t="array" ref="AL72">ThetaC(Q$3,$C$4,$H5,$D$4,0,$E$5)</f>
        <v>-4.9581889285846295</v>
      </c>
      <c r="AM72" cm="1">
        <f t="array" ref="AM72">ThetaC(R$3,$C$4,$H5,$D$4,0,$E$5)</f>
        <v>-3.260654127826319</v>
      </c>
      <c r="AN72" cm="1">
        <f t="array" ref="AN72">ThetaC(S$3,$C$4,$H5,$D$4,0,$E$5)</f>
        <v>-1.4203267482624213</v>
      </c>
      <c r="AO72" cm="1">
        <f t="array" ref="AO72">ThetaC(T$3,$C$4,$H5,$D$4,0,$E$5)</f>
        <v>-1.028601874488156</v>
      </c>
      <c r="AP72" cm="1">
        <f t="array" ref="AP72">ThetaC(U$3,$C$4,$H5,$D$4,0,$E$5)</f>
        <v>-0.99898058615091334</v>
      </c>
      <c r="AQ72" cm="1">
        <f t="array" ref="AQ72">ThetaC(V$3,$C$4,$H5,$D$4,0,$E$5)</f>
        <v>-0.99801735133849157</v>
      </c>
      <c r="AR72" cm="1">
        <f t="array" ref="AR72">ThetaC(W$3,$C$4,$H5,$D$4,0,$E$5)</f>
        <v>-0.99800212787312359</v>
      </c>
      <c r="AS72" cm="1">
        <f t="array" ref="AS72">ThetaC(X$3,$C$4,$H5,$D$4,0,$E$5)</f>
        <v>-0.99800199929697497</v>
      </c>
      <c r="AT72" cm="1">
        <f t="array" ref="AT72">ThetaC(Y$3,$C$4,$H5,$D$4,0,$E$5)</f>
        <v>-0.99800199866923067</v>
      </c>
    </row>
    <row r="73" spans="7:46" x14ac:dyDescent="0.2">
      <c r="G73" t="s">
        <v>38</v>
      </c>
      <c r="H73">
        <v>0.3</v>
      </c>
      <c r="I73" cm="1">
        <f t="array" ref="I73">ThetaC(I$3,$C$4,$H6,$D$4,0,$E$4)</f>
        <v>-1.2255849783705767E-4</v>
      </c>
      <c r="J73" cm="1">
        <f t="array" ref="J73">ThetaC(J$3,$C$4,$H6,$D$4,0,$E$4)</f>
        <v>-2.8952351776097666E-3</v>
      </c>
      <c r="K73" cm="1">
        <f t="array" ref="K73">ThetaC(K$3,$C$4,$H6,$D$4,0,$E$4)</f>
        <v>-3.3631277102680164E-2</v>
      </c>
      <c r="L73" cm="1">
        <f t="array" ref="L73">ThetaC(L$3,$C$4,$H6,$D$4,0,$E$4)</f>
        <v>-0.21877299456996252</v>
      </c>
      <c r="M73" cm="1">
        <f t="array" ref="M73">ThetaC(M$3,$C$4,$H6,$D$4,0,$E$4)</f>
        <v>-0.88165736399349448</v>
      </c>
      <c r="N73" cm="1">
        <f t="array" ref="N73">ThetaC(N$3,$C$4,$H6,$D$4,0,$E$4)</f>
        <v>-2.3841445746413892</v>
      </c>
      <c r="O73" cm="1">
        <f t="array" ref="O73">ThetaC(O$3,$C$4,$H6,$D$4,0,$E$4)</f>
        <v>-4.6129327753105409</v>
      </c>
      <c r="P73" cm="1">
        <f t="array" ref="P73">ThetaC(P$3,$C$4,$H6,$D$4,0,$E$4)</f>
        <v>-6.7316632172013984</v>
      </c>
      <c r="Q73" cm="1">
        <f t="array" ref="Q73">ThetaC(Q$3,$C$4,$H6,$D$4,0,$E$4)</f>
        <v>-7.7467261525529985</v>
      </c>
      <c r="R73" cm="1">
        <f t="array" ref="R73">ThetaC(R$3,$C$4,$H6,$D$4,0,$E$4)</f>
        <v>-7.3143822545279491</v>
      </c>
      <c r="S73" cm="1">
        <f t="array" ref="S73">ThetaC(S$3,$C$4,$H6,$D$4,0,$E$4)</f>
        <v>-5.8894568517543142</v>
      </c>
      <c r="T73" cm="1">
        <f t="array" ref="T73">ThetaC(T$3,$C$4,$H6,$D$4,0,$E$4)</f>
        <v>-4.2225044116496644</v>
      </c>
      <c r="U73" cm="1">
        <f t="array" ref="U73">ThetaC(U$3,$C$4,$H6,$D$4,0,$E$4)</f>
        <v>-2.8481190770658702</v>
      </c>
      <c r="V73" cm="1">
        <f t="array" ref="V73">ThetaC(V$3,$C$4,$H6,$D$4,0,$E$4)</f>
        <v>-1.9388334651870145</v>
      </c>
      <c r="W73" cm="1">
        <f t="array" ref="W73">ThetaC(W$3,$C$4,$H6,$D$4,0,$E$4)</f>
        <v>-1.4283908322854479</v>
      </c>
      <c r="X73" cm="1">
        <f t="array" ref="X73">ThetaC(X$3,$C$4,$H6,$D$4,0,$E$4)</f>
        <v>-1.1772108461100759</v>
      </c>
      <c r="Y73" cm="1">
        <f t="array" ref="Y73">ThetaC(Y$3,$C$4,$H6,$D$4,0,$E$4)</f>
        <v>-1.0664321469380136</v>
      </c>
      <c r="AB73" t="s">
        <v>38</v>
      </c>
      <c r="AC73">
        <v>0.3</v>
      </c>
      <c r="AD73" cm="1">
        <f t="array" ref="AD73">ThetaC(I$3,$C$4,$H6,$D$4,0,$E$5)</f>
        <v>-6.1395528345081252E-19</v>
      </c>
      <c r="AE73" cm="1">
        <f t="array" ref="AE73">ThetaC(J$3,$C$4,$H6,$D$4,0,$E$5)</f>
        <v>-1.6867226881517839E-13</v>
      </c>
      <c r="AF73" cm="1">
        <f t="array" ref="AF73">ThetaC(K$3,$C$4,$H6,$D$4,0,$E$5)</f>
        <v>-2.7298872158421394E-9</v>
      </c>
      <c r="AG73" cm="1">
        <f t="array" ref="AG73">ThetaC(L$3,$C$4,$H6,$D$4,0,$E$5)</f>
        <v>-4.3711823606206652E-6</v>
      </c>
      <c r="AH73" cm="1">
        <f t="array" ref="AH73">ThetaC(M$3,$C$4,$H6,$D$4,0,$E$5)</f>
        <v>-1.0355445943207977E-3</v>
      </c>
      <c r="AI73" cm="1">
        <f t="array" ref="AI73">ThetaC(N$3,$C$4,$H6,$D$4,0,$E$5)</f>
        <v>-4.9870979006304723E-2</v>
      </c>
      <c r="AJ73" cm="1">
        <f t="array" ref="AJ73">ThetaC(O$3,$C$4,$H6,$D$4,0,$E$5)</f>
        <v>-0.63036640408252664</v>
      </c>
      <c r="AK73" cm="1">
        <f t="array" ref="AK73">ThetaC(P$3,$C$4,$H6,$D$4,0,$E$5)</f>
        <v>-2.5829981117216718</v>
      </c>
      <c r="AL73" cm="1">
        <f t="array" ref="AL73">ThetaC(Q$3,$C$4,$H6,$D$4,0,$E$5)</f>
        <v>-4.1389512934429913</v>
      </c>
      <c r="AM73" cm="1">
        <f t="array" ref="AM73">ThetaC(R$3,$C$4,$H6,$D$4,0,$E$5)</f>
        <v>-3.200344164763647</v>
      </c>
      <c r="AN73" cm="1">
        <f t="array" ref="AN73">ThetaC(S$3,$C$4,$H6,$D$4,0,$E$5)</f>
        <v>-1.7199839414945775</v>
      </c>
      <c r="AO73" cm="1">
        <f t="array" ref="AO73">ThetaC(T$3,$C$4,$H6,$D$4,0,$E$5)</f>
        <v>-1.1225720045313203</v>
      </c>
      <c r="AP73" cm="1">
        <f t="array" ref="AP73">ThetaC(U$3,$C$4,$H6,$D$4,0,$E$5)</f>
        <v>-1.0096177769693249</v>
      </c>
      <c r="AQ73" cm="1">
        <f t="array" ref="AQ73">ThetaC(V$3,$C$4,$H6,$D$4,0,$E$5)</f>
        <v>-0.99779173974481894</v>
      </c>
      <c r="AR73" cm="1">
        <f t="array" ref="AR73">ThetaC(W$3,$C$4,$H6,$D$4,0,$E$5)</f>
        <v>-0.99703691729741384</v>
      </c>
      <c r="AS73" cm="1">
        <f t="array" ref="AS73">ThetaC(X$3,$C$4,$H6,$D$4,0,$E$5)</f>
        <v>-0.99700542289973981</v>
      </c>
      <c r="AT73" cm="1">
        <f t="array" ref="AT73">ThetaC(Y$3,$C$4,$H6,$D$4,0,$E$5)</f>
        <v>-0.99700451475781493</v>
      </c>
    </row>
    <row r="74" spans="7:46" x14ac:dyDescent="0.2">
      <c r="H74">
        <v>0.4</v>
      </c>
      <c r="I74" cm="1">
        <f t="array" ref="I74">ThetaC(I$3,$C$4,$H7,$D$4,0,$E$4)</f>
        <v>-1.6120464147555819E-3</v>
      </c>
      <c r="J74" cm="1">
        <f t="array" ref="J74">ThetaC(J$3,$C$4,$H7,$D$4,0,$E$4)</f>
        <v>-1.7377053574853585E-2</v>
      </c>
      <c r="K74" cm="1">
        <f t="array" ref="K74">ThetaC(K$3,$C$4,$H7,$D$4,0,$E$4)</f>
        <v>-0.10997521374944369</v>
      </c>
      <c r="L74" cm="1">
        <f t="array" ref="L74">ThetaC(L$3,$C$4,$H7,$D$4,0,$E$4)</f>
        <v>-0.45054605116011914</v>
      </c>
      <c r="M74" cm="1">
        <f t="array" ref="M74">ThetaC(M$3,$C$4,$H7,$D$4,0,$E$4)</f>
        <v>-1.2890398543869555</v>
      </c>
      <c r="N74" cm="1">
        <f t="array" ref="N74">ThetaC(N$3,$C$4,$H7,$D$4,0,$E$4)</f>
        <v>-2.7349455814898369</v>
      </c>
      <c r="O74" cm="1">
        <f t="array" ref="O74">ThetaC(O$3,$C$4,$H7,$D$4,0,$E$4)</f>
        <v>-4.5163008294554041</v>
      </c>
      <c r="P74" cm="1">
        <f t="array" ref="P74">ThetaC(P$3,$C$4,$H7,$D$4,0,$E$4)</f>
        <v>-6.0398621370452883</v>
      </c>
      <c r="Q74" cm="1">
        <f t="array" ref="Q74">ThetaC(Q$3,$C$4,$H7,$D$4,0,$E$4)</f>
        <v>-6.7649506231012921</v>
      </c>
      <c r="R74" cm="1">
        <f t="array" ref="R74">ThetaC(R$3,$C$4,$H7,$D$4,0,$E$4)</f>
        <v>-6.5366866891780706</v>
      </c>
      <c r="S74" cm="1">
        <f t="array" ref="S74">ThetaC(S$3,$C$4,$H7,$D$4,0,$E$4)</f>
        <v>-5.603351421330677</v>
      </c>
      <c r="T74" cm="1">
        <f t="array" ref="T74">ThetaC(T$3,$C$4,$H7,$D$4,0,$E$4)</f>
        <v>-4.3868243151952431</v>
      </c>
      <c r="U74" cm="1">
        <f t="array" ref="U74">ThetaC(U$3,$C$4,$H7,$D$4,0,$E$4)</f>
        <v>-3.2428705495129391</v>
      </c>
      <c r="V74" cm="1">
        <f t="array" ref="V74">ThetaC(V$3,$C$4,$H7,$D$4,0,$E$4)</f>
        <v>-2.3553824743454683</v>
      </c>
      <c r="W74" cm="1">
        <f t="array" ref="W74">ThetaC(W$3,$C$4,$H7,$D$4,0,$E$4)</f>
        <v>-1.7557367762866103</v>
      </c>
      <c r="X74" cm="1">
        <f t="array" ref="X74">ThetaC(X$3,$C$4,$H7,$D$4,0,$E$4)</f>
        <v>-1.3921272055382248</v>
      </c>
      <c r="Y74" cm="1">
        <f t="array" ref="Y74">ThetaC(Y$3,$C$4,$H7,$D$4,0,$E$4)</f>
        <v>-1.190325820119684</v>
      </c>
      <c r="AC74">
        <v>0.4</v>
      </c>
      <c r="AD74" cm="1">
        <f t="array" ref="AD74">ThetaC(I$3,$C$4,$H7,$D$4,0,$E$5)</f>
        <v>-2.8102344602630784E-14</v>
      </c>
      <c r="AE74" cm="1">
        <f t="array" ref="AE74">ThetaC(J$3,$C$4,$H7,$D$4,0,$E$5)</f>
        <v>-3.3426288111375925E-10</v>
      </c>
      <c r="AF74" cm="1">
        <f t="array" ref="AF74">ThetaC(K$3,$C$4,$H7,$D$4,0,$E$5)</f>
        <v>-4.7593574640757318E-7</v>
      </c>
      <c r="AG74" cm="1">
        <f t="array" ref="AG74">ThetaC(L$3,$C$4,$H7,$D$4,0,$E$5)</f>
        <v>-1.1967943915051099E-4</v>
      </c>
      <c r="AH74" cm="1">
        <f t="array" ref="AH74">ThetaC(M$3,$C$4,$H7,$D$4,0,$E$5)</f>
        <v>-7.1888534884936945E-3</v>
      </c>
      <c r="AI74" cm="1">
        <f t="array" ref="AI74">ThetaC(N$3,$C$4,$H7,$D$4,0,$E$5)</f>
        <v>-0.13096432610230183</v>
      </c>
      <c r="AJ74" cm="1">
        <f t="array" ref="AJ74">ThetaC(O$3,$C$4,$H7,$D$4,0,$E$5)</f>
        <v>-0.87721128897693912</v>
      </c>
      <c r="AK74" cm="1">
        <f t="array" ref="AK74">ThetaC(P$3,$C$4,$H7,$D$4,0,$E$5)</f>
        <v>-2.535493714857286</v>
      </c>
      <c r="AL74" cm="1">
        <f t="array" ref="AL74">ThetaC(Q$3,$C$4,$H7,$D$4,0,$E$5)</f>
        <v>-3.6503221191583921</v>
      </c>
      <c r="AM74" cm="1">
        <f t="array" ref="AM74">ThetaC(R$3,$C$4,$H7,$D$4,0,$E$5)</f>
        <v>-3.0613579018839219</v>
      </c>
      <c r="AN74" cm="1">
        <f t="array" ref="AN74">ThetaC(S$3,$C$4,$H7,$D$4,0,$E$5)</f>
        <v>-1.8960425172476052</v>
      </c>
      <c r="AO74" cm="1">
        <f t="array" ref="AO74">ThetaC(T$3,$C$4,$H7,$D$4,0,$E$5)</f>
        <v>-1.2383251335713354</v>
      </c>
      <c r="AP74" cm="1">
        <f t="array" ref="AP74">ThetaC(U$3,$C$4,$H7,$D$4,0,$E$5)</f>
        <v>-1.0391851328459318</v>
      </c>
      <c r="AQ74" cm="1">
        <f t="array" ref="AQ74">ThetaC(V$3,$C$4,$H7,$D$4,0,$E$5)</f>
        <v>-1.0013865187230782</v>
      </c>
      <c r="AR74" cm="1">
        <f t="array" ref="AR74">ThetaC(W$3,$C$4,$H7,$D$4,0,$E$5)</f>
        <v>-0.99649823707064344</v>
      </c>
      <c r="AS74" cm="1">
        <f t="array" ref="AS74">ThetaC(X$3,$C$4,$H7,$D$4,0,$E$5)</f>
        <v>-0.9960419764388363</v>
      </c>
      <c r="AT74" cm="1">
        <f t="array" ref="AT74">ThetaC(Y$3,$C$4,$H7,$D$4,0,$E$5)</f>
        <v>-0.99600984191230002</v>
      </c>
    </row>
    <row r="75" spans="7:46" x14ac:dyDescent="0.2">
      <c r="H75">
        <v>0.5</v>
      </c>
      <c r="I75" cm="1">
        <f t="array" ref="I75">ThetaC(I$3,$C$4,$H8,$D$4,0,$E$4)</f>
        <v>-7.3822963919489481E-3</v>
      </c>
      <c r="J75" cm="1">
        <f t="array" ref="J75">ThetaC(J$3,$C$4,$H8,$D$4,0,$E$4)</f>
        <v>-4.9706706360553618E-2</v>
      </c>
      <c r="K75" cm="1">
        <f t="array" ref="K75">ThetaC(K$3,$C$4,$H8,$D$4,0,$E$4)</f>
        <v>-0.21855826137194606</v>
      </c>
      <c r="L75" cm="1">
        <f t="array" ref="L75">ThetaC(L$3,$C$4,$H8,$D$4,0,$E$4)</f>
        <v>-0.6785996959283418</v>
      </c>
      <c r="M75" cm="1">
        <f t="array" ref="M75">ThetaC(M$3,$C$4,$H8,$D$4,0,$E$4)</f>
        <v>-1.5811182895522478</v>
      </c>
      <c r="N75" cm="1">
        <f t="array" ref="N75">ThetaC(N$3,$C$4,$H8,$D$4,0,$E$4)</f>
        <v>-2.9008614414784248</v>
      </c>
      <c r="O75" cm="1">
        <f t="array" ref="O75">ThetaC(O$3,$C$4,$H8,$D$4,0,$E$4)</f>
        <v>-4.3566607810537521</v>
      </c>
      <c r="P75" cm="1">
        <f t="array" ref="P75">ThetaC(P$3,$C$4,$H8,$D$4,0,$E$4)</f>
        <v>-5.5297499170138629</v>
      </c>
      <c r="Q75" cm="1">
        <f t="array" ref="Q75">ThetaC(Q$3,$C$4,$H8,$D$4,0,$E$4)</f>
        <v>-6.0937240318105896</v>
      </c>
      <c r="R75" cm="1">
        <f t="array" ref="R75">ThetaC(R$3,$C$4,$H8,$D$4,0,$E$4)</f>
        <v>-5.9694688661480697</v>
      </c>
      <c r="S75" cm="1">
        <f t="array" ref="S75">ThetaC(S$3,$C$4,$H8,$D$4,0,$E$4)</f>
        <v>-5.3130452823452643</v>
      </c>
      <c r="T75" cm="1">
        <f t="array" ref="T75">ThetaC(T$3,$C$4,$H8,$D$4,0,$E$4)</f>
        <v>-4.3906746851454663</v>
      </c>
      <c r="U75" cm="1">
        <f t="array" ref="U75">ThetaC(U$3,$C$4,$H8,$D$4,0,$E$4)</f>
        <v>-3.4483862845644371</v>
      </c>
      <c r="V75" cm="1">
        <f t="array" ref="V75">ThetaC(V$3,$C$4,$H8,$D$4,0,$E$4)</f>
        <v>-2.6422399828692669</v>
      </c>
      <c r="W75" cm="1">
        <f t="array" ref="W75">ThetaC(W$3,$C$4,$H8,$D$4,0,$E$4)</f>
        <v>-2.03256184846426</v>
      </c>
      <c r="X75" cm="1">
        <f t="array" ref="X75">ThetaC(X$3,$C$4,$H8,$D$4,0,$E$4)</f>
        <v>-1.6130344614685526</v>
      </c>
      <c r="Y75" cm="1">
        <f t="array" ref="Y75">ThetaC(Y$3,$C$4,$H8,$D$4,0,$E$4)</f>
        <v>-1.3455265847202833</v>
      </c>
      <c r="AC75">
        <v>0.5</v>
      </c>
      <c r="AD75" cm="1">
        <f t="array" ref="AD75">ThetaC(I$3,$C$4,$H8,$D$4,0,$E$5)</f>
        <v>-1.7162520567190197E-11</v>
      </c>
      <c r="AE75" cm="1">
        <f t="array" ref="AE75">ThetaC(J$3,$C$4,$H8,$D$4,0,$E$5)</f>
        <v>-3.1038137892502407E-8</v>
      </c>
      <c r="AF75" cm="1">
        <f t="array" ref="AF75">ThetaC(K$3,$C$4,$H8,$D$4,0,$E$5)</f>
        <v>-1.0282598965756016E-5</v>
      </c>
      <c r="AG75" cm="1">
        <f t="array" ref="AG75">ThetaC(L$3,$C$4,$H8,$D$4,0,$E$5)</f>
        <v>-8.5182568362664841E-4</v>
      </c>
      <c r="AH75" cm="1">
        <f t="array" ref="AH75">ThetaC(M$3,$C$4,$H8,$D$4,0,$E$5)</f>
        <v>-2.2472217520036059E-2</v>
      </c>
      <c r="AI75" cm="1">
        <f t="array" ref="AI75">ThetaC(N$3,$C$4,$H8,$D$4,0,$E$5)</f>
        <v>-0.22861221391938027</v>
      </c>
      <c r="AJ75" cm="1">
        <f t="array" ref="AJ75">ThetaC(O$3,$C$4,$H8,$D$4,0,$E$5)</f>
        <v>-1.0468955445219887</v>
      </c>
      <c r="AK75" cm="1">
        <f t="array" ref="AK75">ThetaC(P$3,$C$4,$H8,$D$4,0,$E$5)</f>
        <v>-2.4560770189035495</v>
      </c>
      <c r="AL75" cm="1">
        <f t="array" ref="AL75">ThetaC(Q$3,$C$4,$H8,$D$4,0,$E$5)</f>
        <v>-3.3166623386379701</v>
      </c>
      <c r="AM75" cm="1">
        <f t="array" ref="AM75">ThetaC(R$3,$C$4,$H8,$D$4,0,$E$5)</f>
        <v>-2.9196803178708119</v>
      </c>
      <c r="AN75" cm="1">
        <f t="array" ref="AN75">ThetaC(S$3,$C$4,$H8,$D$4,0,$E$5)</f>
        <v>-1.9904374474546116</v>
      </c>
      <c r="AO75" cm="1">
        <f t="array" ref="AO75">ThetaC(T$3,$C$4,$H8,$D$4,0,$E$5)</f>
        <v>-1.3439253423365596</v>
      </c>
      <c r="AP75" cm="1">
        <f t="array" ref="AP75">ThetaC(U$3,$C$4,$H8,$D$4,0,$E$5)</f>
        <v>-1.0827543537359843</v>
      </c>
      <c r="AQ75" cm="1">
        <f t="array" ref="AQ75">ThetaC(V$3,$C$4,$H8,$D$4,0,$E$5)</f>
        <v>-1.0115661918947982</v>
      </c>
      <c r="AR75" cm="1">
        <f t="array" ref="AR75">ThetaC(W$3,$C$4,$H8,$D$4,0,$E$5)</f>
        <v>-0.99744365762636944</v>
      </c>
      <c r="AS75" cm="1">
        <f t="array" ref="AS75">ThetaC(X$3,$C$4,$H8,$D$4,0,$E$5)</f>
        <v>-0.99529923915443264</v>
      </c>
      <c r="AT75" cm="1">
        <f t="array" ref="AT75">ThetaC(Y$3,$C$4,$H8,$D$4,0,$E$5)</f>
        <v>-0.99504037843585647</v>
      </c>
    </row>
    <row r="76" spans="7:46" x14ac:dyDescent="0.2">
      <c r="H76">
        <v>0.6</v>
      </c>
      <c r="I76" cm="1">
        <f t="array" ref="I76">ThetaC(I$3,$C$4,$H9,$D$4,0,$E$4)</f>
        <v>-2.0032473352245964E-2</v>
      </c>
      <c r="J76" cm="1">
        <f t="array" ref="J76">ThetaC(J$3,$C$4,$H9,$D$4,0,$E$4)</f>
        <v>-9.8573445641386703E-2</v>
      </c>
      <c r="K76" cm="1">
        <f t="array" ref="K76">ThetaC(K$3,$C$4,$H9,$D$4,0,$E$4)</f>
        <v>-0.34003554821793547</v>
      </c>
      <c r="L76" cm="1">
        <f t="array" ref="L76">ThetaC(L$3,$C$4,$H9,$D$4,0,$E$4)</f>
        <v>-0.87773913326975805</v>
      </c>
      <c r="M76" cm="1">
        <f t="array" ref="M76">ThetaC(M$3,$C$4,$H9,$D$4,0,$E$4)</f>
        <v>-1.7837190840052652</v>
      </c>
      <c r="N76" cm="1">
        <f t="array" ref="N76">ThetaC(N$3,$C$4,$H9,$D$4,0,$E$4)</f>
        <v>-2.9707583409544625</v>
      </c>
      <c r="O76" cm="1">
        <f t="array" ref="O76">ThetaC(O$3,$C$4,$H9,$D$4,0,$E$4)</f>
        <v>-4.1886080467823206</v>
      </c>
      <c r="P76" cm="1">
        <f t="array" ref="P76">ThetaC(P$3,$C$4,$H9,$D$4,0,$E$4)</f>
        <v>-5.1347413667888864</v>
      </c>
      <c r="Q76" cm="1">
        <f t="array" ref="Q76">ThetaC(Q$3,$C$4,$H9,$D$4,0,$E$4)</f>
        <v>-5.5973293636636168</v>
      </c>
      <c r="R76" cm="1">
        <f t="array" ref="R76">ThetaC(R$3,$C$4,$H9,$D$4,0,$E$4)</f>
        <v>-5.5330676186549894</v>
      </c>
      <c r="S76" cm="1">
        <f t="array" ref="S76">ThetaC(S$3,$C$4,$H9,$D$4,0,$E$4)</f>
        <v>-5.0492792420675681</v>
      </c>
      <c r="T76" cm="1">
        <f t="array" ref="T76">ThetaC(T$3,$C$4,$H9,$D$4,0,$E$4)</f>
        <v>-4.3277209587638472</v>
      </c>
      <c r="U76" cm="1">
        <f t="array" ref="U76">ThetaC(U$3,$C$4,$H9,$D$4,0,$E$4)</f>
        <v>-3.5460436869198673</v>
      </c>
      <c r="V76" cm="1">
        <f t="array" ref="V76">ThetaC(V$3,$C$4,$H9,$D$4,0,$E$4)</f>
        <v>-2.8309496858580201</v>
      </c>
      <c r="W76" cm="1">
        <f t="array" ref="W76">ThetaC(W$3,$C$4,$H9,$D$4,0,$E$4)</f>
        <v>-2.247247874476404</v>
      </c>
      <c r="X76" cm="1">
        <f t="array" ref="X76">ThetaC(X$3,$C$4,$H9,$D$4,0,$E$4)</f>
        <v>-1.8099035448917213</v>
      </c>
      <c r="Y76" cm="1">
        <f t="array" ref="Y76">ThetaC(Y$3,$C$4,$H9,$D$4,0,$E$4)</f>
        <v>-1.5038014799888173</v>
      </c>
      <c r="AC76">
        <v>0.6</v>
      </c>
      <c r="AD76" cm="1">
        <f t="array" ref="AD76">ThetaC(I$3,$C$4,$H9,$D$4,0,$E$5)</f>
        <v>-1.2158674907426928E-9</v>
      </c>
      <c r="AE76" cm="1">
        <f t="array" ref="AE76">ThetaC(J$3,$C$4,$H9,$D$4,0,$E$5)</f>
        <v>-6.2651495243948387E-7</v>
      </c>
      <c r="AF76" cm="1">
        <f t="array" ref="AF76">ThetaC(K$3,$C$4,$H9,$D$4,0,$E$5)</f>
        <v>-7.8536926900978952E-5</v>
      </c>
      <c r="AG76" cm="1">
        <f t="array" ref="AG76">ThetaC(L$3,$C$4,$H9,$D$4,0,$E$5)</f>
        <v>-3.104333626753534E-3</v>
      </c>
      <c r="AH76" cm="1">
        <f t="array" ref="AH76">ThetaC(M$3,$C$4,$H9,$D$4,0,$E$5)</f>
        <v>-4.7336296245838107E-2</v>
      </c>
      <c r="AI76" cm="1">
        <f t="array" ref="AI76">ThetaC(N$3,$C$4,$H9,$D$4,0,$E$5)</f>
        <v>-0.32670165900473036</v>
      </c>
      <c r="AJ76" cm="1">
        <f t="array" ref="AJ76">ThetaC(O$3,$C$4,$H9,$D$4,0,$E$5)</f>
        <v>-1.1616675668261593</v>
      </c>
      <c r="AK76" cm="1">
        <f t="array" ref="AK76">ThetaC(P$3,$C$4,$H9,$D$4,0,$E$5)</f>
        <v>-2.3725143203716335</v>
      </c>
      <c r="AL76" cm="1">
        <f t="array" ref="AL76">ThetaC(Q$3,$C$4,$H9,$D$4,0,$E$5)</f>
        <v>-3.0702012244401988</v>
      </c>
      <c r="AM76" cm="1">
        <f t="array" ref="AM76">ThetaC(R$3,$C$4,$H9,$D$4,0,$E$5)</f>
        <v>-2.7906897238971711</v>
      </c>
      <c r="AN76" cm="1">
        <f t="array" ref="AN76">ThetaC(S$3,$C$4,$H9,$D$4,0,$E$5)</f>
        <v>-2.0364105259898482</v>
      </c>
      <c r="AO76" cm="1">
        <f t="array" ref="AO76">ThetaC(T$3,$C$4,$H9,$D$4,0,$E$5)</f>
        <v>-1.429919838791941</v>
      </c>
      <c r="AP76" cm="1">
        <f t="array" ref="AP76">ThetaC(U$3,$C$4,$H9,$D$4,0,$E$5)</f>
        <v>-1.1320010239830693</v>
      </c>
      <c r="AQ76" cm="1">
        <f t="array" ref="AQ76">ThetaC(V$3,$C$4,$H9,$D$4,0,$E$5)</f>
        <v>-1.0283622213237376</v>
      </c>
      <c r="AR76" cm="1">
        <f t="array" ref="AR76">ThetaC(W$3,$C$4,$H9,$D$4,0,$E$5)</f>
        <v>-1.0009523562627152</v>
      </c>
      <c r="AS76" cm="1">
        <f t="array" ref="AS76">ThetaC(X$3,$C$4,$H9,$D$4,0,$E$5)</f>
        <v>-0.995183898248726</v>
      </c>
      <c r="AT76" cm="1">
        <f t="array" ref="AT76">ThetaC(Y$3,$C$4,$H9,$D$4,0,$E$5)</f>
        <v>-0.99418490669914983</v>
      </c>
    </row>
    <row r="77" spans="7:46" x14ac:dyDescent="0.2">
      <c r="H77">
        <v>0.7</v>
      </c>
      <c r="I77" cm="1">
        <f t="array" ref="I77">ThetaC(I$3,$C$4,$H10,$D$4,0,$E$4)</f>
        <v>-4.0406065515891584E-2</v>
      </c>
      <c r="J77" cm="1">
        <f t="array" ref="J77">ThetaC(J$3,$C$4,$H10,$D$4,0,$E$4)</f>
        <v>-0.15893788971464368</v>
      </c>
      <c r="K77" cm="1">
        <f t="array" ref="K77">ThetaC(K$3,$C$4,$H10,$D$4,0,$E$4)</f>
        <v>-0.46105974622851981</v>
      </c>
      <c r="L77" cm="1">
        <f t="array" ref="L77">ThetaC(L$3,$C$4,$H10,$D$4,0,$E$4)</f>
        <v>-1.0431643769325487</v>
      </c>
      <c r="M77" cm="1">
        <f t="array" ref="M77">ThetaC(M$3,$C$4,$H10,$D$4,0,$E$4)</f>
        <v>-1.9228078610881789</v>
      </c>
      <c r="N77" cm="1">
        <f t="array" ref="N77">ThetaC(N$3,$C$4,$H10,$D$4,0,$E$4)</f>
        <v>-2.9888258321013366</v>
      </c>
      <c r="O77" cm="1">
        <f t="array" ref="O77">ThetaC(O$3,$C$4,$H10,$D$4,0,$E$4)</f>
        <v>-4.0285092134666716</v>
      </c>
      <c r="P77" cm="1">
        <f t="array" ref="P77">ThetaC(P$3,$C$4,$H10,$D$4,0,$E$4)</f>
        <v>-4.8174757710844407</v>
      </c>
      <c r="Q77" cm="1">
        <f t="array" ref="Q77">ThetaC(Q$3,$C$4,$H10,$D$4,0,$E$4)</f>
        <v>-5.2108141079548362</v>
      </c>
      <c r="R77" cm="1">
        <f t="array" ref="R77">ThetaC(R$3,$C$4,$H10,$D$4,0,$E$4)</f>
        <v>-5.1840552369114281</v>
      </c>
      <c r="S77" cm="1">
        <f t="array" ref="S77">ThetaC(S$3,$C$4,$H10,$D$4,0,$E$4)</f>
        <v>-4.8157326385500134</v>
      </c>
      <c r="T77" cm="1">
        <f t="array" ref="T77">ThetaC(T$3,$C$4,$H10,$D$4,0,$E$4)</f>
        <v>-4.2371832209563971</v>
      </c>
      <c r="U77" cm="1">
        <f t="array" ref="U77">ThetaC(U$3,$C$4,$H10,$D$4,0,$E$4)</f>
        <v>-3.581581887146366</v>
      </c>
      <c r="V77" cm="1">
        <f t="array" ref="V77">ThetaC(V$3,$C$4,$H10,$D$4,0,$E$4)</f>
        <v>-2.9514204560701218</v>
      </c>
      <c r="W77" cm="1">
        <f t="array" ref="W77">ThetaC(W$3,$C$4,$H10,$D$4,0,$E$4)</f>
        <v>-2.4076987373616454</v>
      </c>
      <c r="X77" cm="1">
        <f t="array" ref="X77">ThetaC(X$3,$C$4,$H10,$D$4,0,$E$4)</f>
        <v>-1.9744754246605911</v>
      </c>
      <c r="Y77" cm="1">
        <f t="array" ref="Y77">ThetaC(Y$3,$C$4,$H10,$D$4,0,$E$4)</f>
        <v>-1.6502275327719942</v>
      </c>
      <c r="AC77">
        <v>0.7</v>
      </c>
      <c r="AD77" cm="1">
        <f t="array" ref="AD77">ThetaC(I$3,$C$4,$H10,$D$4,0,$E$5)</f>
        <v>-2.5214310778111725E-8</v>
      </c>
      <c r="AE77" cm="1">
        <f t="array" ref="AE77">ThetaC(J$3,$C$4,$H10,$D$4,0,$E$5)</f>
        <v>-5.3000972168500081E-6</v>
      </c>
      <c r="AF77" cm="1">
        <f t="array" ref="AF77">ThetaC(K$3,$C$4,$H10,$D$4,0,$E$5)</f>
        <v>-3.3192191194745917E-4</v>
      </c>
      <c r="AG77" cm="1">
        <f t="array" ref="AG77">ThetaC(L$3,$C$4,$H10,$D$4,0,$E$5)</f>
        <v>-7.7356243656453586E-3</v>
      </c>
      <c r="AH77" cm="1">
        <f t="array" ref="AH77">ThetaC(M$3,$C$4,$H10,$D$4,0,$E$5)</f>
        <v>-7.9762193439246287E-2</v>
      </c>
      <c r="AI77" cm="1">
        <f t="array" ref="AI77">ThetaC(N$3,$C$4,$H10,$D$4,0,$E$5)</f>
        <v>-0.4173956577474226</v>
      </c>
      <c r="AJ77" cm="1">
        <f t="array" ref="AJ77">ThetaC(O$3,$C$4,$H10,$D$4,0,$E$5)</f>
        <v>-1.2392488993142485</v>
      </c>
      <c r="AK77" cm="1">
        <f t="array" ref="AK77">ThetaC(P$3,$C$4,$H10,$D$4,0,$E$5)</f>
        <v>-2.2930341537550012</v>
      </c>
      <c r="AL77" cm="1">
        <f t="array" ref="AL77">ThetaC(Q$3,$C$4,$H10,$D$4,0,$E$5)</f>
        <v>-2.8785147234306048</v>
      </c>
      <c r="AM77" cm="1">
        <f t="array" ref="AM77">ThetaC(R$3,$C$4,$H10,$D$4,0,$E$5)</f>
        <v>-2.6763627640522563</v>
      </c>
      <c r="AN77" cm="1">
        <f t="array" ref="AN77">ThetaC(S$3,$C$4,$H10,$D$4,0,$E$5)</f>
        <v>-2.0537948974504801</v>
      </c>
      <c r="AO77" cm="1">
        <f t="array" ref="AO77">ThetaC(T$3,$C$4,$H10,$D$4,0,$E$5)</f>
        <v>-1.496439554663743</v>
      </c>
      <c r="AP77" cm="1">
        <f t="array" ref="AP77">ThetaC(U$3,$C$4,$H10,$D$4,0,$E$5)</f>
        <v>-1.1809172145111855</v>
      </c>
      <c r="AQ77" cm="1">
        <f t="array" ref="AQ77">ThetaC(V$3,$C$4,$H10,$D$4,0,$E$5)</f>
        <v>-1.0500431643391011</v>
      </c>
      <c r="AR77" cm="1">
        <f t="array" ref="AR77">ThetaC(W$3,$C$4,$H10,$D$4,0,$E$5)</f>
        <v>-1.0074790359176999</v>
      </c>
      <c r="AS77" cm="1">
        <f t="array" ref="AS77">ThetaC(X$3,$C$4,$H10,$D$4,0,$E$5)</f>
        <v>-0.99615573102822086</v>
      </c>
      <c r="AT77" cm="1">
        <f t="array" ref="AT77">ThetaC(Y$3,$C$4,$H10,$D$4,0,$E$5)</f>
        <v>-0.99361539216943362</v>
      </c>
    </row>
    <row r="78" spans="7:46" x14ac:dyDescent="0.2">
      <c r="H78">
        <v>0.8</v>
      </c>
      <c r="I78" cm="1">
        <f t="array" ref="I78">ThetaC(I$3,$C$4,$H11,$D$4,0,$E$4)</f>
        <v>-6.7808191954544517E-2</v>
      </c>
      <c r="J78" cm="1">
        <f t="array" ref="J78">ThetaC(J$3,$C$4,$H11,$D$4,0,$E$4)</f>
        <v>-0.22550760485640103</v>
      </c>
      <c r="K78" cm="1">
        <f t="array" ref="K78">ThetaC(K$3,$C$4,$H11,$D$4,0,$E$4)</f>
        <v>-0.57451031596985147</v>
      </c>
      <c r="L78" cm="1">
        <f t="array" ref="L78">ThetaC(L$3,$C$4,$H11,$D$4,0,$E$4)</f>
        <v>-1.1775852389200596</v>
      </c>
      <c r="M78" cm="1">
        <f t="array" ref="M78">ThetaC(M$3,$C$4,$H11,$D$4,0,$E$4)</f>
        <v>-2.0175482659103769</v>
      </c>
      <c r="N78" cm="1">
        <f t="array" ref="N78">ThetaC(N$3,$C$4,$H11,$D$4,0,$E$4)</f>
        <v>-2.978066514680576</v>
      </c>
      <c r="O78" cm="1">
        <f t="array" ref="O78">ThetaC(O$3,$C$4,$H11,$D$4,0,$E$4)</f>
        <v>-3.8808721056250692</v>
      </c>
      <c r="P78" cm="1">
        <f t="array" ref="P78">ThetaC(P$3,$C$4,$H11,$D$4,0,$E$4)</f>
        <v>-4.5554602729850719</v>
      </c>
      <c r="Q78" cm="1">
        <f t="array" ref="Q78">ThetaC(Q$3,$C$4,$H11,$D$4,0,$E$4)</f>
        <v>-4.8986703743347455</v>
      </c>
      <c r="R78" cm="1">
        <f t="array" ref="R78">ThetaC(R$3,$C$4,$H11,$D$4,0,$E$4)</f>
        <v>-4.896703310758947</v>
      </c>
      <c r="S78" cm="1">
        <f t="array" ref="S78">ThetaC(S$3,$C$4,$H11,$D$4,0,$E$4)</f>
        <v>-4.6096885573617934</v>
      </c>
      <c r="T78" cm="1">
        <f t="array" ref="T78">ThetaC(T$3,$C$4,$H11,$D$4,0,$E$4)</f>
        <v>-4.1366741115505103</v>
      </c>
      <c r="U78" cm="1">
        <f t="array" ref="U78">ThetaC(U$3,$C$4,$H11,$D$4,0,$E$4)</f>
        <v>-3.5806527563858634</v>
      </c>
      <c r="V78" cm="1">
        <f t="array" ref="V78">ThetaC(V$3,$C$4,$H11,$D$4,0,$E$4)</f>
        <v>-3.025216786751137</v>
      </c>
      <c r="W78" cm="1">
        <f t="array" ref="W78">ThetaC(W$3,$C$4,$H11,$D$4,0,$E$4)</f>
        <v>-2.5251731609638335</v>
      </c>
      <c r="X78" cm="1">
        <f t="array" ref="X78">ThetaC(X$3,$C$4,$H11,$D$4,0,$E$4)</f>
        <v>-2.1077036537333607</v>
      </c>
      <c r="Y78" cm="1">
        <f t="array" ref="Y78">ThetaC(Y$3,$C$4,$H11,$D$4,0,$E$4)</f>
        <v>-1.7789900844037503</v>
      </c>
      <c r="AC78">
        <v>0.8</v>
      </c>
      <c r="AD78" cm="1">
        <f t="array" ref="AD78">ThetaC(I$3,$C$4,$H11,$D$4,0,$E$5)</f>
        <v>-2.4299205821700299E-7</v>
      </c>
      <c r="AE78" cm="1">
        <f t="array" ref="AE78">ThetaC(J$3,$C$4,$H11,$D$4,0,$E$5)</f>
        <v>-2.6075407589769726E-5</v>
      </c>
      <c r="AF78" cm="1">
        <f t="array" ref="AF78">ThetaC(K$3,$C$4,$H11,$D$4,0,$E$5)</f>
        <v>-9.7053380389574802E-4</v>
      </c>
      <c r="AG78" cm="1">
        <f t="array" ref="AG78">ThetaC(L$3,$C$4,$H11,$D$4,0,$E$5)</f>
        <v>-1.5222227650521194E-2</v>
      </c>
      <c r="AH78" cm="1">
        <f t="array" ref="AH78">ThetaC(M$3,$C$4,$H11,$D$4,0,$E$5)</f>
        <v>-0.11706772368302551</v>
      </c>
      <c r="AI78" cm="1">
        <f t="array" ref="AI78">ThetaC(N$3,$C$4,$H11,$D$4,0,$E$5)</f>
        <v>-0.49790735381044754</v>
      </c>
      <c r="AJ78" cm="1">
        <f t="array" ref="AJ78">ThetaC(O$3,$C$4,$H11,$D$4,0,$E$5)</f>
        <v>-1.2916322354704772</v>
      </c>
      <c r="AK78" cm="1">
        <f t="array" ref="AK78">ThetaC(P$3,$C$4,$H11,$D$4,0,$E$5)</f>
        <v>-2.2198665455734687</v>
      </c>
      <c r="AL78" cm="1">
        <f t="array" ref="AL78">ThetaC(Q$3,$C$4,$H11,$D$4,0,$E$5)</f>
        <v>-2.723882939939362</v>
      </c>
      <c r="AM78" cm="1">
        <f t="array" ref="AM78">ThetaC(R$3,$C$4,$H11,$D$4,0,$E$5)</f>
        <v>-2.5754538253346819</v>
      </c>
      <c r="AN78" cm="1">
        <f t="array" ref="AN78">ThetaC(S$3,$C$4,$H11,$D$4,0,$E$5)</f>
        <v>-2.0540889827989868</v>
      </c>
      <c r="AO78" cm="1">
        <f t="array" ref="AO78">ThetaC(T$3,$C$4,$H11,$D$4,0,$E$5)</f>
        <v>-1.5464279552807736</v>
      </c>
      <c r="AP78" cm="1">
        <f t="array" ref="AP78">ThetaC(U$3,$C$4,$H11,$D$4,0,$E$5)</f>
        <v>-1.2262333639660803</v>
      </c>
      <c r="AQ78" cm="1">
        <f t="array" ref="AQ78">ThetaC(V$3,$C$4,$H11,$D$4,0,$E$5)</f>
        <v>-1.0745132791188534</v>
      </c>
      <c r="AR78" cm="1">
        <f t="array" ref="AR78">ThetaC(W$3,$C$4,$H11,$D$4,0,$E$5)</f>
        <v>-1.0168374934730982</v>
      </c>
      <c r="AS78" cm="1">
        <f t="array" ref="AS78">ThetaC(X$3,$C$4,$H11,$D$4,0,$E$5)</f>
        <v>-0.99853125871027337</v>
      </c>
      <c r="AT78" cm="1">
        <f t="array" ref="AT78">ThetaC(Y$3,$C$4,$H11,$D$4,0,$E$5)</f>
        <v>-0.9935409518245053</v>
      </c>
    </row>
    <row r="79" spans="7:46" x14ac:dyDescent="0.2">
      <c r="H79">
        <v>0.9</v>
      </c>
      <c r="I79" cm="1">
        <f t="array" ref="I79">ThetaC(I$3,$C$4,$H12,$D$4,0,$E$4)</f>
        <v>-0.10076101954498543</v>
      </c>
      <c r="J79" cm="1">
        <f t="array" ref="J79">ThetaC(J$3,$C$4,$H12,$D$4,0,$E$4)</f>
        <v>-0.29410036236108139</v>
      </c>
      <c r="K79" cm="1">
        <f t="array" ref="K79">ThetaC(K$3,$C$4,$H12,$D$4,0,$E$4)</f>
        <v>-0.67732466889585341</v>
      </c>
      <c r="L79" cm="1">
        <f t="array" ref="L79">ThetaC(L$3,$C$4,$H12,$D$4,0,$E$4)</f>
        <v>-1.2857297128434393</v>
      </c>
      <c r="M79" cm="1">
        <f t="array" ref="M79">ThetaC(M$3,$C$4,$H12,$D$4,0,$E$4)</f>
        <v>-2.0811799747457029</v>
      </c>
      <c r="N79" cm="1">
        <f t="array" ref="N79">ThetaC(N$3,$C$4,$H12,$D$4,0,$E$4)</f>
        <v>-2.9510460809802979</v>
      </c>
      <c r="O79" cm="1">
        <f t="array" ref="O79">ThetaC(O$3,$C$4,$H12,$D$4,0,$E$4)</f>
        <v>-3.7462031069995496</v>
      </c>
      <c r="P79" cm="1">
        <f t="array" ref="P79">ThetaC(P$3,$C$4,$H12,$D$4,0,$E$4)</f>
        <v>-4.3343136323550571</v>
      </c>
      <c r="Q79" cm="1">
        <f t="array" ref="Q79">ThetaC(Q$3,$C$4,$H12,$D$4,0,$E$4)</f>
        <v>-4.6396311066685483</v>
      </c>
      <c r="R79" cm="1">
        <f t="array" ref="R79">ThetaC(R$3,$C$4,$H12,$D$4,0,$E$4)</f>
        <v>-4.6547310280285252</v>
      </c>
      <c r="S79" cm="1">
        <f t="array" ref="S79">ThetaC(S$3,$C$4,$H12,$D$4,0,$E$4)</f>
        <v>-4.42726352008623</v>
      </c>
      <c r="T79" cm="1">
        <f t="array" ref="T79">ThetaC(T$3,$C$4,$H12,$D$4,0,$E$4)</f>
        <v>-4.0344543938715578</v>
      </c>
      <c r="U79" cm="1">
        <f t="array" ref="U79">ThetaC(U$3,$C$4,$H12,$D$4,0,$E$4)</f>
        <v>-3.5580381256162892</v>
      </c>
      <c r="V79" cm="1">
        <f t="array" ref="V79">ThetaC(V$3,$C$4,$H12,$D$4,0,$E$4)</f>
        <v>-3.0669919421480571</v>
      </c>
      <c r="W79" cm="1">
        <f t="array" ref="W79">ThetaC(W$3,$C$4,$H12,$D$4,0,$E$4)</f>
        <v>-2.6097044437216996</v>
      </c>
      <c r="X79" cm="1">
        <f t="array" ref="X79">ThetaC(X$3,$C$4,$H12,$D$4,0,$E$4)</f>
        <v>-2.21359973364024</v>
      </c>
      <c r="Y79" cm="1">
        <f t="array" ref="Y79">ThetaC(Y$3,$C$4,$H12,$D$4,0,$E$4)</f>
        <v>-1.8890358974379682</v>
      </c>
      <c r="AC79">
        <v>0.9</v>
      </c>
      <c r="AD79" cm="1">
        <f t="array" ref="AD79">ThetaC(I$3,$C$4,$H12,$D$4,0,$E$5)</f>
        <v>-1.4063402814141336E-6</v>
      </c>
      <c r="AE79" cm="1">
        <f t="array" ref="AE79">ThetaC(J$3,$C$4,$H12,$D$4,0,$E$5)</f>
        <v>-8.9468527081001923E-5</v>
      </c>
      <c r="AF79" cm="1">
        <f t="array" ref="AF79">ThetaC(K$3,$C$4,$H12,$D$4,0,$E$5)</f>
        <v>-2.2220452297081021E-3</v>
      </c>
      <c r="AG79" cm="1">
        <f t="array" ref="AG79">ThetaC(L$3,$C$4,$H12,$D$4,0,$E$5)</f>
        <v>-2.5616471772711976E-2</v>
      </c>
      <c r="AH79" cm="1">
        <f t="array" ref="AH79">ThetaC(M$3,$C$4,$H12,$D$4,0,$E$5)</f>
        <v>-0.15686134166460777</v>
      </c>
      <c r="AI79" cm="1">
        <f t="array" ref="AI79">ThetaC(N$3,$C$4,$H12,$D$4,0,$E$5)</f>
        <v>-0.56792126563834433</v>
      </c>
      <c r="AJ79" cm="1">
        <f t="array" ref="AJ79">ThetaC(O$3,$C$4,$H12,$D$4,0,$E$5)</f>
        <v>-1.3267108853063547</v>
      </c>
      <c r="AK79" cm="1">
        <f t="array" ref="AK79">ThetaC(P$3,$C$4,$H12,$D$4,0,$E$5)</f>
        <v>-2.1532360436750415</v>
      </c>
      <c r="AL79" cm="1">
        <f t="array" ref="AL79">ThetaC(Q$3,$C$4,$H12,$D$4,0,$E$5)</f>
        <v>-2.5956960223579779</v>
      </c>
      <c r="AM79" cm="1">
        <f t="array" ref="AM79">ThetaC(R$3,$C$4,$H12,$D$4,0,$E$5)</f>
        <v>-2.4861015674692988</v>
      </c>
      <c r="AN79" cm="1">
        <f t="array" ref="AN79">ThetaC(S$3,$C$4,$H12,$D$4,0,$E$5)</f>
        <v>-2.0440662109919514</v>
      </c>
      <c r="AO79" cm="1">
        <f t="array" ref="AO79">ThetaC(T$3,$C$4,$H12,$D$4,0,$E$5)</f>
        <v>-1.5831660900795126</v>
      </c>
      <c r="AP79" cm="1">
        <f t="array" ref="AP79">ThetaC(U$3,$C$4,$H12,$D$4,0,$E$5)</f>
        <v>-1.2665395567741544</v>
      </c>
      <c r="AQ79" cm="1">
        <f t="array" ref="AQ79">ThetaC(V$3,$C$4,$H12,$D$4,0,$E$5)</f>
        <v>-1.0999985828858836</v>
      </c>
      <c r="AR79" cm="1">
        <f t="array" ref="AR79">ThetaC(W$3,$C$4,$H12,$D$4,0,$E$5)</f>
        <v>-1.0284717400341259</v>
      </c>
      <c r="AS79" cm="1">
        <f t="array" ref="AS79">ThetaC(X$3,$C$4,$H12,$D$4,0,$E$5)</f>
        <v>-1.0024129120202085</v>
      </c>
      <c r="AT79" cm="1">
        <f t="array" ref="AT79">ThetaC(Y$3,$C$4,$H12,$D$4,0,$E$5)</f>
        <v>-0.99414304615918159</v>
      </c>
    </row>
    <row r="80" spans="7:46" x14ac:dyDescent="0.2">
      <c r="H80">
        <v>1</v>
      </c>
      <c r="I80" cm="1">
        <f t="array" ref="I80">ThetaC(I$3,$C$4,$H13,$D$4,0,$E$4)</f>
        <v>-0.13760097145391417</v>
      </c>
      <c r="J80" cm="1">
        <f t="array" ref="J80">ThetaC(J$3,$C$4,$H13,$D$4,0,$E$4)</f>
        <v>-0.36182997641875553</v>
      </c>
      <c r="K80" cm="1">
        <f t="array" ref="K80">ThetaC(K$3,$C$4,$H13,$D$4,0,$E$4)</f>
        <v>-0.76870309122964575</v>
      </c>
      <c r="L80" cm="1">
        <f t="array" ref="L80">ThetaC(L$3,$C$4,$H13,$D$4,0,$E$4)</f>
        <v>-1.3723294458451327</v>
      </c>
      <c r="M80" cm="1">
        <f t="array" ref="M80">ThetaC(M$3,$C$4,$H13,$D$4,0,$E$4)</f>
        <v>-2.1227536936129181</v>
      </c>
      <c r="N80" cm="1">
        <f t="array" ref="N80">ThetaC(N$3,$C$4,$H13,$D$4,0,$E$4)</f>
        <v>-2.9149147413399148</v>
      </c>
      <c r="O80" cm="1">
        <f t="array" ref="O80">ThetaC(O$3,$C$4,$H13,$D$4,0,$E$4)</f>
        <v>-3.6236590248930369</v>
      </c>
      <c r="P80" cm="1">
        <f t="array" ref="P80">ThetaC(P$3,$C$4,$H13,$D$4,0,$E$4)</f>
        <v>-4.1443800816070882</v>
      </c>
      <c r="Q80" cm="1">
        <f t="array" ref="Q80">ThetaC(Q$3,$C$4,$H13,$D$4,0,$E$4)</f>
        <v>-4.4200778145480362</v>
      </c>
      <c r="R80" cm="1">
        <f t="array" ref="R80">ThetaC(R$3,$C$4,$H13,$D$4,0,$E$4)</f>
        <v>-4.4472859830090457</v>
      </c>
      <c r="S80" cm="1">
        <f t="array" ref="S80">ThetaC(S$3,$C$4,$H13,$D$4,0,$E$4)</f>
        <v>-4.2647974639673336</v>
      </c>
      <c r="T80" cm="1">
        <f t="array" ref="T80">ThetaC(T$3,$C$4,$H13,$D$4,0,$E$4)</f>
        <v>-3.9344485153602449</v>
      </c>
      <c r="U80" cm="1">
        <f t="array" ref="U80">ThetaC(U$3,$C$4,$H13,$D$4,0,$E$4)</f>
        <v>-3.5225170124662251</v>
      </c>
      <c r="V80" cm="1">
        <f t="array" ref="V80">ThetaC(V$3,$C$4,$H13,$D$4,0,$E$4)</f>
        <v>-3.0866178820284627</v>
      </c>
      <c r="W80" cm="1">
        <f t="array" ref="W80">ThetaC(W$3,$C$4,$H13,$D$4,0,$E$4)</f>
        <v>-2.6692412521270028</v>
      </c>
      <c r="X80" cm="1">
        <f t="array" ref="X80">ThetaC(X$3,$C$4,$H13,$D$4,0,$E$4)</f>
        <v>-2.2967098908445056</v>
      </c>
      <c r="Y80" cm="1">
        <f t="array" ref="Y80">ThetaC(Y$3,$C$4,$H13,$D$4,0,$E$4)</f>
        <v>-1.9814702357676792</v>
      </c>
      <c r="AC80">
        <v>1</v>
      </c>
      <c r="AD80" cm="1">
        <f t="array" ref="AD80">ThetaC(I$3,$C$4,$H13,$D$4,0,$E$5)</f>
        <v>-5.7000176182014149E-6</v>
      </c>
      <c r="AE80" cm="1">
        <f t="array" ref="AE80">ThetaC(J$3,$C$4,$H13,$D$4,0,$E$5)</f>
        <v>-2.3869990869464263E-4</v>
      </c>
      <c r="AF80" cm="1">
        <f t="array" ref="AF80">ThetaC(K$3,$C$4,$H13,$D$4,0,$E$5)</f>
        <v>-4.2897137822304234E-3</v>
      </c>
      <c r="AG80" cm="1">
        <f t="array" ref="AG80">ThetaC(L$3,$C$4,$H13,$D$4,0,$E$5)</f>
        <v>-3.8662805619377225E-2</v>
      </c>
      <c r="AH80" cm="1">
        <f t="array" ref="AH80">ThetaC(M$3,$C$4,$H13,$D$4,0,$E$5)</f>
        <v>-0.1973277731270941</v>
      </c>
      <c r="AI80" cm="1">
        <f t="array" ref="AI80">ThetaC(N$3,$C$4,$H13,$D$4,0,$E$5)</f>
        <v>-0.62817868988970182</v>
      </c>
      <c r="AJ80" cm="1">
        <f t="array" ref="AJ80">ThetaC(O$3,$C$4,$H13,$D$4,0,$E$5)</f>
        <v>-1.3497115868103298</v>
      </c>
      <c r="AK80" cm="1">
        <f t="array" ref="AK80">ThetaC(P$3,$C$4,$H13,$D$4,0,$E$5)</f>
        <v>-2.0926986337310773</v>
      </c>
      <c r="AL80" cm="1">
        <f t="array" ref="AL80">ThetaC(Q$3,$C$4,$H13,$D$4,0,$E$5)</f>
        <v>-2.4871619828194662</v>
      </c>
      <c r="AM80" cm="1">
        <f t="array" ref="AM80">ThetaC(R$3,$C$4,$H13,$D$4,0,$E$5)</f>
        <v>-2.4065323741515643</v>
      </c>
      <c r="AN80" cm="1">
        <f t="array" ref="AN80">ThetaC(S$3,$C$4,$H13,$D$4,0,$E$5)</f>
        <v>-2.0278151582380417</v>
      </c>
      <c r="AO80" cm="1">
        <f t="array" ref="AO80">ThetaC(T$3,$C$4,$H13,$D$4,0,$E$5)</f>
        <v>-1.6095237247485614</v>
      </c>
      <c r="AP80" cm="1">
        <f t="array" ref="AP80">ThetaC(U$3,$C$4,$H13,$D$4,0,$E$5)</f>
        <v>-1.3014840422351661</v>
      </c>
      <c r="AQ80" cm="1">
        <f t="array" ref="AQ80">ThetaC(V$3,$C$4,$H13,$D$4,0,$E$5)</f>
        <v>-1.1252182962653507</v>
      </c>
      <c r="AR80" cm="1">
        <f t="array" ref="AR80">ThetaC(W$3,$C$4,$H13,$D$4,0,$E$5)</f>
        <v>-1.0417074404828752</v>
      </c>
      <c r="AS80" cm="1">
        <f t="array" ref="AS80">ThetaC(X$3,$C$4,$H13,$D$4,0,$E$5)</f>
        <v>-1.0077201455991194</v>
      </c>
      <c r="AT80" cm="1">
        <f t="array" ref="AT80">ThetaC(Y$3,$C$4,$H13,$D$4,0,$E$5)</f>
        <v>-0.9955351225434268</v>
      </c>
    </row>
    <row r="81" spans="7:46" x14ac:dyDescent="0.2">
      <c r="H81">
        <v>2</v>
      </c>
      <c r="I81" cm="1">
        <f t="array" ref="I81">ThetaC(I$3,$C$4,$H14,$D$4,0,$E$4)</f>
        <v>-0.50487343419046049</v>
      </c>
      <c r="J81" cm="1">
        <f t="array" ref="J81">ThetaC(J$3,$C$4,$H14,$D$4,0,$E$4)</f>
        <v>-0.83089533972245266</v>
      </c>
      <c r="K81" cm="1">
        <f t="array" ref="K81">ThetaC(K$3,$C$4,$H14,$D$4,0,$E$4)</f>
        <v>-1.2288280781032317</v>
      </c>
      <c r="L81" cm="1">
        <f t="array" ref="L81">ThetaC(L$3,$C$4,$H14,$D$4,0,$E$4)</f>
        <v>-1.6657947474499215</v>
      </c>
      <c r="M81" cm="1">
        <f t="array" ref="M81">ThetaC(M$3,$C$4,$H14,$D$4,0,$E$4)</f>
        <v>-2.1020438933344709</v>
      </c>
      <c r="N81" cm="1">
        <f t="array" ref="N81">ThetaC(N$3,$C$4,$H14,$D$4,0,$E$4)</f>
        <v>-2.4995896850909696</v>
      </c>
      <c r="O81" cm="1">
        <f t="array" ref="O81">ThetaC(O$3,$C$4,$H14,$D$4,0,$E$4)</f>
        <v>-2.8287067427962778</v>
      </c>
      <c r="P81" cm="1">
        <f t="array" ref="P81">ThetaC(P$3,$C$4,$H14,$D$4,0,$E$4)</f>
        <v>-3.0711981252103762</v>
      </c>
      <c r="Q81" cm="1">
        <f t="array" ref="Q81">ThetaC(Q$3,$C$4,$H14,$D$4,0,$E$4)</f>
        <v>-3.2206567843562808</v>
      </c>
      <c r="R81" cm="1">
        <f t="array" ref="R81">ThetaC(R$3,$C$4,$H14,$D$4,0,$E$4)</f>
        <v>-3.2806364102898713</v>
      </c>
      <c r="S81" cm="1">
        <f t="array" ref="S81">ThetaC(S$3,$C$4,$H14,$D$4,0,$E$4)</f>
        <v>-3.261792103740583</v>
      </c>
      <c r="T81" cm="1">
        <f t="array" ref="T81">ThetaC(T$3,$C$4,$H14,$D$4,0,$E$4)</f>
        <v>-3.1788613398903767</v>
      </c>
      <c r="U81" cm="1">
        <f t="array" ref="U81">ThetaC(U$3,$C$4,$H14,$D$4,0,$E$4)</f>
        <v>-3.0480426310709894</v>
      </c>
      <c r="V81" cm="1">
        <f t="array" ref="V81">ThetaC(V$3,$C$4,$H14,$D$4,0,$E$4)</f>
        <v>-2.885031827407516</v>
      </c>
      <c r="W81" cm="1">
        <f t="array" ref="W81">ThetaC(W$3,$C$4,$H14,$D$4,0,$E$4)</f>
        <v>-2.7037571441039283</v>
      </c>
      <c r="X81" cm="1">
        <f t="array" ref="X81">ThetaC(X$3,$C$4,$H14,$D$4,0,$E$4)</f>
        <v>-2.5157244578946338</v>
      </c>
      <c r="Y81" cm="1">
        <f t="array" ref="Y81">ThetaC(Y$3,$C$4,$H14,$D$4,0,$E$4)</f>
        <v>-2.3298282001989383</v>
      </c>
      <c r="AC81">
        <v>2</v>
      </c>
      <c r="AD81" cm="1">
        <f t="array" ref="AD81">ThetaC(I$3,$C$4,$H14,$D$4,0,$E$5)</f>
        <v>-2.8094557668136805E-3</v>
      </c>
      <c r="AE81" cm="1">
        <f t="array" ref="AE81">ThetaC(J$3,$C$4,$H14,$D$4,0,$E$5)</f>
        <v>-1.7964922720805208E-2</v>
      </c>
      <c r="AF81" cm="1">
        <f t="array" ref="AF81">ThetaC(K$3,$C$4,$H14,$D$4,0,$E$5)</f>
        <v>-7.5492705019145762E-2</v>
      </c>
      <c r="AG81" cm="1">
        <f t="array" ref="AG81">ThetaC(L$3,$C$4,$H14,$D$4,0,$E$5)</f>
        <v>-0.2254419047382171</v>
      </c>
      <c r="AH81" cm="1">
        <f t="array" ref="AH81">ThetaC(M$3,$C$4,$H14,$D$4,0,$E$5)</f>
        <v>-0.50862652486936444</v>
      </c>
      <c r="AI81" cm="1">
        <f t="array" ref="AI81">ThetaC(N$3,$C$4,$H14,$D$4,0,$E$5)</f>
        <v>-0.91051647528102519</v>
      </c>
      <c r="AJ81" cm="1">
        <f t="array" ref="AJ81">ThetaC(O$3,$C$4,$H14,$D$4,0,$E$5)</f>
        <v>-1.3465118625798755</v>
      </c>
      <c r="AK81" cm="1">
        <f t="array" ref="AK81">ThetaC(P$3,$C$4,$H14,$D$4,0,$E$5)</f>
        <v>-1.702369113260277</v>
      </c>
      <c r="AL81" cm="1">
        <f t="array" ref="AL81">ThetaC(Q$3,$C$4,$H14,$D$4,0,$E$5)</f>
        <v>-1.8968198638910643</v>
      </c>
      <c r="AM81" cm="1">
        <f t="array" ref="AM81">ThetaC(R$3,$C$4,$H14,$D$4,0,$E$5)</f>
        <v>-1.9161949128158462</v>
      </c>
      <c r="AN81" cm="1">
        <f t="array" ref="AN81">ThetaC(S$3,$C$4,$H14,$D$4,0,$E$5)</f>
        <v>-1.8042542243457567</v>
      </c>
      <c r="AO81" cm="1">
        <f t="array" ref="AO81">ThetaC(T$3,$C$4,$H14,$D$4,0,$E$5)</f>
        <v>-1.627417685412567</v>
      </c>
      <c r="AP81" cm="1">
        <f t="array" ref="AP81">ThetaC(U$3,$C$4,$H14,$D$4,0,$E$5)</f>
        <v>-1.4433847901174373</v>
      </c>
      <c r="AQ81" cm="1">
        <f t="array" ref="AQ81">ThetaC(V$3,$C$4,$H14,$D$4,0,$E$5)</f>
        <v>-1.2867999738466063</v>
      </c>
      <c r="AR81" cm="1">
        <f t="array" ref="AR81">ThetaC(W$3,$C$4,$H14,$D$4,0,$E$5)</f>
        <v>-1.1700753766787488</v>
      </c>
      <c r="AS81" cm="1">
        <f t="array" ref="AS81">ThetaC(X$3,$C$4,$H14,$D$4,0,$E$5)</f>
        <v>-1.0912229131042803</v>
      </c>
      <c r="AT81" cm="1">
        <f t="array" ref="AT81">ThetaC(Y$3,$C$4,$H14,$D$4,0,$E$5)</f>
        <v>-1.0419547864254615</v>
      </c>
    </row>
    <row r="82" spans="7:46" x14ac:dyDescent="0.2">
      <c r="H82">
        <v>3</v>
      </c>
      <c r="I82" cm="1">
        <f t="array" ref="I82">ThetaC(I$3,$C$4,$H15,$D$4,0,$E$4)</f>
        <v>-0.71823551587097556</v>
      </c>
      <c r="J82" cm="1">
        <f t="array" ref="J82">ThetaC(J$3,$C$4,$H15,$D$4,0,$E$4)</f>
        <v>-1.0118325385721587</v>
      </c>
      <c r="K82" cm="1">
        <f t="array" ref="K82">ThetaC(K$3,$C$4,$H15,$D$4,0,$E$4)</f>
        <v>-1.3270905927474668</v>
      </c>
      <c r="L82" cm="1">
        <f t="array" ref="L82">ThetaC(L$3,$C$4,$H15,$D$4,0,$E$4)</f>
        <v>-1.6421461549550194</v>
      </c>
      <c r="M82" cm="1">
        <f t="array" ref="M82">ThetaC(M$3,$C$4,$H15,$D$4,0,$E$4)</f>
        <v>-1.937029066470157</v>
      </c>
      <c r="N82" cm="1">
        <f t="array" ref="N82">ThetaC(N$3,$C$4,$H15,$D$4,0,$E$4)</f>
        <v>-2.1960091181107821</v>
      </c>
      <c r="O82" cm="1">
        <f t="array" ref="O82">ThetaC(O$3,$C$4,$H15,$D$4,0,$E$4)</f>
        <v>-2.4086335119519844</v>
      </c>
      <c r="P82" cm="1">
        <f t="array" ref="P82">ThetaC(P$3,$C$4,$H15,$D$4,0,$E$4)</f>
        <v>-2.5697082491994965</v>
      </c>
      <c r="Q82" cm="1">
        <f t="array" ref="Q82">ThetaC(Q$3,$C$4,$H15,$D$4,0,$E$4)</f>
        <v>-2.6785916148822886</v>
      </c>
      <c r="R82" cm="1">
        <f t="array" ref="R82">ThetaC(R$3,$C$4,$H15,$D$4,0,$E$4)</f>
        <v>-2.7381483840361835</v>
      </c>
      <c r="S82" cm="1">
        <f t="array" ref="S82">ThetaC(S$3,$C$4,$H15,$D$4,0,$E$4)</f>
        <v>-2.7536309795173581</v>
      </c>
      <c r="T82" cm="1">
        <f t="array" ref="T82">ThetaC(T$3,$C$4,$H15,$D$4,0,$E$4)</f>
        <v>-2.7316580533040917</v>
      </c>
      <c r="U82" cm="1">
        <f t="array" ref="U82">ThetaC(U$3,$C$4,$H15,$D$4,0,$E$4)</f>
        <v>-2.6793781545001574</v>
      </c>
      <c r="V82" cm="1">
        <f t="array" ref="V82">ThetaC(V$3,$C$4,$H15,$D$4,0,$E$4)</f>
        <v>-2.6038458442816586</v>
      </c>
      <c r="W82" cm="1">
        <f t="array" ref="W82">ThetaC(W$3,$C$4,$H15,$D$4,0,$E$4)</f>
        <v>-2.5115997348664667</v>
      </c>
      <c r="X82" cm="1">
        <f t="array" ref="X82">ThetaC(X$3,$C$4,$H15,$D$4,0,$E$4)</f>
        <v>-2.4084120912359803</v>
      </c>
      <c r="Y82" cm="1">
        <f t="array" ref="Y82">ThetaC(Y$3,$C$4,$H15,$D$4,0,$E$4)</f>
        <v>-2.2991724277172452</v>
      </c>
      <c r="AC82">
        <v>3</v>
      </c>
      <c r="AD82" cm="1">
        <f t="array" ref="AD82">ThetaC(I$3,$C$4,$H15,$D$4,0,$E$5)</f>
        <v>-2.0608802214615154E-2</v>
      </c>
      <c r="AE82" cm="1">
        <f t="array" ref="AE82">ThetaC(J$3,$C$4,$H15,$D$4,0,$E$5)</f>
        <v>-7.0601881338426944E-2</v>
      </c>
      <c r="AF82" cm="1">
        <f t="array" ref="AF82">ThetaC(K$3,$C$4,$H15,$D$4,0,$E$5)</f>
        <v>-0.18324275378839761</v>
      </c>
      <c r="AG82" cm="1">
        <f t="array" ref="AG82">ThetaC(L$3,$C$4,$H15,$D$4,0,$E$5)</f>
        <v>-0.37965888564532541</v>
      </c>
      <c r="AH82" cm="1">
        <f t="array" ref="AH82">ThetaC(M$3,$C$4,$H15,$D$4,0,$E$5)</f>
        <v>-0.65422441810309706</v>
      </c>
      <c r="AI82" cm="1">
        <f t="array" ref="AI82">ThetaC(N$3,$C$4,$H15,$D$4,0,$E$5)</f>
        <v>-0.96899254465018148</v>
      </c>
      <c r="AJ82" cm="1">
        <f t="array" ref="AJ82">ThetaC(O$3,$C$4,$H15,$D$4,0,$E$5)</f>
        <v>-1.2674633598458167</v>
      </c>
      <c r="AK82" cm="1">
        <f t="array" ref="AK82">ThetaC(P$3,$C$4,$H15,$D$4,0,$E$5)</f>
        <v>-1.4980318249102007</v>
      </c>
      <c r="AL82" cm="1">
        <f t="array" ref="AL82">ThetaC(Q$3,$C$4,$H15,$D$4,0,$E$5)</f>
        <v>-1.6321368840120556</v>
      </c>
      <c r="AM82" cm="1">
        <f t="array" ref="AM82">ThetaC(R$3,$C$4,$H15,$D$4,0,$E$5)</f>
        <v>-1.6689769613820471</v>
      </c>
      <c r="AN82" cm="1">
        <f t="array" ref="AN82">ThetaC(S$3,$C$4,$H15,$D$4,0,$E$5)</f>
        <v>-1.628547857138261</v>
      </c>
      <c r="AO82" cm="1">
        <f t="array" ref="AO82">ThetaC(T$3,$C$4,$H15,$D$4,0,$E$5)</f>
        <v>-1.539912446389601</v>
      </c>
      <c r="AP82" cm="1">
        <f t="array" ref="AP82">ThetaC(U$3,$C$4,$H15,$D$4,0,$E$5)</f>
        <v>-1.4309743027329573</v>
      </c>
      <c r="AQ82" cm="1">
        <f t="array" ref="AQ82">ThetaC(V$3,$C$4,$H15,$D$4,0,$E$5)</f>
        <v>-1.3226705310119193</v>
      </c>
      <c r="AR82" cm="1">
        <f t="array" ref="AR82">ThetaC(W$3,$C$4,$H15,$D$4,0,$E$5)</f>
        <v>-1.2274725322142057</v>
      </c>
      <c r="AS82" cm="1">
        <f t="array" ref="AS82">ThetaC(X$3,$C$4,$H15,$D$4,0,$E$5)</f>
        <v>-1.1506261079389193</v>
      </c>
      <c r="AT82" cm="1">
        <f t="array" ref="AT82">ThetaC(Y$3,$C$4,$H15,$D$4,0,$E$5)</f>
        <v>-1.0924586913900254</v>
      </c>
    </row>
    <row r="83" spans="7:46" x14ac:dyDescent="0.2">
      <c r="H83">
        <v>4</v>
      </c>
      <c r="I83" cm="1">
        <f t="array" ref="I83">ThetaC(I$3,$C$4,$H16,$D$4,0,$E$4)</f>
        <v>-0.82350159605647766</v>
      </c>
      <c r="J83" cm="1">
        <f t="array" ref="J83">ThetaC(J$3,$C$4,$H16,$D$4,0,$E$4)</f>
        <v>-1.0736761061365223</v>
      </c>
      <c r="K83" cm="1">
        <f t="array" ref="K83">ThetaC(K$3,$C$4,$H16,$D$4,0,$E$4)</f>
        <v>-1.3264519660887186</v>
      </c>
      <c r="L83" cm="1">
        <f t="array" ref="L83">ThetaC(L$3,$C$4,$H16,$D$4,0,$E$4)</f>
        <v>-1.5684360973535147</v>
      </c>
      <c r="M83" cm="1">
        <f t="array" ref="M83">ThetaC(M$3,$C$4,$H16,$D$4,0,$E$4)</f>
        <v>-1.7888923915920518</v>
      </c>
      <c r="N83" cm="1">
        <f t="array" ref="N83">ThetaC(N$3,$C$4,$H16,$D$4,0,$E$4)</f>
        <v>-1.9802656786724686</v>
      </c>
      <c r="O83" cm="1">
        <f t="array" ref="O83">ThetaC(O$3,$C$4,$H16,$D$4,0,$E$4)</f>
        <v>-2.1381475393542368</v>
      </c>
      <c r="P83" cm="1">
        <f t="array" ref="P83">ThetaC(P$3,$C$4,$H16,$D$4,0,$E$4)</f>
        <v>-2.2608931215641359</v>
      </c>
      <c r="Q83" cm="1">
        <f t="array" ref="Q83">ThetaC(Q$3,$C$4,$H16,$D$4,0,$E$4)</f>
        <v>-2.3490676314387358</v>
      </c>
      <c r="R83" cm="1">
        <f t="array" ref="R83">ThetaC(R$3,$C$4,$H16,$D$4,0,$E$4)</f>
        <v>-2.4048521549857802</v>
      </c>
      <c r="S83" cm="1">
        <f t="array" ref="S83">ThetaC(S$3,$C$4,$H16,$D$4,0,$E$4)</f>
        <v>-2.4314903567491921</v>
      </c>
      <c r="T83" cm="1">
        <f t="array" ref="T83">ThetaC(T$3,$C$4,$H16,$D$4,0,$E$4)</f>
        <v>-2.4328188803790538</v>
      </c>
      <c r="U83" cm="1">
        <f t="array" ref="U83">ThetaC(U$3,$C$4,$H16,$D$4,0,$E$4)</f>
        <v>-2.412896913814671</v>
      </c>
      <c r="V83" cm="1">
        <f t="array" ref="V83">ThetaC(V$3,$C$4,$H16,$D$4,0,$E$4)</f>
        <v>-2.3757331666467798</v>
      </c>
      <c r="W83" cm="1">
        <f t="array" ref="W83">ThetaC(W$3,$C$4,$H16,$D$4,0,$E$4)</f>
        <v>-2.3250990933122937</v>
      </c>
      <c r="X83" cm="1">
        <f t="array" ref="X83">ThetaC(X$3,$C$4,$H16,$D$4,0,$E$4)</f>
        <v>-2.2644131784331818</v>
      </c>
      <c r="Y83" cm="1">
        <f t="array" ref="Y83">ThetaC(Y$3,$C$4,$H16,$D$4,0,$E$4)</f>
        <v>-2.1966804739906904</v>
      </c>
      <c r="AC83">
        <v>4</v>
      </c>
      <c r="AD83" cm="1">
        <f t="array" ref="AD83">ThetaC(I$3,$C$4,$H16,$D$4,0,$E$5)</f>
        <v>-5.3953367537049227E-2</v>
      </c>
      <c r="AE83" cm="1">
        <f t="array" ref="AE83">ThetaC(J$3,$C$4,$H16,$D$4,0,$E$5)</f>
        <v>-0.13546760228116439</v>
      </c>
      <c r="AF83" cm="1">
        <f t="array" ref="AF83">ThetaC(K$3,$C$4,$H16,$D$4,0,$E$5)</f>
        <v>-0.27668874124441334</v>
      </c>
      <c r="AG83" cm="1">
        <f t="array" ref="AG83">ThetaC(L$3,$C$4,$H16,$D$4,0,$E$5)</f>
        <v>-0.47812250038049475</v>
      </c>
      <c r="AH83" cm="1">
        <f t="array" ref="AH83">ThetaC(M$3,$C$4,$H16,$D$4,0,$E$5)</f>
        <v>-0.72088166490353678</v>
      </c>
      <c r="AI83" cm="1">
        <f t="array" ref="AI83">ThetaC(N$3,$C$4,$H16,$D$4,0,$E$5)</f>
        <v>-0.97209769273009516</v>
      </c>
      <c r="AJ83" cm="1">
        <f t="array" ref="AJ83">ThetaC(O$3,$C$4,$H16,$D$4,0,$E$5)</f>
        <v>-1.1964633419513619</v>
      </c>
      <c r="AK83" cm="1">
        <f t="array" ref="AK83">ThetaC(P$3,$C$4,$H16,$D$4,0,$E$5)</f>
        <v>-1.3672555247453544</v>
      </c>
      <c r="AL83" cm="1">
        <f t="array" ref="AL83">ThetaC(Q$3,$C$4,$H16,$D$4,0,$E$5)</f>
        <v>-1.4721304236675186</v>
      </c>
      <c r="AM83" cm="1">
        <f t="array" ref="AM83">ThetaC(R$3,$C$4,$H16,$D$4,0,$E$5)</f>
        <v>-1.5128881577790412</v>
      </c>
      <c r="AN83" cm="1">
        <f t="array" ref="AN83">ThetaC(S$3,$C$4,$H16,$D$4,0,$E$5)</f>
        <v>-1.5012444403505649</v>
      </c>
      <c r="AO83" cm="1">
        <f t="array" ref="AO83">ThetaC(T$3,$C$4,$H16,$D$4,0,$E$5)</f>
        <v>-1.4534034312700119</v>
      </c>
      <c r="AP83" cm="1">
        <f t="array" ref="AP83">ThetaC(U$3,$C$4,$H16,$D$4,0,$E$5)</f>
        <v>-1.3854991612799537</v>
      </c>
      <c r="AQ83" cm="1">
        <f t="array" ref="AQ83">ThetaC(V$3,$C$4,$H16,$D$4,0,$E$5)</f>
        <v>-1.3107948188691811</v>
      </c>
      <c r="AR83" cm="1">
        <f t="array" ref="AR83">ThetaC(W$3,$C$4,$H16,$D$4,0,$E$5)</f>
        <v>-1.2385995084565897</v>
      </c>
      <c r="AS83" cm="1">
        <f t="array" ref="AS83">ThetaC(X$3,$C$4,$H16,$D$4,0,$E$5)</f>
        <v>-1.1744006095766661</v>
      </c>
      <c r="AT83" cm="1">
        <f t="array" ref="AT83">ThetaC(Y$3,$C$4,$H16,$D$4,0,$E$5)</f>
        <v>-1.1206318608312233</v>
      </c>
    </row>
    <row r="84" spans="7:46" x14ac:dyDescent="0.2">
      <c r="H84">
        <v>5</v>
      </c>
      <c r="I84" cm="1">
        <f t="array" ref="I84">ThetaC(I$3,$C$4,$H17,$D$4,0,$E$4)</f>
        <v>-0.87286617052590232</v>
      </c>
      <c r="J84" cm="1">
        <f t="array" ref="J84">ThetaC(J$3,$C$4,$H17,$D$4,0,$E$4)</f>
        <v>-1.0865140526166011</v>
      </c>
      <c r="K84" cm="1">
        <f t="array" ref="K84">ThetaC(K$3,$C$4,$H17,$D$4,0,$E$4)</f>
        <v>-1.295122823426228</v>
      </c>
      <c r="L84" cm="1">
        <f t="array" ref="L84">ThetaC(L$3,$C$4,$H17,$D$4,0,$E$4)</f>
        <v>-1.4902810165017013</v>
      </c>
      <c r="M84" cm="1">
        <f t="array" ref="M84">ThetaC(M$3,$C$4,$H17,$D$4,0,$E$4)</f>
        <v>-1.665812016068891</v>
      </c>
      <c r="N84" cm="1">
        <f t="array" ref="N84">ThetaC(N$3,$C$4,$H17,$D$4,0,$E$4)</f>
        <v>-1.8177553654206444</v>
      </c>
      <c r="O84" cm="1">
        <f t="array" ref="O84">ThetaC(O$3,$C$4,$H17,$D$4,0,$E$4)</f>
        <v>-1.9441194313891628</v>
      </c>
      <c r="P84" cm="1">
        <f t="array" ref="P84">ThetaC(P$3,$C$4,$H17,$D$4,0,$E$4)</f>
        <v>-2.0445236331417487</v>
      </c>
      <c r="Q84" cm="1">
        <f t="array" ref="Q84">ThetaC(Q$3,$C$4,$H17,$D$4,0,$E$4)</f>
        <v>-2.1198126421010919</v>
      </c>
      <c r="R84" cm="1">
        <f t="array" ref="R84">ThetaC(R$3,$C$4,$H17,$D$4,0,$E$4)</f>
        <v>-2.1716932465298098</v>
      </c>
      <c r="S84" cm="1">
        <f t="array" ref="S84">ThetaC(S$3,$C$4,$H17,$D$4,0,$E$4)</f>
        <v>-2.2024204397098712</v>
      </c>
      <c r="T84" cm="1">
        <f t="array" ref="T84">ThetaC(T$3,$C$4,$H17,$D$4,0,$E$4)</f>
        <v>-2.2145427852973043</v>
      </c>
      <c r="U84" cm="1">
        <f t="array" ref="U84">ThetaC(U$3,$C$4,$H17,$D$4,0,$E$4)</f>
        <v>-2.2107068879361922</v>
      </c>
      <c r="V84" cm="1">
        <f t="array" ref="V84">ThetaC(V$3,$C$4,$H17,$D$4,0,$E$4)</f>
        <v>-2.1935151829262223</v>
      </c>
      <c r="W84" cm="1">
        <f t="array" ref="W84">ThetaC(W$3,$C$4,$H17,$D$4,0,$E$4)</f>
        <v>-2.1654287536019421</v>
      </c>
      <c r="X84" cm="1">
        <f t="array" ref="X84">ThetaC(X$3,$C$4,$H17,$D$4,0,$E$4)</f>
        <v>-2.1287063151543002</v>
      </c>
      <c r="Y84" cm="1">
        <f t="array" ref="Y84">ThetaC(Y$3,$C$4,$H17,$D$4,0,$E$4)</f>
        <v>-2.0853710293053753</v>
      </c>
      <c r="AC84">
        <v>5</v>
      </c>
      <c r="AD84" cm="1">
        <f t="array" ref="AD84">ThetaC(I$3,$C$4,$H17,$D$4,0,$E$5)</f>
        <v>-9.427503688995878E-2</v>
      </c>
      <c r="AE84" cm="1">
        <f t="array" ref="AE84">ThetaC(J$3,$C$4,$H17,$D$4,0,$E$5)</f>
        <v>-0.19660776291550636</v>
      </c>
      <c r="AF84" cm="1">
        <f t="array" ref="AF84">ThetaC(K$3,$C$4,$H17,$D$4,0,$E$5)</f>
        <v>-0.34806918998601771</v>
      </c>
      <c r="AG84" cm="1">
        <f t="array" ref="AG84">ThetaC(L$3,$C$4,$H17,$D$4,0,$E$5)</f>
        <v>-0.53979986371556854</v>
      </c>
      <c r="AH84" cm="1">
        <f t="array" ref="AH84">ThetaC(M$3,$C$4,$H17,$D$4,0,$E$5)</f>
        <v>-0.7516408875146191</v>
      </c>
      <c r="AI84" cm="1">
        <f t="array" ref="AI84">ThetaC(N$3,$C$4,$H17,$D$4,0,$E$5)</f>
        <v>-0.95848597221824339</v>
      </c>
      <c r="AJ84" cm="1">
        <f t="array" ref="AJ84">ThetaC(O$3,$C$4,$H17,$D$4,0,$E$5)</f>
        <v>-1.1376031377479858</v>
      </c>
      <c r="AK84" cm="1">
        <f t="array" ref="AK84">ThetaC(P$3,$C$4,$H17,$D$4,0,$E$5)</f>
        <v>-1.2738042093903825</v>
      </c>
      <c r="AL84" cm="1">
        <f t="array" ref="AL84">ThetaC(Q$3,$C$4,$H17,$D$4,0,$E$5)</f>
        <v>-1.3612230144410415</v>
      </c>
      <c r="AM84" cm="1">
        <f t="array" ref="AM84">ThetaC(R$3,$C$4,$H17,$D$4,0,$E$5)</f>
        <v>-1.4021958595339319</v>
      </c>
      <c r="AN84" cm="1">
        <f t="array" ref="AN84">ThetaC(S$3,$C$4,$H17,$D$4,0,$E$5)</f>
        <v>-1.404563056818029</v>
      </c>
      <c r="AO84" cm="1">
        <f t="array" ref="AO84">ThetaC(T$3,$C$4,$H17,$D$4,0,$E$5)</f>
        <v>-1.378687667880929</v>
      </c>
      <c r="AP84" cm="1">
        <f t="array" ref="AP84">ThetaC(U$3,$C$4,$H17,$D$4,0,$E$5)</f>
        <v>-1.3350300764661558</v>
      </c>
      <c r="AQ84" cm="1">
        <f t="array" ref="AQ84">ThetaC(V$3,$C$4,$H17,$D$4,0,$E$5)</f>
        <v>-1.282604702240145</v>
      </c>
      <c r="AR84" cm="1">
        <f t="array" ref="AR84">ThetaC(W$3,$C$4,$H17,$D$4,0,$E$5)</f>
        <v>-1.228278865103833</v>
      </c>
      <c r="AS84" cm="1">
        <f t="array" ref="AS84">ThetaC(X$3,$C$4,$H17,$D$4,0,$E$5)</f>
        <v>-1.1766945849622656</v>
      </c>
      <c r="AT84" cm="1">
        <f t="array" ref="AT84">ThetaC(Y$3,$C$4,$H17,$D$4,0,$E$5)</f>
        <v>-1.130558364559004</v>
      </c>
    </row>
    <row r="86" spans="7:46" x14ac:dyDescent="0.2">
      <c r="I86">
        <v>60</v>
      </c>
      <c r="J86">
        <v>65</v>
      </c>
      <c r="K86">
        <v>70</v>
      </c>
      <c r="L86">
        <v>75</v>
      </c>
      <c r="M86">
        <v>80</v>
      </c>
      <c r="N86">
        <v>85</v>
      </c>
      <c r="O86">
        <v>90</v>
      </c>
      <c r="P86">
        <v>95</v>
      </c>
      <c r="Q86">
        <v>100</v>
      </c>
      <c r="R86">
        <v>105</v>
      </c>
      <c r="S86">
        <v>110</v>
      </c>
      <c r="T86">
        <v>115</v>
      </c>
      <c r="U86">
        <v>120</v>
      </c>
      <c r="V86">
        <v>125</v>
      </c>
      <c r="W86">
        <v>130</v>
      </c>
      <c r="X86">
        <v>135</v>
      </c>
      <c r="Y86">
        <v>140</v>
      </c>
      <c r="AD86">
        <v>60</v>
      </c>
      <c r="AE86">
        <v>65</v>
      </c>
      <c r="AF86">
        <v>70</v>
      </c>
      <c r="AG86">
        <v>75</v>
      </c>
      <c r="AH86">
        <v>80</v>
      </c>
      <c r="AI86">
        <v>85</v>
      </c>
      <c r="AJ86">
        <v>90</v>
      </c>
      <c r="AK86">
        <v>95</v>
      </c>
      <c r="AL86">
        <v>100</v>
      </c>
      <c r="AM86">
        <v>105</v>
      </c>
      <c r="AN86">
        <v>110</v>
      </c>
      <c r="AO86">
        <v>115</v>
      </c>
      <c r="AP86">
        <v>120</v>
      </c>
      <c r="AQ86">
        <v>125</v>
      </c>
      <c r="AR86">
        <v>130</v>
      </c>
      <c r="AS86">
        <v>135</v>
      </c>
      <c r="AT86">
        <v>140</v>
      </c>
    </row>
    <row r="87" spans="7:46" x14ac:dyDescent="0.2">
      <c r="H87">
        <v>0.1</v>
      </c>
      <c r="I87" cm="1">
        <f t="array" ref="I87">RhoC(I$3,$C$4,$H4,$D$4,0,$E$4)</f>
        <v>2.9155373317769574E-15</v>
      </c>
      <c r="J87" cm="1">
        <f t="array" ref="J87">RhoC(J$3,$C$4,$H4,$D$4,0,$E$4)</f>
        <v>4.3284662987202277E-11</v>
      </c>
      <c r="K87" cm="1">
        <f t="array" ref="K87">RhoC(K$3,$C$4,$H4,$D$4,0,$E$4)</f>
        <v>7.7692467200589755E-8</v>
      </c>
      <c r="L87" cm="1">
        <f t="array" ref="L87">RhoC(L$3,$C$4,$H4,$D$4,0,$E$4)</f>
        <v>2.5013539023405381E-5</v>
      </c>
      <c r="M87" cm="1">
        <f t="array" ref="M87">RhoC(M$3,$C$4,$H4,$D$4,0,$E$4)</f>
        <v>1.9684019476440403E-3</v>
      </c>
      <c r="N87" cm="1">
        <f t="array" ref="N87">RhoC(N$3,$C$4,$H4,$D$4,0,$E$4)</f>
        <v>4.8575796157643812E-2</v>
      </c>
      <c r="O87" cm="1">
        <f t="array" ref="O87">RhoC(O$3,$C$4,$H4,$D$4,0,$E$4)</f>
        <v>0.46266505291057575</v>
      </c>
      <c r="P87" cm="1">
        <f t="array" ref="P87">RhoC(P$3,$C$4,$H4,$D$4,0,$E$4)</f>
        <v>2.0396276517295933</v>
      </c>
      <c r="Q87" cm="1">
        <f t="array" ref="Q87">RhoC(Q$3,$C$4,$H4,$D$4,0,$E$4)</f>
        <v>4.9319898584384116</v>
      </c>
      <c r="R87" cm="1">
        <f t="array" ref="R87">RhoC(R$3,$C$4,$H4,$D$4,0,$E$4)</f>
        <v>7.7428944428213189</v>
      </c>
      <c r="S87" cm="1">
        <f t="array" ref="S87">RhoC(S$3,$C$4,$H4,$D$4,0,$E$4)</f>
        <v>9.3111062933054924</v>
      </c>
      <c r="T87" cm="1">
        <f t="array" ref="T87">RhoC(T$3,$C$4,$H4,$D$4,0,$E$4)</f>
        <v>9.8489758625579285</v>
      </c>
      <c r="U87" cm="1">
        <f t="array" ref="U87">RhoC(U$3,$C$4,$H4,$D$4,0,$E$4)</f>
        <v>9.9693029945287854</v>
      </c>
      <c r="V87" cm="1">
        <f t="array" ref="V87">RhoC(V$3,$C$4,$H4,$D$4,0,$E$4)</f>
        <v>9.9877868050641503</v>
      </c>
      <c r="W87" cm="1">
        <f t="array" ref="W87">RhoC(W$3,$C$4,$H4,$D$4,0,$E$4)</f>
        <v>9.989825783141761</v>
      </c>
      <c r="X87" cm="1">
        <f t="array" ref="X87">RhoC(X$3,$C$4,$H4,$D$4,0,$E$4)</f>
        <v>9.9899937425487071</v>
      </c>
      <c r="Y87" cm="1">
        <f t="array" ref="Y87">RhoC(Y$3,$C$4,$H4,$D$4,0,$E$4)</f>
        <v>9.9900044333117659</v>
      </c>
      <c r="AC87">
        <v>0.1</v>
      </c>
      <c r="AD87" cm="1">
        <f t="array" ref="AD87">RhoC(I$3,$C$4,$H4,$D$4,0,$E$5)</f>
        <v>6.8997547428964834E-58</v>
      </c>
      <c r="AE87" cm="1">
        <f t="array" ref="AE87">RhoC(J$3,$C$4,$H4,$D$4,0,$E$5)</f>
        <v>1.8240256915210587E-41</v>
      </c>
      <c r="AF87" cm="1">
        <f t="array" ref="AF87">RhoC(K$3,$C$4,$H4,$D$4,0,$E$5)</f>
        <v>9.9546668867391585E-29</v>
      </c>
      <c r="AG87" cm="1">
        <f t="array" ref="AG87">RhoC(L$3,$C$4,$H4,$D$4,0,$E$5)</f>
        <v>5.3493516241294035E-19</v>
      </c>
      <c r="AH87" cm="1">
        <f t="array" ref="AH87">RhoC(M$3,$C$4,$H4,$D$4,0,$E$5)</f>
        <v>9.5606229748062578E-12</v>
      </c>
      <c r="AI87" cm="1">
        <f t="array" ref="AI87">RhoC(N$3,$C$4,$H4,$D$4,0,$E$5)</f>
        <v>1.4981715104281291E-6</v>
      </c>
      <c r="AJ87" cm="1">
        <f t="array" ref="AJ87">RhoC(O$3,$C$4,$H4,$D$4,0,$E$5)</f>
        <v>4.5615435801455873E-3</v>
      </c>
      <c r="AK87" cm="1">
        <f t="array" ref="AK87">RhoC(P$3,$C$4,$H4,$D$4,0,$E$5)</f>
        <v>0.54058155808872665</v>
      </c>
      <c r="AL87" cm="1">
        <f t="array" ref="AL87">RhoC(Q$3,$C$4,$H4,$D$4,0,$E$5)</f>
        <v>5.058015139895339</v>
      </c>
      <c r="AM87" cm="1">
        <f t="array" ref="AM87">RhoC(R$3,$C$4,$H4,$D$4,0,$E$5)</f>
        <v>9.3952533892679782</v>
      </c>
      <c r="AN87" cm="1">
        <f t="array" ref="AN87">RhoC(S$3,$C$4,$H4,$D$4,0,$E$5)</f>
        <v>9.9777807903598905</v>
      </c>
      <c r="AO87" cm="1">
        <f t="array" ref="AO87">RhoC(T$3,$C$4,$H4,$D$4,0,$E$5)</f>
        <v>9.9899591088745563</v>
      </c>
      <c r="AP87" cm="1">
        <f t="array" ref="AP87">RhoC(U$3,$C$4,$H4,$D$4,0,$E$5)</f>
        <v>9.9900049613135682</v>
      </c>
      <c r="AQ87" cm="1">
        <f t="array" ref="AQ87">RhoC(V$3,$C$4,$H4,$D$4,0,$E$5)</f>
        <v>9.9900049983261354</v>
      </c>
      <c r="AR87" cm="1">
        <f t="array" ref="AR87">RhoC(W$3,$C$4,$H4,$D$4,0,$E$5)</f>
        <v>9.9900049983337507</v>
      </c>
      <c r="AS87" cm="1">
        <f t="array" ref="AS87">RhoC(X$3,$C$4,$H4,$D$4,0,$E$5)</f>
        <v>9.9900049983337507</v>
      </c>
      <c r="AT87" cm="1">
        <f t="array" ref="AT87">RhoC(Y$3,$C$4,$H4,$D$4,0,$E$5)</f>
        <v>9.9900049983337507</v>
      </c>
    </row>
    <row r="88" spans="7:46" x14ac:dyDescent="0.2">
      <c r="H88">
        <v>0.2</v>
      </c>
      <c r="I88" cm="1">
        <f t="array" ref="I88">RhoC(I$3,$C$4,$H5,$D$4,0,$E$4)</f>
        <v>9.8144996773923596E-8</v>
      </c>
      <c r="J88" cm="1">
        <f t="array" ref="J88">RhoC(J$3,$C$4,$H5,$D$4,0,$E$4)</f>
        <v>1.3045620291245922E-5</v>
      </c>
      <c r="K88" cm="1">
        <f t="array" ref="K88">RhoC(K$3,$C$4,$H5,$D$4,0,$E$4)</f>
        <v>6.0569776566511083E-4</v>
      </c>
      <c r="L88" cm="1">
        <f t="array" ref="L88">RhoC(L$3,$C$4,$H5,$D$4,0,$E$4)</f>
        <v>1.1981739309242229E-2</v>
      </c>
      <c r="M88" cm="1">
        <f t="array" ref="M88">RhoC(M$3,$C$4,$H5,$D$4,0,$E$4)</f>
        <v>0.11806153679816479</v>
      </c>
      <c r="N88" cm="1">
        <f t="array" ref="N88">RhoC(N$3,$C$4,$H5,$D$4,0,$E$4)</f>
        <v>0.65728086131009644</v>
      </c>
      <c r="O88" cm="1">
        <f t="array" ref="O88">RhoC(O$3,$C$4,$H5,$D$4,0,$E$4)</f>
        <v>2.2955278113909654</v>
      </c>
      <c r="P88" cm="1">
        <f t="array" ref="P88">RhoC(P$3,$C$4,$H5,$D$4,0,$E$4)</f>
        <v>5.5018256030450017</v>
      </c>
      <c r="Q88" cm="1">
        <f t="array" ref="Q88">RhoC(Q$3,$C$4,$H5,$D$4,0,$E$4)</f>
        <v>9.8019788801767227</v>
      </c>
      <c r="R88" cm="1">
        <f t="array" ref="R88">RhoC(R$3,$C$4,$H5,$D$4,0,$E$4)</f>
        <v>13.963207315360485</v>
      </c>
      <c r="S88" cm="1">
        <f t="array" ref="S88">RhoC(S$3,$C$4,$H5,$D$4,0,$E$4)</f>
        <v>16.997597069863819</v>
      </c>
      <c r="T88" cm="1">
        <f t="array" ref="T88">RhoC(T$3,$C$4,$H5,$D$4,0,$E$4)</f>
        <v>18.727453260072849</v>
      </c>
      <c r="U88" cm="1">
        <f t="array" ref="U88">RhoC(U$3,$C$4,$H5,$D$4,0,$E$4)</f>
        <v>19.522974084010123</v>
      </c>
      <c r="V88" cm="1">
        <f t="array" ref="V88">RhoC(V$3,$C$4,$H5,$D$4,0,$E$4)</f>
        <v>19.826121374631196</v>
      </c>
      <c r="W88" cm="1">
        <f t="array" ref="W88">RhoC(W$3,$C$4,$H5,$D$4,0,$E$4)</f>
        <v>19.924080062887658</v>
      </c>
      <c r="X88" cm="1">
        <f t="array" ref="X88">RhoC(X$3,$C$4,$H5,$D$4,0,$E$4)</f>
        <v>19.95146289139338</v>
      </c>
      <c r="Y88" cm="1">
        <f t="array" ref="Y88">RhoC(Y$3,$C$4,$H5,$D$4,0,$E$4)</f>
        <v>19.958199888181856</v>
      </c>
      <c r="AC88">
        <v>0.2</v>
      </c>
      <c r="AD88" cm="1">
        <f t="array" ref="AD88">RhoC(I$3,$C$4,$H5,$D$4,0,$E$5)</f>
        <v>4.1705600383653552E-29</v>
      </c>
      <c r="AE88" cm="1">
        <f t="array" ref="AE88">RhoC(J$3,$C$4,$H5,$D$4,0,$E$5)</f>
        <v>7.2236755311601065E-21</v>
      </c>
      <c r="AF88" cm="1">
        <f t="array" ref="AF88">RhoC(K$3,$C$4,$H5,$D$4,0,$E$5)</f>
        <v>1.8148881916339139E-14</v>
      </c>
      <c r="AG88" cm="1">
        <f t="array" ref="AG88">RhoC(L$3,$C$4,$H5,$D$4,0,$E$5)</f>
        <v>1.4484262281308252E-9</v>
      </c>
      <c r="AH88" cm="1">
        <f t="array" ref="AH88">RhoC(M$3,$C$4,$H5,$D$4,0,$E$5)</f>
        <v>6.7762571900260917E-6</v>
      </c>
      <c r="AI88" cm="1">
        <f t="array" ref="AI88">RhoC(N$3,$C$4,$H5,$D$4,0,$E$5)</f>
        <v>3.0362011070892195E-3</v>
      </c>
      <c r="AJ88" cm="1">
        <f t="array" ref="AJ88">RhoC(O$3,$C$4,$H5,$D$4,0,$E$5)</f>
        <v>0.19578943327318746</v>
      </c>
      <c r="AK88" cm="1">
        <f t="array" ref="AK88">RhoC(P$3,$C$4,$H5,$D$4,0,$E$5)</f>
        <v>2.6024085650062818</v>
      </c>
      <c r="AL88" cm="1">
        <f t="array" ref="AL88">RhoC(Q$3,$C$4,$H5,$D$4,0,$E$5)</f>
        <v>10.158061093169938</v>
      </c>
      <c r="AM88" cm="1">
        <f t="array" ref="AM88">RhoC(R$3,$C$4,$H5,$D$4,0,$E$5)</f>
        <v>17.309729794666577</v>
      </c>
      <c r="AN88" cm="1">
        <f t="array" ref="AN88">RhoC(S$3,$C$4,$H5,$D$4,0,$E$5)</f>
        <v>19.647918755774995</v>
      </c>
      <c r="AO88" cm="1">
        <f t="array" ref="AO88">RhoC(T$3,$C$4,$H5,$D$4,0,$E$5)</f>
        <v>19.943607403579598</v>
      </c>
      <c r="AP88" cm="1">
        <f t="array" ref="AP88">RhoC(U$3,$C$4,$H5,$D$4,0,$E$5)</f>
        <v>19.959626211406121</v>
      </c>
      <c r="AQ88" cm="1">
        <f t="array" ref="AQ88">RhoC(V$3,$C$4,$H5,$D$4,0,$E$5)</f>
        <v>19.960034597449695</v>
      </c>
      <c r="AR88" cm="1">
        <f t="array" ref="AR88">RhoC(W$3,$C$4,$H5,$D$4,0,$E$5)</f>
        <v>19.960039934571277</v>
      </c>
      <c r="AS88" cm="1">
        <f t="array" ref="AS88">RhoC(X$3,$C$4,$H5,$D$4,0,$E$5)</f>
        <v>19.960039973180681</v>
      </c>
      <c r="AT88" cm="1">
        <f t="array" ref="AT88">RhoC(Y$3,$C$4,$H5,$D$4,0,$E$5)</f>
        <v>19.960039973346213</v>
      </c>
    </row>
    <row r="89" spans="7:46" x14ac:dyDescent="0.2">
      <c r="G89" t="s">
        <v>40</v>
      </c>
      <c r="H89">
        <v>0.3</v>
      </c>
      <c r="I89" cm="1">
        <f t="array" ref="I89">RhoC(I$3,$C$4,$H6,$D$4,0,$E$4)</f>
        <v>4.0745379654174123E-5</v>
      </c>
      <c r="J89" cm="1">
        <f t="array" ref="J89">RhoC(J$3,$C$4,$H6,$D$4,0,$E$4)</f>
        <v>1.1214508890306986E-3</v>
      </c>
      <c r="K89" cm="1">
        <f t="array" ref="K89">RhoC(K$3,$C$4,$H6,$D$4,0,$E$4)</f>
        <v>1.5340110803905882E-2</v>
      </c>
      <c r="L89" cm="1">
        <f t="array" ref="L89">RhoC(L$3,$C$4,$H6,$D$4,0,$E$4)</f>
        <v>0.11911631216126904</v>
      </c>
      <c r="M89" cm="1">
        <f t="array" ref="M89">RhoC(M$3,$C$4,$H6,$D$4,0,$E$4)</f>
        <v>0.58294742224800944</v>
      </c>
      <c r="N89" cm="1">
        <f t="array" ref="N89">RhoC(N$3,$C$4,$H6,$D$4,0,$E$4)</f>
        <v>1.9560484482833893</v>
      </c>
      <c r="O89" cm="1">
        <f t="array" ref="O89">RhoC(O$3,$C$4,$H6,$D$4,0,$E$4)</f>
        <v>4.8240469025865851</v>
      </c>
      <c r="P89" cm="1">
        <f t="array" ref="P89">RhoC(P$3,$C$4,$H6,$D$4,0,$E$4)</f>
        <v>9.2744913252504038</v>
      </c>
      <c r="Q89" cm="1">
        <f t="array" ref="Q89">RhoC(Q$3,$C$4,$H6,$D$4,0,$E$4)</f>
        <v>14.628325566737619</v>
      </c>
      <c r="R89" cm="1">
        <f t="array" ref="R89">RhoC(R$3,$C$4,$H6,$D$4,0,$E$4)</f>
        <v>19.801355879149483</v>
      </c>
      <c r="S89" cm="1">
        <f t="array" ref="S89">RhoC(S$3,$C$4,$H6,$D$4,0,$E$4)</f>
        <v>23.936909463006028</v>
      </c>
      <c r="T89" cm="1">
        <f t="array" ref="T89">RhoC(T$3,$C$4,$H6,$D$4,0,$E$4)</f>
        <v>26.741714753531923</v>
      </c>
      <c r="U89" cm="1">
        <f t="array" ref="U89">RhoC(U$3,$C$4,$H6,$D$4,0,$E$4)</f>
        <v>28.39016422301777</v>
      </c>
      <c r="V89" cm="1">
        <f t="array" ref="V89">RhoC(V$3,$C$4,$H6,$D$4,0,$E$4)</f>
        <v>29.245072006046918</v>
      </c>
      <c r="W89" cm="1">
        <f t="array" ref="W89">RhoC(W$3,$C$4,$H6,$D$4,0,$E$4)</f>
        <v>29.642425234579132</v>
      </c>
      <c r="X89" cm="1">
        <f t="array" ref="X89">RhoC(X$3,$C$4,$H6,$D$4,0,$E$4)</f>
        <v>29.81017221563636</v>
      </c>
      <c r="Y89" cm="1">
        <f t="array" ref="Y89">RhoC(Y$3,$C$4,$H6,$D$4,0,$E$4)</f>
        <v>29.875241343482667</v>
      </c>
      <c r="AB89" t="s">
        <v>40</v>
      </c>
      <c r="AC89">
        <v>0.3</v>
      </c>
      <c r="AD89" cm="1">
        <f t="array" ref="AD89">RhoC(I$3,$C$4,$H6,$D$4,0,$E$5)</f>
        <v>2.1207973599216751E-19</v>
      </c>
      <c r="AE89" cm="1">
        <f t="array" ref="AE89">RhoC(J$3,$C$4,$H6,$D$4,0,$E$5)</f>
        <v>6.8680684372739574E-14</v>
      </c>
      <c r="AF89" cm="1">
        <f t="array" ref="AF89">RhoC(K$3,$C$4,$H6,$D$4,0,$E$5)</f>
        <v>1.3307124507183836E-9</v>
      </c>
      <c r="AG89" cm="1">
        <f t="array" ref="AG89">RhoC(L$3,$C$4,$H6,$D$4,0,$E$5)</f>
        <v>2.6052631871411219E-6</v>
      </c>
      <c r="AH89" cm="1">
        <f t="array" ref="AH89">RhoC(M$3,$C$4,$H6,$D$4,0,$E$5)</f>
        <v>7.770392227479004E-4</v>
      </c>
      <c r="AI89" cm="1">
        <f t="array" ref="AI89">RhoC(N$3,$C$4,$H6,$D$4,0,$E$5)</f>
        <v>4.9117640802576266E-2</v>
      </c>
      <c r="AJ89" cm="1">
        <f t="array" ref="AJ89">RhoC(O$3,$C$4,$H6,$D$4,0,$E$5)</f>
        <v>0.86635170446754073</v>
      </c>
      <c r="AK89" cm="1">
        <f t="array" ref="AK89">RhoC(P$3,$C$4,$H6,$D$4,0,$E$5)</f>
        <v>5.4331597927515309</v>
      </c>
      <c r="AL89" cm="1">
        <f t="array" ref="AL89">RhoC(Q$3,$C$4,$H6,$D$4,0,$E$5)</f>
        <v>15.281809298363573</v>
      </c>
      <c r="AM89" cm="1">
        <f t="array" ref="AM89">RhoC(R$3,$C$4,$H6,$D$4,0,$E$5)</f>
        <v>24.548285319545805</v>
      </c>
      <c r="AN89" cm="1">
        <f t="array" ref="AN89">RhoC(S$3,$C$4,$H6,$D$4,0,$E$5)</f>
        <v>28.75644318056322</v>
      </c>
      <c r="AO89" cm="1">
        <f t="array" ref="AO89">RhoC(T$3,$C$4,$H6,$D$4,0,$E$5)</f>
        <v>29.761983540617443</v>
      </c>
      <c r="AP89" cm="1">
        <f t="array" ref="AP89">RhoC(U$3,$C$4,$H6,$D$4,0,$E$5)</f>
        <v>29.898313191089137</v>
      </c>
      <c r="AQ89" cm="1">
        <f t="array" ref="AQ89">RhoC(V$3,$C$4,$H6,$D$4,0,$E$5)</f>
        <v>29.90952075345907</v>
      </c>
      <c r="AR89" cm="1">
        <f t="array" ref="AR89">RhoC(W$3,$C$4,$H6,$D$4,0,$E$5)</f>
        <v>29.910113123062104</v>
      </c>
      <c r="AS89" cm="1">
        <f t="array" ref="AS89">RhoC(X$3,$C$4,$H6,$D$4,0,$E$5)</f>
        <v>29.910134317755119</v>
      </c>
      <c r="AT89" cm="1">
        <f t="array" ref="AT89">RhoC(Y$3,$C$4,$H6,$D$4,0,$E$5)</f>
        <v>29.91013485492066</v>
      </c>
    </row>
    <row r="90" spans="7:46" x14ac:dyDescent="0.2">
      <c r="H90">
        <v>0.4</v>
      </c>
      <c r="I90" cm="1">
        <f t="array" ref="I90">RhoC(I$3,$C$4,$H7,$D$4,0,$E$4)</f>
        <v>9.3629247971002423E-4</v>
      </c>
      <c r="J90" cm="1">
        <f t="array" ref="J90">RhoC(J$3,$C$4,$H7,$D$4,0,$E$4)</f>
        <v>1.1705675325644333E-2</v>
      </c>
      <c r="K90" cm="1">
        <f t="array" ref="K90">RhoC(K$3,$C$4,$H7,$D$4,0,$E$4)</f>
        <v>8.6710702538517648E-2</v>
      </c>
      <c r="L90" cm="1">
        <f t="array" ref="L90">RhoC(L$3,$C$4,$H7,$D$4,0,$E$4)</f>
        <v>0.42058365657656555</v>
      </c>
      <c r="M90" cm="1">
        <f t="array" ref="M90">RhoC(M$3,$C$4,$H7,$D$4,0,$E$4)</f>
        <v>1.4449660567580991</v>
      </c>
      <c r="N90" cm="1">
        <f t="array" ref="N90">RhoC(N$3,$C$4,$H7,$D$4,0,$E$4)</f>
        <v>3.7454643863001102</v>
      </c>
      <c r="O90" cm="1">
        <f t="array" ref="O90">RhoC(O$3,$C$4,$H7,$D$4,0,$E$4)</f>
        <v>7.7145681524544081</v>
      </c>
      <c r="P90" cm="1">
        <f t="array" ref="P90">RhoC(P$3,$C$4,$H7,$D$4,0,$E$4)</f>
        <v>13.18745877873687</v>
      </c>
      <c r="Q90" cm="1">
        <f t="array" ref="Q90">RhoC(Q$3,$C$4,$H7,$D$4,0,$E$4)</f>
        <v>19.417631512966548</v>
      </c>
      <c r="R90" cm="1">
        <f t="array" ref="R90">RhoC(R$3,$C$4,$H7,$D$4,0,$E$4)</f>
        <v>25.432746553601696</v>
      </c>
      <c r="S90" cm="1">
        <f t="array" ref="S90">RhoC(S$3,$C$4,$H7,$D$4,0,$E$4)</f>
        <v>30.47039056162674</v>
      </c>
      <c r="T90" cm="1">
        <f t="array" ref="T90">RhoC(T$3,$C$4,$H7,$D$4,0,$E$4)</f>
        <v>34.200126589648207</v>
      </c>
      <c r="U90" cm="1">
        <f t="array" ref="U90">RhoC(U$3,$C$4,$H7,$D$4,0,$E$4)</f>
        <v>36.680746478076991</v>
      </c>
      <c r="V90" cm="1">
        <f t="array" ref="V90">RhoC(V$3,$C$4,$H7,$D$4,0,$E$4)</f>
        <v>38.183205335550987</v>
      </c>
      <c r="W90" cm="1">
        <f t="array" ref="W90">RhoC(W$3,$C$4,$H7,$D$4,0,$E$4)</f>
        <v>39.021658405667154</v>
      </c>
      <c r="X90" cm="1">
        <f t="array" ref="X90">RhoC(X$3,$C$4,$H7,$D$4,0,$E$4)</f>
        <v>39.457121776080648</v>
      </c>
      <c r="Y90" cm="1">
        <f t="array" ref="Y90">RhoC(Y$3,$C$4,$H7,$D$4,0,$E$4)</f>
        <v>39.669441320637574</v>
      </c>
      <c r="AC90">
        <v>0.4</v>
      </c>
      <c r="AD90" cm="1">
        <f t="array" ref="AD90">RhoC(I$3,$C$4,$H7,$D$4,0,$E$5)</f>
        <v>1.7146657173941719E-14</v>
      </c>
      <c r="AE90" cm="1">
        <f t="array" ref="AE90">RhoC(J$3,$C$4,$H7,$D$4,0,$E$5)</f>
        <v>2.3996762916801387E-10</v>
      </c>
      <c r="AF90" cm="1">
        <f t="array" ref="AF90">RhoC(K$3,$C$4,$H7,$D$4,0,$E$5)</f>
        <v>4.0794980511215175E-7</v>
      </c>
      <c r="AG90" cm="1">
        <f t="array" ref="AG90">RhoC(L$3,$C$4,$H7,$D$4,0,$E$5)</f>
        <v>1.2492523960331802E-4</v>
      </c>
      <c r="AH90" cm="1">
        <f t="array" ref="AH90">RhoC(M$3,$C$4,$H7,$D$4,0,$E$5)</f>
        <v>9.3874067121779408E-3</v>
      </c>
      <c r="AI90" cm="1">
        <f t="array" ref="AI90">RhoC(N$3,$C$4,$H7,$D$4,0,$E$5)</f>
        <v>0.22206863454671463</v>
      </c>
      <c r="AJ90" cm="1">
        <f t="array" ref="AJ90">RhoC(O$3,$C$4,$H7,$D$4,0,$E$5)</f>
        <v>2.0358699772475957</v>
      </c>
      <c r="AK90" cm="1">
        <f t="array" ref="AK90">RhoC(P$3,$C$4,$H7,$D$4,0,$E$5)</f>
        <v>8.6801463209930212</v>
      </c>
      <c r="AL90" cm="1">
        <f t="array" ref="AL90">RhoC(Q$3,$C$4,$H7,$D$4,0,$E$5)</f>
        <v>20.42268806079311</v>
      </c>
      <c r="AM90" cm="1">
        <f t="array" ref="AM90">RhoC(R$3,$C$4,$H7,$D$4,0,$E$5)</f>
        <v>31.435240865969416</v>
      </c>
      <c r="AN90" cm="1">
        <f t="array" ref="AN90">RhoC(S$3,$C$4,$H7,$D$4,0,$E$5)</f>
        <v>37.372216345157348</v>
      </c>
      <c r="AO90" cm="1">
        <f t="array" ref="AO90">RhoC(T$3,$C$4,$H7,$D$4,0,$E$5)</f>
        <v>39.342380536091397</v>
      </c>
      <c r="AP90" cm="1">
        <f t="array" ref="AP90">RhoC(U$3,$C$4,$H7,$D$4,0,$E$5)</f>
        <v>39.769324894937867</v>
      </c>
      <c r="AQ90" cm="1">
        <f t="array" ref="AQ90">RhoC(V$3,$C$4,$H7,$D$4,0,$E$5)</f>
        <v>39.832927362661067</v>
      </c>
      <c r="AR90" cm="1">
        <f t="array" ref="AR90">RhoC(W$3,$C$4,$H7,$D$4,0,$E$5)</f>
        <v>39.839738796252945</v>
      </c>
      <c r="AS90" cm="1">
        <f t="array" ref="AS90">RhoC(X$3,$C$4,$H7,$D$4,0,$E$5)</f>
        <v>39.840284075736399</v>
      </c>
      <c r="AT90" cm="1">
        <f t="array" ref="AT90">RhoC(Y$3,$C$4,$H7,$D$4,0,$E$5)</f>
        <v>39.840317838234107</v>
      </c>
    </row>
    <row r="91" spans="7:46" x14ac:dyDescent="0.2">
      <c r="H91">
        <v>0.5</v>
      </c>
      <c r="I91" cm="1">
        <f t="array" ref="I91">RhoC(I$3,$C$4,$H8,$D$4,0,$E$4)</f>
        <v>6.5886799235162358E-3</v>
      </c>
      <c r="J91" cm="1">
        <f t="array" ref="J91">RhoC(J$3,$C$4,$H8,$D$4,0,$E$4)</f>
        <v>5.1241821470043636E-2</v>
      </c>
      <c r="K91" cm="1">
        <f t="array" ref="K91">RhoC(K$3,$C$4,$H8,$D$4,0,$E$4)</f>
        <v>0.26230859396038009</v>
      </c>
      <c r="L91" cm="1">
        <f t="array" ref="L91">RhoC(L$3,$C$4,$H8,$D$4,0,$E$4)</f>
        <v>0.95750502791312742</v>
      </c>
      <c r="M91" cm="1">
        <f t="array" ref="M91">RhoC(M$3,$C$4,$H8,$D$4,0,$E$4)</f>
        <v>2.6541221761137002</v>
      </c>
      <c r="N91" cm="1">
        <f t="array" ref="N91">RhoC(N$3,$C$4,$H8,$D$4,0,$E$4)</f>
        <v>5.8755556011287497</v>
      </c>
      <c r="O91" cm="1">
        <f t="array" ref="O91">RhoC(O$3,$C$4,$H8,$D$4,0,$E$4)</f>
        <v>10.82511559814913</v>
      </c>
      <c r="P91" cm="1">
        <f t="array" ref="P91">RhoC(P$3,$C$4,$H8,$D$4,0,$E$4)</f>
        <v>17.178656648502809</v>
      </c>
      <c r="Q91" cm="1">
        <f t="array" ref="Q91">RhoC(Q$3,$C$4,$H8,$D$4,0,$E$4)</f>
        <v>24.173738548666901</v>
      </c>
      <c r="R91" cm="1">
        <f t="array" ref="R91">RhoC(R$3,$C$4,$H8,$D$4,0,$E$4)</f>
        <v>30.924184743469112</v>
      </c>
      <c r="S91" cm="1">
        <f t="array" ref="S91">RhoC(S$3,$C$4,$H8,$D$4,0,$E$4)</f>
        <v>36.738595144398111</v>
      </c>
      <c r="T91" cm="1">
        <f t="array" ref="T91">RhoC(T$3,$C$4,$H8,$D$4,0,$E$4)</f>
        <v>41.277215823472964</v>
      </c>
      <c r="U91" cm="1">
        <f t="array" ref="U91">RhoC(U$3,$C$4,$H8,$D$4,0,$E$4)</f>
        <v>44.52940714583994</v>
      </c>
      <c r="V91" cm="1">
        <f t="array" ref="V91">RhoC(V$3,$C$4,$H8,$D$4,0,$E$4)</f>
        <v>46.692198548977835</v>
      </c>
      <c r="W91" cm="1">
        <f t="array" ref="W91">RhoC(W$3,$C$4,$H8,$D$4,0,$E$4)</f>
        <v>48.039616695751533</v>
      </c>
      <c r="X91" cm="1">
        <f t="array" ref="X91">RhoC(X$3,$C$4,$H8,$D$4,0,$E$4)</f>
        <v>48.832355634235022</v>
      </c>
      <c r="Y91" cm="1">
        <f t="array" ref="Y91">RhoC(Y$3,$C$4,$H8,$D$4,0,$E$4)</f>
        <v>49.275873716227721</v>
      </c>
      <c r="AC91">
        <v>0.5</v>
      </c>
      <c r="AD91" cm="1">
        <f t="array" ref="AD91">RhoC(I$3,$C$4,$H8,$D$4,0,$E$5)</f>
        <v>1.6258128709111472E-11</v>
      </c>
      <c r="AE91" cm="1">
        <f t="array" ref="AE91">RhoC(J$3,$C$4,$H8,$D$4,0,$E$5)</f>
        <v>3.4533346751725237E-8</v>
      </c>
      <c r="AF91" cm="1">
        <f t="array" ref="AF91">RhoC(K$3,$C$4,$H8,$D$4,0,$E$5)</f>
        <v>1.3625021969122365E-5</v>
      </c>
      <c r="AG91" cm="1">
        <f t="array" ref="AG91">RhoC(L$3,$C$4,$H8,$D$4,0,$E$5)</f>
        <v>1.3693783854780402E-3</v>
      </c>
      <c r="AH91" cm="1">
        <f t="array" ref="AH91">RhoC(M$3,$C$4,$H8,$D$4,0,$E$5)</f>
        <v>4.4930628022144245E-2</v>
      </c>
      <c r="AI91" cm="1">
        <f t="array" ref="AI91">RhoC(N$3,$C$4,$H8,$D$4,0,$E$5)</f>
        <v>0.58793072579454853</v>
      </c>
      <c r="AJ91" cm="1">
        <f t="array" ref="AJ91">RhoC(O$3,$C$4,$H8,$D$4,0,$E$5)</f>
        <v>3.6258596069978886</v>
      </c>
      <c r="AK91" cm="1">
        <f t="array" ref="AK91">RhoC(P$3,$C$4,$H8,$D$4,0,$E$5)</f>
        <v>12.193085930105976</v>
      </c>
      <c r="AL91" cm="1">
        <f t="array" ref="AL91">RhoC(Q$3,$C$4,$H8,$D$4,0,$E$5)</f>
        <v>25.576885410967218</v>
      </c>
      <c r="AM91" cm="1">
        <f t="array" ref="AM91">RhoC(R$3,$C$4,$H8,$D$4,0,$E$5)</f>
        <v>38.103111573428784</v>
      </c>
      <c r="AN91" cm="1">
        <f t="array" ref="AN91">RhoC(S$3,$C$4,$H8,$D$4,0,$E$5)</f>
        <v>45.606650497595851</v>
      </c>
      <c r="AO91" cm="1">
        <f t="array" ref="AO91">RhoC(T$3,$C$4,$H8,$D$4,0,$E$5)</f>
        <v>48.65034468115244</v>
      </c>
      <c r="AP91" cm="1">
        <f t="array" ref="AP91">RhoC(U$3,$C$4,$H8,$D$4,0,$E$5)</f>
        <v>49.527868282183348</v>
      </c>
      <c r="AQ91" cm="1">
        <f t="array" ref="AQ91">RhoC(V$3,$C$4,$H8,$D$4,0,$E$5)</f>
        <v>49.715365396356191</v>
      </c>
      <c r="AR91" cm="1">
        <f t="array" ref="AR91">RhoC(W$3,$C$4,$H8,$D$4,0,$E$5)</f>
        <v>49.746149929550427</v>
      </c>
      <c r="AS91" cm="1">
        <f t="array" ref="AS91">RhoC(X$3,$C$4,$H8,$D$4,0,$E$5)</f>
        <v>49.750157959169577</v>
      </c>
      <c r="AT91" cm="1">
        <f t="array" ref="AT91">RhoC(Y$3,$C$4,$H8,$D$4,0,$E$5)</f>
        <v>49.750583249072633</v>
      </c>
    </row>
    <row r="92" spans="7:46" x14ac:dyDescent="0.2">
      <c r="H92">
        <v>0.6</v>
      </c>
      <c r="I92" cm="1">
        <f t="array" ref="I92">RhoC(I$3,$C$4,$H9,$D$4,0,$E$4)</f>
        <v>2.5336754690401989E-2</v>
      </c>
      <c r="J92" cm="1">
        <f t="array" ref="J92">RhoC(J$3,$C$4,$H9,$D$4,0,$E$4)</f>
        <v>0.14346745368583744</v>
      </c>
      <c r="K92" cm="1">
        <f t="array" ref="K92">RhoC(K$3,$C$4,$H9,$D$4,0,$E$4)</f>
        <v>0.57342650040421816</v>
      </c>
      <c r="L92" cm="1">
        <f t="array" ref="L92">RhoC(L$3,$C$4,$H9,$D$4,0,$E$4)</f>
        <v>1.7295450873604499</v>
      </c>
      <c r="M92" cm="1">
        <f t="array" ref="M92">RhoC(M$3,$C$4,$H9,$D$4,0,$E$4)</f>
        <v>4.1483206002554978</v>
      </c>
      <c r="N92" cm="1">
        <f t="array" ref="N92">RhoC(N$3,$C$4,$H9,$D$4,0,$E$4)</f>
        <v>8.2510457333700931</v>
      </c>
      <c r="O92" cm="1">
        <f t="array" ref="O92">RhoC(O$3,$C$4,$H9,$D$4,0,$E$4)</f>
        <v>14.082638092999998</v>
      </c>
      <c r="P92" cm="1">
        <f t="array" ref="P92">RhoC(P$3,$C$4,$H9,$D$4,0,$E$4)</f>
        <v>21.217661617090137</v>
      </c>
      <c r="Q92" cm="1">
        <f t="array" ref="Q92">RhoC(Q$3,$C$4,$H9,$D$4,0,$E$4)</f>
        <v>28.899256857821801</v>
      </c>
      <c r="R92" cm="1">
        <f t="array" ref="R92">RhoC(R$3,$C$4,$H9,$D$4,0,$E$4)</f>
        <v>36.309866980005239</v>
      </c>
      <c r="S92" cm="1">
        <f t="array" ref="S92">RhoC(S$3,$C$4,$H9,$D$4,0,$E$4)</f>
        <v>42.813919395874585</v>
      </c>
      <c r="T92" cm="1">
        <f t="array" ref="T92">RhoC(T$3,$C$4,$H9,$D$4,0,$E$4)</f>
        <v>48.073652121744175</v>
      </c>
      <c r="U92" cm="1">
        <f t="array" ref="U92">RhoC(U$3,$C$4,$H9,$D$4,0,$E$4)</f>
        <v>52.035124616342841</v>
      </c>
      <c r="V92" cm="1">
        <f t="array" ref="V92">RhoC(V$3,$C$4,$H9,$D$4,0,$E$4)</f>
        <v>54.839430840815325</v>
      </c>
      <c r="W92" cm="1">
        <f t="array" ref="W92">RhoC(W$3,$C$4,$H9,$D$4,0,$E$4)</f>
        <v>56.719853041525752</v>
      </c>
      <c r="X92" cm="1">
        <f t="array" ref="X92">RhoC(X$3,$C$4,$H9,$D$4,0,$E$4)</f>
        <v>57.922265459566475</v>
      </c>
      <c r="Y92" cm="1">
        <f t="array" ref="Y92">RhoC(Y$3,$C$4,$H9,$D$4,0,$E$4)</f>
        <v>58.659707295076835</v>
      </c>
      <c r="AC92">
        <v>0.6</v>
      </c>
      <c r="AD92" cm="1">
        <f t="array" ref="AD92">RhoC(I$3,$C$4,$H9,$D$4,0,$E$5)</f>
        <v>1.6481813086334282E-9</v>
      </c>
      <c r="AE92" cm="1">
        <f t="array" ref="AE92">RhoC(J$3,$C$4,$H9,$D$4,0,$E$5)</f>
        <v>9.9575989539411422E-7</v>
      </c>
      <c r="AF92" cm="1">
        <f t="array" ref="AF92">RhoC(K$3,$C$4,$H9,$D$4,0,$E$5)</f>
        <v>1.4829729609667369E-4</v>
      </c>
      <c r="AG92" cm="1">
        <f t="array" ref="AG92">RhoC(L$3,$C$4,$H9,$D$4,0,$E$5)</f>
        <v>7.0864177060534416E-3</v>
      </c>
      <c r="AH92" cm="1">
        <f t="array" ref="AH92">RhoC(M$3,$C$4,$H9,$D$4,0,$E$5)</f>
        <v>0.13367272087027193</v>
      </c>
      <c r="AI92" cm="1">
        <f t="array" ref="AI92">RhoC(N$3,$C$4,$H9,$D$4,0,$E$5)</f>
        <v>1.1766528591399656</v>
      </c>
      <c r="AJ92" cm="1">
        <f t="array" ref="AJ92">RhoC(O$3,$C$4,$H9,$D$4,0,$E$5)</f>
        <v>5.5569135148285991</v>
      </c>
      <c r="AK92" cm="1">
        <f t="array" ref="AK92">RhoC(P$3,$C$4,$H9,$D$4,0,$E$5)</f>
        <v>15.893745368596148</v>
      </c>
      <c r="AL92" cm="1">
        <f t="array" ref="AL92">RhoC(Q$3,$C$4,$H9,$D$4,0,$E$5)</f>
        <v>30.741820985414318</v>
      </c>
      <c r="AM92" cm="1">
        <f t="array" ref="AM92">RhoC(R$3,$C$4,$H9,$D$4,0,$E$5)</f>
        <v>44.619116273382176</v>
      </c>
      <c r="AN92" cm="1">
        <f t="array" ref="AN92">RhoC(S$3,$C$4,$H9,$D$4,0,$E$5)</f>
        <v>53.546438342331996</v>
      </c>
      <c r="AO92" cm="1">
        <f t="array" ref="AO92">RhoC(T$3,$C$4,$H9,$D$4,0,$E$5)</f>
        <v>57.693143792728854</v>
      </c>
      <c r="AP92" cm="1">
        <f t="array" ref="AP92">RhoC(U$3,$C$4,$H9,$D$4,0,$E$5)</f>
        <v>59.142047882605851</v>
      </c>
      <c r="AQ92" cm="1">
        <f t="array" ref="AQ92">RhoC(V$3,$C$4,$H9,$D$4,0,$E$5)</f>
        <v>59.536529236320241</v>
      </c>
      <c r="AR92" cm="1">
        <f t="array" ref="AR92">RhoC(W$3,$C$4,$H9,$D$4,0,$E$5)</f>
        <v>59.622800656168437</v>
      </c>
      <c r="AS92" cm="1">
        <f t="array" ref="AS92">RhoC(X$3,$C$4,$H9,$D$4,0,$E$5)</f>
        <v>59.638360220830656</v>
      </c>
      <c r="AT92" cm="1">
        <f t="array" ref="AT92">RhoC(Y$3,$C$4,$H9,$D$4,0,$E$5)</f>
        <v>59.640728082054494</v>
      </c>
    </row>
    <row r="93" spans="7:46" x14ac:dyDescent="0.2">
      <c r="H93">
        <v>0.7</v>
      </c>
      <c r="I93" cm="1">
        <f t="array" ref="I93">RhoC(I$3,$C$4,$H10,$D$4,0,$E$4)</f>
        <v>6.8496313647904108E-2</v>
      </c>
      <c r="J93" cm="1">
        <f t="array" ref="J93">RhoC(J$3,$C$4,$H10,$D$4,0,$E$4)</f>
        <v>0.30898154554743779</v>
      </c>
      <c r="K93" cm="1">
        <f t="array" ref="K93">RhoC(K$3,$C$4,$H10,$D$4,0,$E$4)</f>
        <v>1.0340638105047844</v>
      </c>
      <c r="L93" cm="1">
        <f t="array" ref="L93">RhoC(L$3,$C$4,$H10,$D$4,0,$E$4)</f>
        <v>2.7188766452768531</v>
      </c>
      <c r="M93" cm="1">
        <f t="array" ref="M93">RhoC(M$3,$C$4,$H10,$D$4,0,$E$4)</f>
        <v>5.8743138124230629</v>
      </c>
      <c r="N93" cm="1">
        <f t="array" ref="N93">RhoC(N$3,$C$4,$H10,$D$4,0,$E$4)</f>
        <v>10.810010394461257</v>
      </c>
      <c r="O93" cm="1">
        <f t="array" ref="O93">RhoC(O$3,$C$4,$H10,$D$4,0,$E$4)</f>
        <v>17.444422479079943</v>
      </c>
      <c r="P93" cm="1">
        <f t="array" ref="P93">RhoC(P$3,$C$4,$H10,$D$4,0,$E$4)</f>
        <v>25.287075576346904</v>
      </c>
      <c r="Q93" cm="1">
        <f t="array" ref="Q93">RhoC(Q$3,$C$4,$H10,$D$4,0,$E$4)</f>
        <v>33.596116095735589</v>
      </c>
      <c r="R93" cm="1">
        <f t="array" ref="R93">RhoC(R$3,$C$4,$H10,$D$4,0,$E$4)</f>
        <v>41.610220083116076</v>
      </c>
      <c r="S93" cm="1">
        <f t="array" ref="S93">RhoC(S$3,$C$4,$H10,$D$4,0,$E$4)</f>
        <v>48.739182226438395</v>
      </c>
      <c r="T93" cm="1">
        <f t="array" ref="T93">RhoC(T$3,$C$4,$H10,$D$4,0,$E$4)</f>
        <v>54.652113577166304</v>
      </c>
      <c r="U93" cm="1">
        <f t="array" ref="U93">RhoC(U$3,$C$4,$H10,$D$4,0,$E$4)</f>
        <v>59.267237553388959</v>
      </c>
      <c r="V93" cm="1">
        <f t="array" ref="V93">RhoC(V$3,$C$4,$H10,$D$4,0,$E$4)</f>
        <v>62.68359645053561</v>
      </c>
      <c r="W93" cm="1">
        <f t="array" ref="W93">RhoC(W$3,$C$4,$H10,$D$4,0,$E$4)</f>
        <v>65.098182663181063</v>
      </c>
      <c r="X93" cm="1">
        <f t="array" ref="X93">RhoC(X$3,$C$4,$H10,$D$4,0,$E$4)</f>
        <v>66.73692184392155</v>
      </c>
      <c r="Y93" cm="1">
        <f t="array" ref="Y93">RhoC(Y$3,$C$4,$H10,$D$4,0,$E$4)</f>
        <v>67.810197543662682</v>
      </c>
      <c r="AC93">
        <v>0.7</v>
      </c>
      <c r="AD93" cm="1">
        <f t="array" ref="AD93">RhoC(I$3,$C$4,$H10,$D$4,0,$E$5)</f>
        <v>4.6233752509654261E-8</v>
      </c>
      <c r="AE93" cm="1">
        <f t="array" ref="AE93">RhoC(J$3,$C$4,$H10,$D$4,0,$E$5)</f>
        <v>1.1375608625566544E-5</v>
      </c>
      <c r="AF93" cm="1">
        <f t="array" ref="AF93">RhoC(K$3,$C$4,$H10,$D$4,0,$E$5)</f>
        <v>8.444056427330352E-4</v>
      </c>
      <c r="AG93" cm="1">
        <f t="array" ref="AG93">RhoC(L$3,$C$4,$H10,$D$4,0,$E$5)</f>
        <v>2.371123779218293E-2</v>
      </c>
      <c r="AH93" cm="1">
        <f t="array" ref="AH93">RhoC(M$3,$C$4,$H10,$D$4,0,$E$5)</f>
        <v>0.30094142404680357</v>
      </c>
      <c r="AI93" cm="1">
        <f t="array" ref="AI93">RhoC(N$3,$C$4,$H10,$D$4,0,$E$5)</f>
        <v>1.9932210842367937</v>
      </c>
      <c r="AJ93" cm="1">
        <f t="array" ref="AJ93">RhoC(O$3,$C$4,$H10,$D$4,0,$E$5)</f>
        <v>7.7653949825830599</v>
      </c>
      <c r="AK93" cm="1">
        <f t="array" ref="AK93">RhoC(P$3,$C$4,$H10,$D$4,0,$E$5)</f>
        <v>19.735680124144061</v>
      </c>
      <c r="AL93" cm="1">
        <f t="array" ref="AL93">RhoC(Q$3,$C$4,$H10,$D$4,0,$E$5)</f>
        <v>35.915594909590865</v>
      </c>
      <c r="AM93" cm="1">
        <f t="array" ref="AM93">RhoC(R$3,$C$4,$H10,$D$4,0,$E$5)</f>
        <v>51.022305279995173</v>
      </c>
      <c r="AN93" cm="1">
        <f t="array" ref="AN93">RhoC(S$3,$C$4,$H10,$D$4,0,$E$5)</f>
        <v>61.253729163278905</v>
      </c>
      <c r="AO93" cm="1">
        <f t="array" ref="AO93">RhoC(T$3,$C$4,$H10,$D$4,0,$E$5)</f>
        <v>66.49351340148327</v>
      </c>
      <c r="AP93" cm="1">
        <f t="array" ref="AP93">RhoC(U$3,$C$4,$H10,$D$4,0,$E$5)</f>
        <v>68.595842929360387</v>
      </c>
      <c r="AQ93" cm="1">
        <f t="array" ref="AQ93">RhoC(V$3,$C$4,$H10,$D$4,0,$E$5)</f>
        <v>69.277091810376731</v>
      </c>
      <c r="AR93" cm="1">
        <f t="array" ref="AR93">RhoC(W$3,$C$4,$H10,$D$4,0,$E$5)</f>
        <v>69.460114005190704</v>
      </c>
      <c r="AS93" cm="1">
        <f t="array" ref="AS93">RhoC(X$3,$C$4,$H10,$D$4,0,$E$5)</f>
        <v>69.501813372831634</v>
      </c>
      <c r="AT93" cm="1">
        <f t="array" ref="AT93">RhoC(Y$3,$C$4,$H10,$D$4,0,$E$5)</f>
        <v>69.510030433566882</v>
      </c>
    </row>
    <row r="94" spans="7:46" x14ac:dyDescent="0.2">
      <c r="H94">
        <v>0.8</v>
      </c>
      <c r="I94" cm="1">
        <f t="array" ref="I94">RhoC(I$3,$C$4,$H11,$D$4,0,$E$4)</f>
        <v>0.1479229983212314</v>
      </c>
      <c r="J94" cm="1">
        <f t="array" ref="J94">RhoC(J$3,$C$4,$H11,$D$4,0,$E$4)</f>
        <v>0.56236751489784886</v>
      </c>
      <c r="K94" cm="1">
        <f t="array" ref="K94">RhoC(K$3,$C$4,$H11,$D$4,0,$E$4)</f>
        <v>1.6463949579291828</v>
      </c>
      <c r="L94" cm="1">
        <f t="array" ref="L94">RhoC(L$3,$C$4,$H11,$D$4,0,$E$4)</f>
        <v>3.902596571002467</v>
      </c>
      <c r="M94" cm="1">
        <f t="array" ref="M94">RhoC(M$3,$C$4,$H11,$D$4,0,$E$4)</f>
        <v>7.7898920427139711</v>
      </c>
      <c r="N94" cm="1">
        <f t="array" ref="N94">RhoC(N$3,$C$4,$H11,$D$4,0,$E$4)</f>
        <v>13.510429218050067</v>
      </c>
      <c r="O94" cm="1">
        <f t="array" ref="O94">RhoC(O$3,$C$4,$H11,$D$4,0,$E$4)</f>
        <v>20.883210534016246</v>
      </c>
      <c r="P94" cm="1">
        <f t="array" ref="P94">RhoC(P$3,$C$4,$H11,$D$4,0,$E$4)</f>
        <v>29.375944234947266</v>
      </c>
      <c r="Q94" cm="1">
        <f t="array" ref="Q94">RhoC(Q$3,$C$4,$H11,$D$4,0,$E$4)</f>
        <v>38.265821976803807</v>
      </c>
      <c r="R94" cm="1">
        <f t="array" ref="R94">RhoC(R$3,$C$4,$H11,$D$4,0,$E$4)</f>
        <v>46.838682825452466</v>
      </c>
      <c r="S94" cm="1">
        <f t="array" ref="S94">RhoC(S$3,$C$4,$H11,$D$4,0,$E$4)</f>
        <v>54.542150099630135</v>
      </c>
      <c r="T94" cm="1">
        <f t="array" ref="T94">RhoC(T$3,$C$4,$H11,$D$4,0,$E$4)</f>
        <v>61.054291488019338</v>
      </c>
      <c r="U94" cm="1">
        <f t="array" ref="U94">RhoC(U$3,$C$4,$H11,$D$4,0,$E$4)</f>
        <v>66.275083755870497</v>
      </c>
      <c r="V94" cm="1">
        <f t="array" ref="V94">RhoC(V$3,$C$4,$H11,$D$4,0,$E$4)</f>
        <v>70.271704194040638</v>
      </c>
      <c r="W94" cm="1">
        <f t="array" ref="W94">RhoC(W$3,$C$4,$H11,$D$4,0,$E$4)</f>
        <v>73.210216289147127</v>
      </c>
      <c r="X94" cm="1">
        <f t="array" ref="X94">RhoC(X$3,$C$4,$H11,$D$4,0,$E$4)</f>
        <v>75.2957374231259</v>
      </c>
      <c r="Y94" cm="1">
        <f t="array" ref="Y94">RhoC(Y$3,$C$4,$H11,$D$4,0,$E$4)</f>
        <v>76.730661853179058</v>
      </c>
      <c r="AC94">
        <v>0.8</v>
      </c>
      <c r="AD94" cm="1">
        <f t="array" ref="AD94">RhoC(I$3,$C$4,$H11,$D$4,0,$E$5)</f>
        <v>5.7838836856354668E-7</v>
      </c>
      <c r="AE94" cm="1">
        <f t="array" ref="AE94">RhoC(J$3,$C$4,$H11,$D$4,0,$E$5)</f>
        <v>7.2532656593866099E-5</v>
      </c>
      <c r="AF94" cm="1">
        <f t="array" ref="AF94">RhoC(K$3,$C$4,$H11,$D$4,0,$E$5)</f>
        <v>3.1927561083099211E-3</v>
      </c>
      <c r="AG94" cm="1">
        <f t="array" ref="AG94">RhoC(L$3,$C$4,$H11,$D$4,0,$E$5)</f>
        <v>6.0144636736595494E-2</v>
      </c>
      <c r="AH94" cm="1">
        <f t="array" ref="AH94">RhoC(M$3,$C$4,$H11,$D$4,0,$E$5)</f>
        <v>0.56671524536186413</v>
      </c>
      <c r="AI94" cm="1">
        <f t="array" ref="AI94">RhoC(N$3,$C$4,$H11,$D$4,0,$E$5)</f>
        <v>3.0294875417979759</v>
      </c>
      <c r="AJ94" cm="1">
        <f t="array" ref="AJ94">RhoC(O$3,$C$4,$H11,$D$4,0,$E$5)</f>
        <v>10.202507574836329</v>
      </c>
      <c r="AK94" cm="1">
        <f t="array" ref="AK94">RhoC(P$3,$C$4,$H11,$D$4,0,$E$5)</f>
        <v>23.688743774384431</v>
      </c>
      <c r="AL94" cm="1">
        <f t="array" ref="AL94">RhoC(Q$3,$C$4,$H11,$D$4,0,$E$5)</f>
        <v>41.096731210161039</v>
      </c>
      <c r="AM94" cm="1">
        <f t="array" ref="AM94">RhoC(R$3,$C$4,$H11,$D$4,0,$E$5)</f>
        <v>57.337518442883201</v>
      </c>
      <c r="AN94" cm="1">
        <f t="array" ref="AN94">RhoC(S$3,$C$4,$H11,$D$4,0,$E$5)</f>
        <v>68.773188516542405</v>
      </c>
      <c r="AO94" cm="1">
        <f t="array" ref="AO94">RhoC(T$3,$C$4,$H11,$D$4,0,$E$5)</f>
        <v>75.077492898362252</v>
      </c>
      <c r="AP94" cm="1">
        <f t="array" ref="AP94">RhoC(U$3,$C$4,$H11,$D$4,0,$E$5)</f>
        <v>77.88487736033106</v>
      </c>
      <c r="AQ94" cm="1">
        <f t="array" ref="AQ94">RhoC(V$3,$C$4,$H11,$D$4,0,$E$5)</f>
        <v>78.922100210084153</v>
      </c>
      <c r="AR94" cm="1">
        <f t="array" ref="AR94">RhoC(W$3,$C$4,$H11,$D$4,0,$E$5)</f>
        <v>79.247439679380349</v>
      </c>
      <c r="AS94" cm="1">
        <f t="array" ref="AS94">RhoC(X$3,$C$4,$H11,$D$4,0,$E$5)</f>
        <v>79.33581290678994</v>
      </c>
      <c r="AT94" cm="1">
        <f t="array" ref="AT94">RhoC(Y$3,$C$4,$H11,$D$4,0,$E$5)</f>
        <v>79.35696237284867</v>
      </c>
    </row>
    <row r="95" spans="7:46" x14ac:dyDescent="0.2">
      <c r="H95">
        <v>0.9</v>
      </c>
      <c r="I95" cm="1">
        <f t="array" ref="I95">RhoC(I$3,$C$4,$H12,$D$4,0,$E$4)</f>
        <v>0.27423139001812402</v>
      </c>
      <c r="J95" cm="1">
        <f t="array" ref="J95">RhoC(J$3,$C$4,$H12,$D$4,0,$E$4)</f>
        <v>0.91231525678742309</v>
      </c>
      <c r="K95" cm="1">
        <f t="array" ref="K95">RhoC(K$3,$C$4,$H12,$D$4,0,$E$4)</f>
        <v>2.405785146566469</v>
      </c>
      <c r="L95" cm="1">
        <f t="array" ref="L95">RhoC(L$3,$C$4,$H12,$D$4,0,$E$4)</f>
        <v>5.2579361449743294</v>
      </c>
      <c r="M95" cm="1">
        <f t="array" ref="M95">RhoC(M$3,$C$4,$H12,$D$4,0,$E$4)</f>
        <v>9.8621140558168054</v>
      </c>
      <c r="N95" cm="1">
        <f t="array" ref="N95">RhoC(N$3,$C$4,$H12,$D$4,0,$E$4)</f>
        <v>16.322605204399807</v>
      </c>
      <c r="O95" cm="1">
        <f t="array" ref="O95">RhoC(O$3,$C$4,$H12,$D$4,0,$E$4)</f>
        <v>24.380474754909535</v>
      </c>
      <c r="P95" cm="1">
        <f t="array" ref="P95">RhoC(P$3,$C$4,$H12,$D$4,0,$E$4)</f>
        <v>33.476899762460484</v>
      </c>
      <c r="Q95" cm="1">
        <f t="array" ref="Q95">RhoC(Q$3,$C$4,$H12,$D$4,0,$E$4)</f>
        <v>42.909594584950781</v>
      </c>
      <c r="R95" cm="1">
        <f t="array" ref="R95">RhoC(R$3,$C$4,$H12,$D$4,0,$E$4)</f>
        <v>52.004704799454153</v>
      </c>
      <c r="S95" cm="1">
        <f t="array" ref="S95">RhoC(S$3,$C$4,$H12,$D$4,0,$E$4)</f>
        <v>60.242046033683735</v>
      </c>
      <c r="T95" cm="1">
        <f t="array" ref="T95">RhoC(T$3,$C$4,$H12,$D$4,0,$E$4)</f>
        <v>67.309416261096175</v>
      </c>
      <c r="U95" cm="1">
        <f t="array" ref="U95">RhoC(U$3,$C$4,$H12,$D$4,0,$E$4)</f>
        <v>73.094735333031409</v>
      </c>
      <c r="V95" cm="1">
        <f t="array" ref="V95">RhoC(V$3,$C$4,$H12,$D$4,0,$E$4)</f>
        <v>77.640758146235598</v>
      </c>
      <c r="W95" cm="1">
        <f t="array" ref="W95">RhoC(W$3,$C$4,$H12,$D$4,0,$E$4)</f>
        <v>81.087590504535044</v>
      </c>
      <c r="X95" cm="1">
        <f t="array" ref="X95">RhoC(X$3,$C$4,$H12,$D$4,0,$E$4)</f>
        <v>83.62051674627169</v>
      </c>
      <c r="Y95" cm="1">
        <f t="array" ref="Y95">RhoC(Y$3,$C$4,$H12,$D$4,0,$E$4)</f>
        <v>85.431448147951741</v>
      </c>
      <c r="AC95">
        <v>0.9</v>
      </c>
      <c r="AD95" cm="1">
        <f t="array" ref="AD95">RhoC(I$3,$C$4,$H12,$D$4,0,$E$5)</f>
        <v>4.2109995631038558E-6</v>
      </c>
      <c r="AE95" cm="1">
        <f t="array" ref="AE95">RhoC(J$3,$C$4,$H12,$D$4,0,$E$5)</f>
        <v>3.1257694746679188E-4</v>
      </c>
      <c r="AF95" cm="1">
        <f t="array" ref="AF95">RhoC(K$3,$C$4,$H12,$D$4,0,$E$5)</f>
        <v>9.161303121259309E-3</v>
      </c>
      <c r="AG95" cm="1">
        <f t="array" ref="AG95">RhoC(L$3,$C$4,$H12,$D$4,0,$E$5)</f>
        <v>0.12646643565367435</v>
      </c>
      <c r="AH95" cm="1">
        <f t="array" ref="AH95">RhoC(M$3,$C$4,$H12,$D$4,0,$E$5)</f>
        <v>0.94469788357844986</v>
      </c>
      <c r="AI95" cm="1">
        <f t="array" ref="AI95">RhoC(N$3,$C$4,$H12,$D$4,0,$E$5)</f>
        <v>4.2714832976975066</v>
      </c>
      <c r="AJ95" cm="1">
        <f t="array" ref="AJ95">RhoC(O$3,$C$4,$H12,$D$4,0,$E$5)</f>
        <v>12.830859013377559</v>
      </c>
      <c r="AK95" cm="1">
        <f t="array" ref="AK95">RhoC(P$3,$C$4,$H12,$D$4,0,$E$5)</f>
        <v>27.732073358297111</v>
      </c>
      <c r="AL95" cm="1">
        <f t="array" ref="AL95">RhoC(Q$3,$C$4,$H12,$D$4,0,$E$5)</f>
        <v>46.284039504608735</v>
      </c>
      <c r="AM95" cm="1">
        <f t="array" ref="AM95">RhoC(R$3,$C$4,$H12,$D$4,0,$E$5)</f>
        <v>63.581611101087546</v>
      </c>
      <c r="AN95" cm="1">
        <f t="array" ref="AN95">RhoC(S$3,$C$4,$H12,$D$4,0,$E$5)</f>
        <v>76.137581768653774</v>
      </c>
      <c r="AO95" cm="1">
        <f t="array" ref="AO95">RhoC(T$3,$C$4,$H12,$D$4,0,$E$5)</f>
        <v>83.469784716418218</v>
      </c>
      <c r="AP95" cm="1">
        <f t="array" ref="AP95">RhoC(U$3,$C$4,$H12,$D$4,0,$E$5)</f>
        <v>87.011875244291346</v>
      </c>
      <c r="AQ95" cm="1">
        <f t="array" ref="AQ95">RhoC(V$3,$C$4,$H12,$D$4,0,$E$5)</f>
        <v>88.461614166740546</v>
      </c>
      <c r="AR95" cm="1">
        <f t="array" ref="AR95">RhoC(W$3,$C$4,$H12,$D$4,0,$E$5)</f>
        <v>88.974743056024749</v>
      </c>
      <c r="AS95" cm="1">
        <f t="array" ref="AS95">RhoC(X$3,$C$4,$H12,$D$4,0,$E$5)</f>
        <v>89.134605998743822</v>
      </c>
      <c r="AT95" cm="1">
        <f t="array" ref="AT95">RhoC(Y$3,$C$4,$H12,$D$4,0,$E$5)</f>
        <v>89.179120674511395</v>
      </c>
    </row>
    <row r="96" spans="7:46" x14ac:dyDescent="0.2">
      <c r="H96">
        <v>1</v>
      </c>
      <c r="I96" cm="1">
        <f t="array" ref="I96">RhoC(I$3,$C$4,$H13,$D$4,0,$E$4)</f>
        <v>0.45595912570109309</v>
      </c>
      <c r="J96" cm="1">
        <f t="array" ref="J96">RhoC(J$3,$C$4,$H13,$D$4,0,$E$4)</f>
        <v>1.3628210187071796</v>
      </c>
      <c r="K96" cm="1">
        <f t="array" ref="K96">RhoC(K$3,$C$4,$H13,$D$4,0,$E$4)</f>
        <v>3.3041361033821035</v>
      </c>
      <c r="L96" cm="1">
        <f t="array" ref="L96">RhoC(L$3,$C$4,$H13,$D$4,0,$E$4)</f>
        <v>6.7641543932963435</v>
      </c>
      <c r="M96" cm="1">
        <f t="array" ref="M96">RhoC(M$3,$C$4,$H13,$D$4,0,$E$4)</f>
        <v>12.065171933845738</v>
      </c>
      <c r="N96" cm="1">
        <f t="array" ref="N96">RhoC(N$3,$C$4,$H13,$D$4,0,$E$4)</f>
        <v>19.224806199408722</v>
      </c>
      <c r="O96" cm="1">
        <f t="array" ref="O96">RhoC(O$3,$C$4,$H13,$D$4,0,$E$4)</f>
        <v>27.923010462044491</v>
      </c>
      <c r="P96" cm="1">
        <f t="array" ref="P96">RhoC(P$3,$C$4,$H13,$D$4,0,$E$4)</f>
        <v>37.584742260070186</v>
      </c>
      <c r="Q96" cm="1">
        <f t="array" ref="Q96">RhoC(Q$3,$C$4,$H13,$D$4,0,$E$4)</f>
        <v>47.528450546914641</v>
      </c>
      <c r="R96" cm="1">
        <f t="array" ref="R96">RhoC(R$3,$C$4,$H13,$D$4,0,$E$4)</f>
        <v>57.1152625744216</v>
      </c>
      <c r="S96" cm="1">
        <f t="array" ref="S96">RhoC(S$3,$C$4,$H13,$D$4,0,$E$4)</f>
        <v>65.852844532273394</v>
      </c>
      <c r="T96" cm="1">
        <f t="array" ref="T96">RhoC(T$3,$C$4,$H13,$D$4,0,$E$4)</f>
        <v>73.43885824101524</v>
      </c>
      <c r="U96" cm="1">
        <f t="array" ref="U96">RhoC(U$3,$C$4,$H13,$D$4,0,$E$4)</f>
        <v>79.753296736124057</v>
      </c>
      <c r="V96" cm="1">
        <f t="array" ref="V96">RhoC(V$3,$C$4,$H13,$D$4,0,$E$4)</f>
        <v>84.819982584634872</v>
      </c>
      <c r="W96" cm="1">
        <f t="array" ref="W96">RhoC(W$3,$C$4,$H13,$D$4,0,$E$4)</f>
        <v>88.757319713568378</v>
      </c>
      <c r="X96" cm="1">
        <f t="array" ref="X96">RhoC(X$3,$C$4,$H13,$D$4,0,$E$4)</f>
        <v>91.732436651684779</v>
      </c>
      <c r="Y96" cm="1">
        <f t="array" ref="Y96">RhoC(Y$3,$C$4,$H13,$D$4,0,$E$4)</f>
        <v>93.925858365570519</v>
      </c>
      <c r="AC96">
        <v>1</v>
      </c>
      <c r="AD96" cm="1">
        <f t="array" ref="AD96">RhoC(I$3,$C$4,$H13,$D$4,0,$E$5)</f>
        <v>2.0944883154902441E-5</v>
      </c>
      <c r="AE96" cm="1">
        <f t="array" ref="AE96">RhoC(J$3,$C$4,$H13,$D$4,0,$E$5)</f>
        <v>1.0218383303882987E-3</v>
      </c>
      <c r="AF96" cm="1">
        <f t="array" ref="AF96">RhoC(K$3,$C$4,$H13,$D$4,0,$E$5)</f>
        <v>2.1625953663559377E-2</v>
      </c>
      <c r="AG96" cm="1">
        <f t="array" ref="AG96">RhoC(L$3,$C$4,$H13,$D$4,0,$E$5)</f>
        <v>0.23272427909089094</v>
      </c>
      <c r="AH96" cm="1">
        <f t="array" ref="AH96">RhoC(M$3,$C$4,$H13,$D$4,0,$E$5)</f>
        <v>1.4430579922614029</v>
      </c>
      <c r="AI96" cm="1">
        <f t="array" ref="AI96">RhoC(N$3,$C$4,$H13,$D$4,0,$E$5)</f>
        <v>5.7033185664748594</v>
      </c>
      <c r="AJ96" cm="1">
        <f t="array" ref="AJ96">RhoC(O$3,$C$4,$H13,$D$4,0,$E$5)</f>
        <v>15.62145021961441</v>
      </c>
      <c r="AK96" cm="1">
        <f t="array" ref="AK96">RhoC(P$3,$C$4,$H13,$D$4,0,$E$5)</f>
        <v>31.850518608360616</v>
      </c>
      <c r="AL96" cm="1">
        <f t="array" ref="AL96">RhoC(Q$3,$C$4,$H13,$D$4,0,$E$5)</f>
        <v>51.476532828002163</v>
      </c>
      <c r="AM96" cm="1">
        <f t="array" ref="AM96">RhoC(R$3,$C$4,$H13,$D$4,0,$E$5)</f>
        <v>69.766586400827933</v>
      </c>
      <c r="AN96" cm="1">
        <f t="array" ref="AN96">RhoC(S$3,$C$4,$H13,$D$4,0,$E$5)</f>
        <v>83.371514981554554</v>
      </c>
      <c r="AO96" cm="1">
        <f t="array" ref="AO96">RhoC(T$3,$C$4,$H13,$D$4,0,$E$5)</f>
        <v>91.692301259484637</v>
      </c>
      <c r="AP96" cm="1">
        <f t="array" ref="AP96">RhoC(U$3,$C$4,$H13,$D$4,0,$E$5)</f>
        <v>95.983419426964204</v>
      </c>
      <c r="AQ96" cm="1">
        <f t="array" ref="AQ96">RhoC(V$3,$C$4,$H13,$D$4,0,$E$5)</f>
        <v>97.890054170176683</v>
      </c>
      <c r="AR96" cm="1">
        <f t="array" ref="AR96">RhoC(W$3,$C$4,$H13,$D$4,0,$E$5)</f>
        <v>98.633554504316649</v>
      </c>
      <c r="AS96" cm="1">
        <f t="array" ref="AS96">RhoC(X$3,$C$4,$H13,$D$4,0,$E$5)</f>
        <v>98.892095075464468</v>
      </c>
      <c r="AT96" cm="1">
        <f t="array" ref="AT96">RhoC(Y$3,$C$4,$H13,$D$4,0,$E$5)</f>
        <v>98.973377492216585</v>
      </c>
    </row>
    <row r="97" spans="7:46" x14ac:dyDescent="0.2">
      <c r="H97">
        <v>2</v>
      </c>
      <c r="I97" cm="1">
        <f t="array" ref="I97">RhoC(I$3,$C$4,$H14,$D$4,0,$E$4)</f>
        <v>5.9353081456012937</v>
      </c>
      <c r="J97" cm="1">
        <f t="array" ref="J97">RhoC(J$3,$C$4,$H14,$D$4,0,$E$4)</f>
        <v>10.87924313868019</v>
      </c>
      <c r="K97" cm="1">
        <f t="array" ref="K97">RhoC(K$3,$C$4,$H14,$D$4,0,$E$4)</f>
        <v>17.932080685197075</v>
      </c>
      <c r="L97" cm="1">
        <f t="array" ref="L97">RhoC(L$3,$C$4,$H14,$D$4,0,$E$4)</f>
        <v>27.119588189475021</v>
      </c>
      <c r="M97" cm="1">
        <f t="array" ref="M97">RhoC(M$3,$C$4,$H14,$D$4,0,$E$4)</f>
        <v>38.22640213674083</v>
      </c>
      <c r="N97" cm="1">
        <f t="array" ref="N97">RhoC(N$3,$C$4,$H14,$D$4,0,$E$4)</f>
        <v>50.84600116043957</v>
      </c>
      <c r="O97" cm="1">
        <f t="array" ref="O97">RhoC(O$3,$C$4,$H14,$D$4,0,$E$4)</f>
        <v>64.458771564347103</v>
      </c>
      <c r="P97" cm="1">
        <f t="array" ref="P97">RhoC(P$3,$C$4,$H14,$D$4,0,$E$4)</f>
        <v>78.513403617493836</v>
      </c>
      <c r="Q97" cm="1">
        <f t="array" ref="Q97">RhoC(Q$3,$C$4,$H14,$D$4,0,$E$4)</f>
        <v>92.494293545844172</v>
      </c>
      <c r="R97" cm="1">
        <f t="array" ref="R97">RhoC(R$3,$C$4,$H14,$D$4,0,$E$4)</f>
        <v>105.96687970369521</v>
      </c>
      <c r="S97" cm="1">
        <f t="array" ref="S97">RhoC(S$3,$C$4,$H14,$D$4,0,$E$4)</f>
        <v>118.60034685036835</v>
      </c>
      <c r="T97" cm="1">
        <f t="array" ref="T97">RhoC(T$3,$C$4,$H14,$D$4,0,$E$4)</f>
        <v>130.1716483822899</v>
      </c>
      <c r="U97" cm="1">
        <f t="array" ref="U97">RhoC(U$3,$C$4,$H14,$D$4,0,$E$4)</f>
        <v>140.55657274099252</v>
      </c>
      <c r="V97" cm="1">
        <f t="array" ref="V97">RhoC(V$3,$C$4,$H14,$D$4,0,$E$4)</f>
        <v>149.71347861958171</v>
      </c>
      <c r="W97" cm="1">
        <f t="array" ref="W97">RhoC(W$3,$C$4,$H14,$D$4,0,$E$4)</f>
        <v>157.6642413734192</v>
      </c>
      <c r="X97" cm="1">
        <f t="array" ref="X97">RhoC(X$3,$C$4,$H14,$D$4,0,$E$4)</f>
        <v>164.47556479755494</v>
      </c>
      <c r="Y97" cm="1">
        <f t="array" ref="Y97">RhoC(Y$3,$C$4,$H14,$D$4,0,$E$4)</f>
        <v>170.24252108865093</v>
      </c>
      <c r="AC97">
        <v>2</v>
      </c>
      <c r="AD97" cm="1">
        <f t="array" ref="AD97">RhoC(I$3,$C$4,$H14,$D$4,0,$E$5)</f>
        <v>3.9017006065321998E-2</v>
      </c>
      <c r="AE97" cm="1">
        <f t="array" ref="AE97">RhoC(J$3,$C$4,$H14,$D$4,0,$E$5)</f>
        <v>0.28682719393543493</v>
      </c>
      <c r="AF97" cm="1">
        <f t="array" ref="AF97">RhoC(K$3,$C$4,$H14,$D$4,0,$E$5)</f>
        <v>1.3949867109230143</v>
      </c>
      <c r="AG97" cm="1">
        <f t="array" ref="AG97">RhoC(L$3,$C$4,$H14,$D$4,0,$E$5)</f>
        <v>4.8605196983075762</v>
      </c>
      <c r="AH97" cm="1">
        <f t="array" ref="AH97">RhoC(M$3,$C$4,$H14,$D$4,0,$E$5)</f>
        <v>12.916231918414782</v>
      </c>
      <c r="AI97" cm="1">
        <f t="array" ref="AI97">RhoC(N$3,$C$4,$H14,$D$4,0,$E$5)</f>
        <v>27.526263359416991</v>
      </c>
      <c r="AJ97" cm="1">
        <f t="array" ref="AJ97">RhoC(O$3,$C$4,$H14,$D$4,0,$E$5)</f>
        <v>49.021713340295129</v>
      </c>
      <c r="AK97" cm="1">
        <f t="array" ref="AK97">RhoC(P$3,$C$4,$H14,$D$4,0,$E$5)</f>
        <v>75.504315646173964</v>
      </c>
      <c r="AL97" cm="1">
        <f t="array" ref="AL97">RhoC(Q$3,$C$4,$H14,$D$4,0,$E$5)</f>
        <v>103.54544111550688</v>
      </c>
      <c r="AM97" cm="1">
        <f t="array" ref="AM97">RhoC(R$3,$C$4,$H14,$D$4,0,$E$5)</f>
        <v>129.61923957799161</v>
      </c>
      <c r="AN97" cm="1">
        <f t="array" ref="AN97">RhoC(S$3,$C$4,$H14,$D$4,0,$E$5)</f>
        <v>151.29562033151717</v>
      </c>
      <c r="AO97" cm="1">
        <f t="array" ref="AO97">RhoC(T$3,$C$4,$H14,$D$4,0,$E$5)</f>
        <v>167.65216924491807</v>
      </c>
      <c r="AP97" cm="1">
        <f t="array" ref="AP97">RhoC(U$3,$C$4,$H14,$D$4,0,$E$5)</f>
        <v>178.99842881670318</v>
      </c>
      <c r="AQ97" cm="1">
        <f t="array" ref="AQ97">RhoC(V$3,$C$4,$H14,$D$4,0,$E$5)</f>
        <v>186.31273632495481</v>
      </c>
      <c r="AR97" cm="1">
        <f t="array" ref="AR97">RhoC(W$3,$C$4,$H14,$D$4,0,$E$5)</f>
        <v>190.73528277688422</v>
      </c>
      <c r="AS97" cm="1">
        <f t="array" ref="AS97">RhoC(X$3,$C$4,$H14,$D$4,0,$E$5)</f>
        <v>193.26342865983207</v>
      </c>
      <c r="AT97" cm="1">
        <f t="array" ref="AT97">RhoC(Y$3,$C$4,$H14,$D$4,0,$E$5)</f>
        <v>194.63918255910062</v>
      </c>
    </row>
    <row r="98" spans="7:46" x14ac:dyDescent="0.2">
      <c r="H98">
        <v>3</v>
      </c>
      <c r="I98" cm="1">
        <f t="array" ref="I98">RhoC(I$3,$C$4,$H15,$D$4,0,$E$4)</f>
        <v>17.245259544138367</v>
      </c>
      <c r="J98" cm="1">
        <f t="array" ref="J98">RhoC(J$3,$C$4,$H15,$D$4,0,$E$4)</f>
        <v>26.706226544028677</v>
      </c>
      <c r="K98" cm="1">
        <f t="array" ref="K98">RhoC(K$3,$C$4,$H15,$D$4,0,$E$4)</f>
        <v>38.476487533043759</v>
      </c>
      <c r="L98" cm="1">
        <f t="array" ref="L98">RhoC(L$3,$C$4,$H15,$D$4,0,$E$4)</f>
        <v>52.273981099216769</v>
      </c>
      <c r="M98" cm="1">
        <f t="array" ref="M98">RhoC(M$3,$C$4,$H15,$D$4,0,$E$4)</f>
        <v>67.677547849775834</v>
      </c>
      <c r="N98" cm="1">
        <f t="array" ref="N98">RhoC(N$3,$C$4,$H15,$D$4,0,$E$4)</f>
        <v>84.192775036698535</v>
      </c>
      <c r="O98" cm="1">
        <f t="array" ref="O98">RhoC(O$3,$C$4,$H15,$D$4,0,$E$4)</f>
        <v>101.31166738002779</v>
      </c>
      <c r="P98" cm="1">
        <f t="array" ref="P98">RhoC(P$3,$C$4,$H15,$D$4,0,$E$4)</f>
        <v>118.55867137549207</v>
      </c>
      <c r="Q98" cm="1">
        <f t="array" ref="Q98">RhoC(Q$3,$C$4,$H15,$D$4,0,$E$4)</f>
        <v>135.52089139551933</v>
      </c>
      <c r="R98" cm="1">
        <f t="array" ref="R98">RhoC(R$3,$C$4,$H15,$D$4,0,$E$4)</f>
        <v>151.86376940705389</v>
      </c>
      <c r="S98" cm="1">
        <f t="array" ref="S98">RhoC(S$3,$C$4,$H15,$D$4,0,$E$4)</f>
        <v>167.33520389609637</v>
      </c>
      <c r="T98" cm="1">
        <f t="array" ref="T98">RhoC(T$3,$C$4,$H15,$D$4,0,$E$4)</f>
        <v>181.76154213669028</v>
      </c>
      <c r="U98" cm="1">
        <f t="array" ref="U98">RhoC(U$3,$C$4,$H15,$D$4,0,$E$4)</f>
        <v>195.03860096125629</v>
      </c>
      <c r="V98" cm="1">
        <f t="array" ref="V98">RhoC(V$3,$C$4,$H15,$D$4,0,$E$4)</f>
        <v>207.12025200276011</v>
      </c>
      <c r="W98" cm="1">
        <f t="array" ref="W98">RhoC(W$3,$C$4,$H15,$D$4,0,$E$4)</f>
        <v>218.00640774968917</v>
      </c>
      <c r="X98" cm="1">
        <f t="array" ref="X98">RhoC(X$3,$C$4,$H15,$D$4,0,$E$4)</f>
        <v>227.73160793645627</v>
      </c>
      <c r="Y98" cm="1">
        <f t="array" ref="Y98">RhoC(Y$3,$C$4,$H15,$D$4,0,$E$4)</f>
        <v>236.35489328260059</v>
      </c>
      <c r="AC98">
        <v>3</v>
      </c>
      <c r="AD98" cm="1">
        <f t="array" ref="AD98">RhoC(I$3,$C$4,$H15,$D$4,0,$E$5)</f>
        <v>0.61154603756096471</v>
      </c>
      <c r="AE98" cm="1">
        <f t="array" ref="AE98">RhoC(J$3,$C$4,$H15,$D$4,0,$E$5)</f>
        <v>2.3831658067032904</v>
      </c>
      <c r="AF98" cm="1">
        <f t="array" ref="AF98">RhoC(K$3,$C$4,$H15,$D$4,0,$E$5)</f>
        <v>7.064965905954832</v>
      </c>
      <c r="AG98" cm="1">
        <f t="array" ref="AG98">RhoC(L$3,$C$4,$H15,$D$4,0,$E$5)</f>
        <v>16.800016425945095</v>
      </c>
      <c r="AH98" cm="1">
        <f t="array" ref="AH98">RhoC(M$3,$C$4,$H15,$D$4,0,$E$5)</f>
        <v>33.403665227840925</v>
      </c>
      <c r="AI98" cm="1">
        <f t="array" ref="AI98">RhoC(N$3,$C$4,$H15,$D$4,0,$E$5)</f>
        <v>57.408661084024153</v>
      </c>
      <c r="AJ98" cm="1">
        <f t="array" ref="AJ98">RhoC(O$3,$C$4,$H15,$D$4,0,$E$5)</f>
        <v>87.613987301824238</v>
      </c>
      <c r="AK98" cm="1">
        <f t="array" ref="AK98">RhoC(P$3,$C$4,$H15,$D$4,0,$E$5)</f>
        <v>121.40668920003027</v>
      </c>
      <c r="AL98" cm="1">
        <f t="array" ref="AL98">RhoC(Q$3,$C$4,$H15,$D$4,0,$E$5)</f>
        <v>155.6127686690331</v>
      </c>
      <c r="AM98" cm="1">
        <f t="array" ref="AM98">RhoC(R$3,$C$4,$H15,$D$4,0,$E$5)</f>
        <v>187.3947298368312</v>
      </c>
      <c r="AN98" cm="1">
        <f t="array" ref="AN98">RhoC(S$3,$C$4,$H15,$D$4,0,$E$5)</f>
        <v>214.82672152563936</v>
      </c>
      <c r="AO98" cm="1">
        <f t="array" ref="AO98">RhoC(T$3,$C$4,$H15,$D$4,0,$E$5)</f>
        <v>237.04399931886559</v>
      </c>
      <c r="AP98" cm="1">
        <f t="array" ref="AP98">RhoC(U$3,$C$4,$H15,$D$4,0,$E$5)</f>
        <v>254.07168875355401</v>
      </c>
      <c r="AQ98" cm="1">
        <f t="array" ref="AQ98">RhoC(V$3,$C$4,$H15,$D$4,0,$E$5)</f>
        <v>266.51023114110518</v>
      </c>
      <c r="AR98" cm="1">
        <f t="array" ref="AR98">RhoC(W$3,$C$4,$H15,$D$4,0,$E$5)</f>
        <v>275.2237193552665</v>
      </c>
      <c r="AS98" cm="1">
        <f t="array" ref="AS98">RhoC(X$3,$C$4,$H15,$D$4,0,$E$5)</f>
        <v>281.10815254143625</v>
      </c>
      <c r="AT98" cm="1">
        <f t="array" ref="AT98">RhoC(Y$3,$C$4,$H15,$D$4,0,$E$5)</f>
        <v>284.95648996149043</v>
      </c>
    </row>
    <row r="99" spans="7:46" x14ac:dyDescent="0.2">
      <c r="H99">
        <v>4</v>
      </c>
      <c r="I99" cm="1">
        <f t="array" ref="I99">RhoC(I$3,$C$4,$H16,$D$4,0,$E$4)</f>
        <v>32.377152020462432</v>
      </c>
      <c r="J99" cm="1">
        <f t="array" ref="J99">RhoC(J$3,$C$4,$H16,$D$4,0,$E$4)</f>
        <v>45.966579050016691</v>
      </c>
      <c r="K99" cm="1">
        <f t="array" ref="K99">RhoC(K$3,$C$4,$H16,$D$4,0,$E$4)</f>
        <v>61.749948584880109</v>
      </c>
      <c r="L99" cm="1">
        <f t="array" ref="L99">RhoC(L$3,$C$4,$H16,$D$4,0,$E$4)</f>
        <v>79.297672467890507</v>
      </c>
      <c r="M99" cm="1">
        <f t="array" ref="M99">RhoC(M$3,$C$4,$H16,$D$4,0,$E$4)</f>
        <v>98.121354844747401</v>
      </c>
      <c r="N99" cm="1">
        <f t="array" ref="N99">RhoC(N$3,$C$4,$H16,$D$4,0,$E$4)</f>
        <v>117.72513441976243</v>
      </c>
      <c r="O99" cm="1">
        <f t="array" ref="O99">RhoC(O$3,$C$4,$H16,$D$4,0,$E$4)</f>
        <v>137.64368253482539</v>
      </c>
      <c r="P99" cm="1">
        <f t="array" ref="P99">RhoC(P$3,$C$4,$H16,$D$4,0,$E$4)</f>
        <v>157.46664906933412</v>
      </c>
      <c r="Q99" cm="1">
        <f t="array" ref="Q99">RhoC(Q$3,$C$4,$H16,$D$4,0,$E$4)</f>
        <v>176.85142165444597</v>
      </c>
      <c r="R99" cm="1">
        <f t="array" ref="R99">RhoC(R$3,$C$4,$H16,$D$4,0,$E$4)</f>
        <v>195.52688246325391</v>
      </c>
      <c r="S99" cm="1">
        <f t="array" ref="S99">RhoC(S$3,$C$4,$H16,$D$4,0,$E$4)</f>
        <v>213.29088821197067</v>
      </c>
      <c r="T99" cm="1">
        <f t="array" ref="T99">RhoC(T$3,$C$4,$H16,$D$4,0,$E$4)</f>
        <v>230.00383938445142</v>
      </c>
      <c r="U99" cm="1">
        <f t="array" ref="U99">RhoC(U$3,$C$4,$H16,$D$4,0,$E$4)</f>
        <v>245.58019526519709</v>
      </c>
      <c r="V99" cm="1">
        <f t="array" ref="V99">RhoC(V$3,$C$4,$H16,$D$4,0,$E$4)</f>
        <v>259.97927799092867</v>
      </c>
      <c r="W99" cm="1">
        <f t="array" ref="W99">RhoC(W$3,$C$4,$H16,$D$4,0,$E$4)</f>
        <v>273.19626305478522</v>
      </c>
      <c r="X99" cm="1">
        <f t="array" ref="X99">RhoC(X$3,$C$4,$H16,$D$4,0,$E$4)</f>
        <v>285.25390074635311</v>
      </c>
      <c r="Y99" cm="1">
        <f t="array" ref="Y99">RhoC(Y$3,$C$4,$H16,$D$4,0,$E$4)</f>
        <v>296.19525249901477</v>
      </c>
      <c r="AC99">
        <v>4</v>
      </c>
      <c r="AD99" cm="1">
        <f t="array" ref="AD99">RhoC(I$3,$C$4,$H16,$D$4,0,$E$5)</f>
        <v>2.7137815674117114</v>
      </c>
      <c r="AE99" cm="1">
        <f t="array" ref="AE99">RhoC(J$3,$C$4,$H16,$D$4,0,$E$5)</f>
        <v>7.6832332776932759</v>
      </c>
      <c r="AF99" cm="1">
        <f t="array" ref="AF99">RhoC(K$3,$C$4,$H16,$D$4,0,$E$5)</f>
        <v>17.736667658110342</v>
      </c>
      <c r="AG99" cm="1">
        <f t="array" ref="AG99">RhoC(L$3,$C$4,$H16,$D$4,0,$E$5)</f>
        <v>34.734979174896125</v>
      </c>
      <c r="AH99" cm="1">
        <f t="array" ref="AH99">RhoC(M$3,$C$4,$H16,$D$4,0,$E$5)</f>
        <v>59.523559431171975</v>
      </c>
      <c r="AI99" cm="1">
        <f t="array" ref="AI99">RhoC(N$3,$C$4,$H16,$D$4,0,$E$5)</f>
        <v>91.485721832214878</v>
      </c>
      <c r="AJ99" cm="1">
        <f t="array" ref="AJ99">RhoC(O$3,$C$4,$H16,$D$4,0,$E$5)</f>
        <v>128.6541502080531</v>
      </c>
      <c r="AK99" cm="1">
        <f t="array" ref="AK99">RhoC(P$3,$C$4,$H16,$D$4,0,$E$5)</f>
        <v>168.26600318585682</v>
      </c>
      <c r="AL99" cm="1">
        <f t="array" ref="AL99">RhoC(Q$3,$C$4,$H16,$D$4,0,$E$5)</f>
        <v>207.46435400648329</v>
      </c>
      <c r="AM99" cm="1">
        <f t="array" ref="AM99">RhoC(R$3,$C$4,$H16,$D$4,0,$E$5)</f>
        <v>243.87078999118199</v>
      </c>
      <c r="AN99" cm="1">
        <f t="array" ref="AN99">RhoC(S$3,$C$4,$H16,$D$4,0,$E$5)</f>
        <v>275.89205627569038</v>
      </c>
      <c r="AO99" cm="1">
        <f t="array" ref="AO99">RhoC(T$3,$C$4,$H16,$D$4,0,$E$5)</f>
        <v>302.76382235568667</v>
      </c>
      <c r="AP99" cm="1">
        <f t="array" ref="AP99">RhoC(U$3,$C$4,$H16,$D$4,0,$E$5)</f>
        <v>324.41523843363723</v>
      </c>
      <c r="AQ99" cm="1">
        <f t="array" ref="AQ99">RhoC(V$3,$C$4,$H16,$D$4,0,$E$5)</f>
        <v>341.25464232347827</v>
      </c>
      <c r="AR99" cm="1">
        <f t="array" ref="AR99">RhoC(W$3,$C$4,$H16,$D$4,0,$E$5)</f>
        <v>353.95433389541915</v>
      </c>
      <c r="AS99" cm="1">
        <f t="array" ref="AS99">RhoC(X$3,$C$4,$H16,$D$4,0,$E$5)</f>
        <v>363.2778272031054</v>
      </c>
      <c r="AT99" cm="1">
        <f t="array" ref="AT99">RhoC(Y$3,$C$4,$H16,$D$4,0,$E$5)</f>
        <v>369.9634355255414</v>
      </c>
    </row>
    <row r="100" spans="7:46" x14ac:dyDescent="0.2">
      <c r="H100">
        <v>5</v>
      </c>
      <c r="I100" cm="1">
        <f t="array" ref="I100">RhoC(I$3,$C$4,$H17,$D$4,0,$E$4)</f>
        <v>49.898150544272639</v>
      </c>
      <c r="J100" cm="1">
        <f t="array" ref="J100">RhoC(J$3,$C$4,$H17,$D$4,0,$E$4)</f>
        <v>67.144050131601432</v>
      </c>
      <c r="K100" cm="1">
        <f t="array" ref="K100">RhoC(K$3,$C$4,$H17,$D$4,0,$E$4)</f>
        <v>86.363051145805372</v>
      </c>
      <c r="L100" cm="1">
        <f t="array" ref="L100">RhoC(L$3,$C$4,$H17,$D$4,0,$E$4)</f>
        <v>107.06109558869031</v>
      </c>
      <c r="M100" cm="1">
        <f t="array" ref="M100">RhoC(M$3,$C$4,$H17,$D$4,0,$E$4)</f>
        <v>128.73783982233832</v>
      </c>
      <c r="N100" cm="1">
        <f t="array" ref="N100">RhoC(N$3,$C$4,$H17,$D$4,0,$E$4)</f>
        <v>150.92196539513881</v>
      </c>
      <c r="O100" cm="1">
        <f t="array" ref="O100">RhoC(O$3,$C$4,$H17,$D$4,0,$E$4)</f>
        <v>173.19351169097621</v>
      </c>
      <c r="P100" cm="1">
        <f t="array" ref="P100">RhoC(P$3,$C$4,$H17,$D$4,0,$E$4)</f>
        <v>195.1955064989242</v>
      </c>
      <c r="Q100" cm="1">
        <f t="array" ref="Q100">RhoC(Q$3,$C$4,$H17,$D$4,0,$E$4)</f>
        <v>216.63757703673949</v>
      </c>
      <c r="R100" cm="1">
        <f t="array" ref="R100">RhoC(R$3,$C$4,$H17,$D$4,0,$E$4)</f>
        <v>237.29405021947213</v>
      </c>
      <c r="S100" cm="1">
        <f t="array" ref="S100">RhoC(S$3,$C$4,$H17,$D$4,0,$E$4)</f>
        <v>256.9986224415502</v>
      </c>
      <c r="T100" cm="1">
        <f t="array" ref="T100">RhoC(T$3,$C$4,$H17,$D$4,0,$E$4)</f>
        <v>275.63718801831254</v>
      </c>
      <c r="U100" cm="1">
        <f t="array" ref="U100">RhoC(U$3,$C$4,$H17,$D$4,0,$E$4)</f>
        <v>293.13996071778939</v>
      </c>
      <c r="V100" cm="1">
        <f t="array" ref="V100">RhoC(V$3,$C$4,$H17,$D$4,0,$E$4)</f>
        <v>309.47364560622191</v>
      </c>
      <c r="W100" cm="1">
        <f t="array" ref="W100">RhoC(W$3,$C$4,$H17,$D$4,0,$E$4)</f>
        <v>324.63412741759055</v>
      </c>
      <c r="X100" cm="1">
        <f t="array" ref="X100">RhoC(X$3,$C$4,$H17,$D$4,0,$E$4)</f>
        <v>338.63992954318462</v>
      </c>
      <c r="Y100" cm="1">
        <f t="array" ref="Y100">RhoC(Y$3,$C$4,$H17,$D$4,0,$E$4)</f>
        <v>351.52655093388364</v>
      </c>
      <c r="AC100">
        <v>5</v>
      </c>
      <c r="AD100" cm="1">
        <f t="array" ref="AD100">RhoC(I$3,$C$4,$H17,$D$4,0,$E$5)</f>
        <v>7.087739486564721</v>
      </c>
      <c r="AE100" cm="1">
        <f t="array" ref="AE100">RhoC(J$3,$C$4,$H17,$D$4,0,$E$5)</f>
        <v>16.543665197834301</v>
      </c>
      <c r="AF100" cm="1">
        <f t="array" ref="AF100">RhoC(K$3,$C$4,$H17,$D$4,0,$E$5)</f>
        <v>32.816447931472723</v>
      </c>
      <c r="AG100" cm="1">
        <f t="array" ref="AG100">RhoC(L$3,$C$4,$H17,$D$4,0,$E$5)</f>
        <v>57.09630314178446</v>
      </c>
      <c r="AH100" cm="1">
        <f t="array" ref="AH100">RhoC(M$3,$C$4,$H17,$D$4,0,$E$5)</f>
        <v>89.308606477141765</v>
      </c>
      <c r="AI100" cm="1">
        <f t="array" ref="AI100">RhoC(N$3,$C$4,$H17,$D$4,0,$E$5)</f>
        <v>128.07174822131722</v>
      </c>
      <c r="AJ100" cm="1">
        <f t="array" ref="AJ100">RhoC(O$3,$C$4,$H17,$D$4,0,$E$5)</f>
        <v>171.05684720072716</v>
      </c>
      <c r="AK100" cm="1">
        <f t="array" ref="AK100">RhoC(P$3,$C$4,$H17,$D$4,0,$E$5)</f>
        <v>215.54734091941634</v>
      </c>
      <c r="AL100" cm="1">
        <f t="array" ref="AL100">RhoC(Q$3,$C$4,$H17,$D$4,0,$E$5)</f>
        <v>258.97713521361754</v>
      </c>
      <c r="AM100" cm="1">
        <f t="array" ref="AM100">RhoC(R$3,$C$4,$H17,$D$4,0,$E$5)</f>
        <v>299.30428387344614</v>
      </c>
      <c r="AN100" cm="1">
        <f t="array" ref="AN100">RhoC(S$3,$C$4,$H17,$D$4,0,$E$5)</f>
        <v>335.17828422688217</v>
      </c>
      <c r="AO100" cm="1">
        <f t="array" ref="AO100">RhoC(T$3,$C$4,$H17,$D$4,0,$E$5)</f>
        <v>365.93296824907293</v>
      </c>
      <c r="AP100" cm="1">
        <f t="array" ref="AP100">RhoC(U$3,$C$4,$H17,$D$4,0,$E$5)</f>
        <v>391.46939051629636</v>
      </c>
      <c r="AQ100" cm="1">
        <f t="array" ref="AQ100">RhoC(V$3,$C$4,$H17,$D$4,0,$E$5)</f>
        <v>412.0928812959383</v>
      </c>
      <c r="AR100" cm="1">
        <f t="array" ref="AR100">RhoC(W$3,$C$4,$H17,$D$4,0,$E$5)</f>
        <v>428.35141810001801</v>
      </c>
      <c r="AS100" cm="1">
        <f t="array" ref="AS100">RhoC(X$3,$C$4,$H17,$D$4,0,$E$5)</f>
        <v>440.9018005705932</v>
      </c>
      <c r="AT100" cm="1">
        <f t="array" ref="AT100">RhoC(Y$3,$C$4,$H17,$D$4,0,$E$5)</f>
        <v>450.41312353967959</v>
      </c>
    </row>
    <row r="103" spans="7:46" ht="31" x14ac:dyDescent="0.35">
      <c r="AI103" s="3" t="s">
        <v>111</v>
      </c>
    </row>
    <row r="108" spans="7:46" ht="31" x14ac:dyDescent="0.35">
      <c r="O108" s="3" t="s">
        <v>42</v>
      </c>
    </row>
    <row r="109" spans="7:46" x14ac:dyDescent="0.2">
      <c r="I109">
        <v>60</v>
      </c>
      <c r="J109">
        <v>65</v>
      </c>
      <c r="K109">
        <v>70</v>
      </c>
      <c r="L109">
        <v>75</v>
      </c>
      <c r="M109">
        <v>80</v>
      </c>
      <c r="N109">
        <v>85</v>
      </c>
      <c r="O109">
        <v>90</v>
      </c>
      <c r="P109">
        <v>95</v>
      </c>
      <c r="Q109">
        <v>100</v>
      </c>
      <c r="R109">
        <v>105</v>
      </c>
      <c r="S109">
        <v>110</v>
      </c>
      <c r="T109">
        <v>115</v>
      </c>
      <c r="U109">
        <v>120</v>
      </c>
      <c r="V109">
        <v>125</v>
      </c>
      <c r="W109">
        <v>130</v>
      </c>
      <c r="X109">
        <v>135</v>
      </c>
      <c r="Y109">
        <v>140</v>
      </c>
    </row>
    <row r="110" spans="7:46" x14ac:dyDescent="0.2">
      <c r="H110">
        <v>0.1</v>
      </c>
      <c r="I110" cm="1">
        <f t="array" ref="I110">DeltaC(I$3,$C$4,$H4,$D$4,0,$E$6)</f>
        <v>5.0034162369055566E-8</v>
      </c>
      <c r="J110" cm="1">
        <f t="array" ref="J110">DeltaC(J$3,$C$4,$H4,$D$4,0,$E$6)</f>
        <v>3.6821940892309305E-6</v>
      </c>
      <c r="K110" cm="1">
        <f t="array" ref="K110">DeltaC(K$3,$C$4,$H4,$D$4,0,$E$6)</f>
        <v>1.0707610281507444E-4</v>
      </c>
      <c r="L110" cm="1">
        <f t="array" ref="L110">DeltaC(L$3,$C$4,$H4,$D$4,0,$E$6)</f>
        <v>1.4675225785184855E-3</v>
      </c>
      <c r="M110" cm="1">
        <f t="array" ref="M110">DeltaC(M$3,$C$4,$H4,$D$4,0,$E$6)</f>
        <v>1.0890526735845741E-2</v>
      </c>
      <c r="N110" cm="1">
        <f t="array" ref="N110">DeltaC(N$3,$C$4,$H4,$D$4,0,$E$6)</f>
        <v>4.8949588230018437E-2</v>
      </c>
      <c r="O110" cm="1">
        <f t="array" ref="O110">DeltaC(O$3,$C$4,$H4,$D$4,0,$E$6)</f>
        <v>0.14625707559799994</v>
      </c>
      <c r="P110" cm="1">
        <f t="array" ref="P110">DeltaC(P$3,$C$4,$H4,$D$4,0,$E$6)</f>
        <v>0.31465306570218488</v>
      </c>
      <c r="Q110" cm="1">
        <f t="array" ref="Q110">DeltaC(Q$3,$C$4,$H4,$D$4,0,$E$6)</f>
        <v>0.52311576495136336</v>
      </c>
      <c r="R110" cm="1">
        <f t="array" ref="R110">DeltaC(R$3,$C$4,$H4,$D$4,0,$E$6)</f>
        <v>0.71642998296826499</v>
      </c>
      <c r="S110" cm="1">
        <f t="array" ref="S110">DeltaC(S$3,$C$4,$H4,$D$4,0,$E$6)</f>
        <v>0.85602570106502907</v>
      </c>
      <c r="T110" cm="1">
        <f t="array" ref="T110">DeltaC(T$3,$C$4,$H4,$D$4,0,$E$6)</f>
        <v>0.9371394361344666</v>
      </c>
      <c r="U110" cm="1">
        <f t="array" ref="U110">DeltaC(U$3,$C$4,$H4,$D$4,0,$E$6)</f>
        <v>0.97613772992890591</v>
      </c>
      <c r="V110" cm="1">
        <f t="array" ref="V110">DeltaC(V$3,$C$4,$H4,$D$4,0,$E$6)</f>
        <v>0.99202624587419741</v>
      </c>
      <c r="W110" cm="1">
        <f t="array" ref="W110">DeltaC(W$3,$C$4,$H4,$D$4,0,$E$6)</f>
        <v>0.9976251547967403</v>
      </c>
      <c r="X110" cm="1">
        <f t="array" ref="X110">DeltaC(X$3,$C$4,$H4,$D$4,0,$E$6)</f>
        <v>0.99936207053892745</v>
      </c>
      <c r="Y110" cm="1">
        <f t="array" ref="Y110">DeltaC(Y$3,$C$4,$H4,$D$4,0,$E$6)</f>
        <v>0.99984374547949573</v>
      </c>
    </row>
    <row r="111" spans="7:46" x14ac:dyDescent="0.2">
      <c r="H111">
        <v>0.2</v>
      </c>
      <c r="I111" cm="1">
        <f t="array" ref="I111">DeltaC(I$3,$C$4,$H5,$D$4,0,$E$6)</f>
        <v>9.7471862538906133E-5</v>
      </c>
      <c r="J111" cm="1">
        <f t="array" ref="J111">DeltaC(J$3,$C$4,$H5,$D$4,0,$E$6)</f>
        <v>8.7737836912211346E-4</v>
      </c>
      <c r="K111" cm="1">
        <f t="array" ref="K111">DeltaC(K$3,$C$4,$H5,$D$4,0,$E$6)</f>
        <v>4.9901816736536639E-3</v>
      </c>
      <c r="L111" cm="1">
        <f t="array" ref="L111">DeltaC(L$3,$C$4,$H5,$D$4,0,$E$6)</f>
        <v>1.9591189701574866E-2</v>
      </c>
      <c r="M111" cm="1">
        <f t="array" ref="M111">DeltaC(M$3,$C$4,$H5,$D$4,0,$E$6)</f>
        <v>5.6913337986291397E-2</v>
      </c>
      <c r="N111" cm="1">
        <f t="array" ref="N111">DeltaC(N$3,$C$4,$H5,$D$4,0,$E$6)</f>
        <v>0.12937396522841807</v>
      </c>
      <c r="O111" cm="1">
        <f t="array" ref="O111">DeltaC(O$3,$C$4,$H5,$D$4,0,$E$6)</f>
        <v>0.24092762709076576</v>
      </c>
      <c r="P111" cm="1">
        <f t="array" ref="P111">DeltaC(P$3,$C$4,$H5,$D$4,0,$E$6)</f>
        <v>0.3819633040789554</v>
      </c>
      <c r="Q111" cm="1">
        <f t="array" ref="Q111">DeltaC(Q$3,$C$4,$H5,$D$4,0,$E$6)</f>
        <v>0.53267233292182181</v>
      </c>
      <c r="R111" cm="1">
        <f t="array" ref="R111">DeltaC(R$3,$C$4,$H5,$D$4,0,$E$6)</f>
        <v>0.67207480164598299</v>
      </c>
      <c r="S111" cm="1">
        <f t="array" ref="S111">DeltaC(S$3,$C$4,$H5,$D$4,0,$E$6)</f>
        <v>0.78593314054026053</v>
      </c>
      <c r="T111" cm="1">
        <f t="array" ref="T111">DeltaC(T$3,$C$4,$H5,$D$4,0,$E$6)</f>
        <v>0.86943263666792814</v>
      </c>
      <c r="U111" cm="1">
        <f t="array" ref="U111">DeltaC(U$3,$C$4,$H5,$D$4,0,$E$6)</f>
        <v>0.92519830817009863</v>
      </c>
      <c r="V111" cm="1">
        <f t="array" ref="V111">DeltaC(V$3,$C$4,$H5,$D$4,0,$E$6)</f>
        <v>0.95952522958374731</v>
      </c>
      <c r="W111" cm="1">
        <f t="array" ref="W111">DeltaC(W$3,$C$4,$H5,$D$4,0,$E$6)</f>
        <v>0.97920186730211123</v>
      </c>
      <c r="X111" cm="1">
        <f t="array" ref="X111">DeltaC(X$3,$C$4,$H5,$D$4,0,$E$6)</f>
        <v>0.98979805440371849</v>
      </c>
      <c r="Y111" cm="1">
        <f t="array" ref="Y111">DeltaC(Y$3,$C$4,$H5,$D$4,0,$E$6)</f>
        <v>0.99519988085741351</v>
      </c>
    </row>
    <row r="112" spans="7:46" x14ac:dyDescent="0.2">
      <c r="G112" t="s">
        <v>39</v>
      </c>
      <c r="H112">
        <v>0.3</v>
      </c>
      <c r="I112" cm="1">
        <f t="array" ref="I112">DeltaC(I$3,$C$4,$H6,$D$4,0,$E$6)</f>
        <v>1.3132659794663289E-3</v>
      </c>
      <c r="J112" cm="1">
        <f t="array" ref="J112">DeltaC(J$3,$C$4,$H6,$D$4,0,$E$6)</f>
        <v>5.847011044032159E-3</v>
      </c>
      <c r="K112" cm="1">
        <f t="array" ref="K112">DeltaC(K$3,$C$4,$H6,$D$4,0,$E$6)</f>
        <v>1.9214994632873038E-2</v>
      </c>
      <c r="L112" cm="1">
        <f t="array" ref="L112">DeltaC(L$3,$C$4,$H6,$D$4,0,$E$6)</f>
        <v>4.9434506570869327E-2</v>
      </c>
      <c r="M112" cm="1">
        <f t="array" ref="M112">DeltaC(M$3,$C$4,$H6,$D$4,0,$E$6)</f>
        <v>0.10426956463923273</v>
      </c>
      <c r="N112" cm="1">
        <f t="array" ref="N112">DeltaC(N$3,$C$4,$H6,$D$4,0,$E$6)</f>
        <v>0.1870975122113735</v>
      </c>
      <c r="O112" cm="1">
        <f t="array" ref="O112">DeltaC(O$3,$C$4,$H6,$D$4,0,$E$6)</f>
        <v>0.29432689998056172</v>
      </c>
      <c r="P112" cm="1">
        <f t="array" ref="P112">DeltaC(P$3,$C$4,$H6,$D$4,0,$E$6)</f>
        <v>0.4161528933790935</v>
      </c>
      <c r="Q112" cm="1">
        <f t="array" ref="Q112">DeltaC(Q$3,$C$4,$H6,$D$4,0,$E$6)</f>
        <v>0.53999288758705544</v>
      </c>
      <c r="R112" cm="1">
        <f t="array" ref="R112">DeltaC(R$3,$C$4,$H6,$D$4,0,$E$6)</f>
        <v>0.65444283411208759</v>
      </c>
      <c r="S112" cm="1">
        <f t="array" ref="S112">DeltaC(S$3,$C$4,$H6,$D$4,0,$E$6)</f>
        <v>0.75189182389050946</v>
      </c>
      <c r="T112" cm="1">
        <f t="array" ref="T112">DeltaC(T$3,$C$4,$H6,$D$4,0,$E$6)</f>
        <v>0.82919270948748747</v>
      </c>
      <c r="U112" cm="1">
        <f t="array" ref="U112">DeltaC(U$3,$C$4,$H6,$D$4,0,$E$6)</f>
        <v>0.88685853170876361</v>
      </c>
      <c r="V112" cm="1">
        <f t="array" ref="V112">DeltaC(V$3,$C$4,$H6,$D$4,0,$E$6)</f>
        <v>0.92763817410360494</v>
      </c>
      <c r="W112" cm="1">
        <f t="array" ref="W112">DeltaC(W$3,$C$4,$H6,$D$4,0,$E$6)</f>
        <v>0.95516243259384059</v>
      </c>
      <c r="X112" cm="1">
        <f t="array" ref="X112">DeltaC(X$3,$C$4,$H6,$D$4,0,$E$6)</f>
        <v>0.97299735807546184</v>
      </c>
      <c r="Y112" cm="1">
        <f t="array" ref="Y112">DeltaC(Y$3,$C$4,$H6,$D$4,0,$E$6)</f>
        <v>0.98414791288614301</v>
      </c>
    </row>
    <row r="113" spans="8:25" x14ac:dyDescent="0.2">
      <c r="H113">
        <v>0.4</v>
      </c>
      <c r="I113" cm="1">
        <f t="array" ref="I113">DeltaC(I$3,$C$4,$H7,$D$4,0,$E$6)</f>
        <v>4.992660033900336E-3</v>
      </c>
      <c r="J113" cm="1">
        <f t="array" ref="J113">DeltaC(J$3,$C$4,$H7,$D$4,0,$E$6)</f>
        <v>1.5601464786896047E-2</v>
      </c>
      <c r="K113" cm="1">
        <f t="array" ref="K113">DeltaC(K$3,$C$4,$H7,$D$4,0,$E$6)</f>
        <v>3.8875096230606622E-2</v>
      </c>
      <c r="L113" cm="1">
        <f t="array" ref="L113">DeltaC(L$3,$C$4,$H7,$D$4,0,$E$6)</f>
        <v>8.0716619021007019E-2</v>
      </c>
      <c r="M113" cm="1">
        <f t="array" ref="M113">DeltaC(M$3,$C$4,$H7,$D$4,0,$E$6)</f>
        <v>0.14454509647225661</v>
      </c>
      <c r="N113" cm="1">
        <f t="array" ref="N113">DeltaC(N$3,$C$4,$H7,$D$4,0,$E$6)</f>
        <v>0.22946806891671254</v>
      </c>
      <c r="O113" cm="1">
        <f t="array" ref="O113">DeltaC(O$3,$C$4,$H7,$D$4,0,$E$6)</f>
        <v>0.33020452050949323</v>
      </c>
      <c r="P113" cm="1">
        <f t="array" ref="P113">DeltaC(P$3,$C$4,$H7,$D$4,0,$E$6)</f>
        <v>0.43865142750198127</v>
      </c>
      <c r="Q113" cm="1">
        <f t="array" ref="Q113">DeltaC(Q$3,$C$4,$H7,$D$4,0,$E$6)</f>
        <v>0.54615398735857767</v>
      </c>
      <c r="R113" cm="1">
        <f t="array" ref="R113">DeltaC(R$3,$C$4,$H7,$D$4,0,$E$6)</f>
        <v>0.64546184621426217</v>
      </c>
      <c r="S113" cm="1">
        <f t="array" ref="S113">DeltaC(S$3,$C$4,$H7,$D$4,0,$E$6)</f>
        <v>0.7318042573881709</v>
      </c>
      <c r="T113" cm="1">
        <f t="array" ref="T113">DeltaC(T$3,$C$4,$H7,$D$4,0,$E$6)</f>
        <v>0.80304840536517041</v>
      </c>
      <c r="U113" cm="1">
        <f t="array" ref="U113">DeltaC(U$3,$C$4,$H7,$D$4,0,$E$6)</f>
        <v>0.85923063815805933</v>
      </c>
      <c r="V113" cm="1">
        <f t="array" ref="V113">DeltaC(V$3,$C$4,$H7,$D$4,0,$E$6)</f>
        <v>0.90182488378357184</v>
      </c>
      <c r="W113" cm="1">
        <f t="array" ref="W113">DeltaC(W$3,$C$4,$H7,$D$4,0,$E$6)</f>
        <v>0.93302831921275364</v>
      </c>
      <c r="X113" cm="1">
        <f t="array" ref="X113">DeltaC(X$3,$C$4,$H7,$D$4,0,$E$6)</f>
        <v>0.95521216048553548</v>
      </c>
      <c r="Y113" cm="1">
        <f t="array" ref="Y113">DeltaC(Y$3,$C$4,$H7,$D$4,0,$E$6)</f>
        <v>0.97057515521784565</v>
      </c>
    </row>
    <row r="114" spans="8:25" x14ac:dyDescent="0.2">
      <c r="H114">
        <v>0.5</v>
      </c>
      <c r="I114" cm="1">
        <f t="array" ref="I114">DeltaC(I$3,$C$4,$H8,$D$4,0,$E$6)</f>
        <v>1.135081746473166E-2</v>
      </c>
      <c r="J114" cm="1">
        <f t="array" ref="J114">DeltaC(J$3,$C$4,$H8,$D$4,0,$E$6)</f>
        <v>2.8644857358513204E-2</v>
      </c>
      <c r="K114" cm="1">
        <f t="array" ref="K114">DeltaC(K$3,$C$4,$H8,$D$4,0,$E$6)</f>
        <v>6.0361557489523619E-2</v>
      </c>
      <c r="L114" cm="1">
        <f t="array" ref="L114">DeltaC(L$3,$C$4,$H8,$D$4,0,$E$6)</f>
        <v>0.11000339750396831</v>
      </c>
      <c r="M114" cm="1">
        <f t="array" ref="M114">DeltaC(M$3,$C$4,$H8,$D$4,0,$E$6)</f>
        <v>0.17819321540160804</v>
      </c>
      <c r="N114" cm="1">
        <f t="array" ref="N114">DeltaC(N$3,$C$4,$H8,$D$4,0,$E$6)</f>
        <v>0.26223006736843324</v>
      </c>
      <c r="O114" cm="1">
        <f t="array" ref="O114">DeltaC(O$3,$C$4,$H8,$D$4,0,$E$6)</f>
        <v>0.35679534006601854</v>
      </c>
      <c r="P114" cm="1">
        <f t="array" ref="P114">DeltaC(P$3,$C$4,$H8,$D$4,0,$E$6)</f>
        <v>0.45534721551467583</v>
      </c>
      <c r="Q114" cm="1">
        <f t="array" ref="Q114">DeltaC(Q$3,$C$4,$H8,$D$4,0,$E$6)</f>
        <v>0.55157288637548119</v>
      </c>
      <c r="R114" cm="1">
        <f t="array" ref="R114">DeltaC(R$3,$C$4,$H8,$D$4,0,$E$6)</f>
        <v>0.64044005264399373</v>
      </c>
      <c r="S114" cm="1">
        <f t="array" ref="S114">DeltaC(S$3,$C$4,$H8,$D$4,0,$E$6)</f>
        <v>0.71868272096314856</v>
      </c>
      <c r="T114" cm="1">
        <f t="array" ref="T114">DeltaC(T$3,$C$4,$H8,$D$4,0,$E$6)</f>
        <v>0.78479210831011448</v>
      </c>
      <c r="U114" cm="1">
        <f t="array" ref="U114">DeltaC(U$3,$C$4,$H8,$D$4,0,$E$6)</f>
        <v>0.83869492248144772</v>
      </c>
      <c r="V114" cm="1">
        <f t="array" ref="V114">DeltaC(V$3,$C$4,$H8,$D$4,0,$E$6)</f>
        <v>0.8813068623898227</v>
      </c>
      <c r="W114" cm="1">
        <f t="array" ref="W114">DeltaC(W$3,$C$4,$H8,$D$4,0,$E$6)</f>
        <v>0.91409849026161683</v>
      </c>
      <c r="X114" cm="1">
        <f t="array" ref="X114">DeltaC(X$3,$C$4,$H8,$D$4,0,$E$6)</f>
        <v>0.93874735257652986</v>
      </c>
      <c r="Y114" cm="1">
        <f t="array" ref="Y114">DeltaC(Y$3,$C$4,$H8,$D$4,0,$E$6)</f>
        <v>0.95689898642329596</v>
      </c>
    </row>
    <row r="115" spans="8:25" x14ac:dyDescent="0.2">
      <c r="H115">
        <v>0.6</v>
      </c>
      <c r="I115" cm="1">
        <f t="array" ref="I115">DeltaC(I$3,$C$4,$H9,$D$4,0,$E$6)</f>
        <v>1.9879978802043376E-2</v>
      </c>
      <c r="J115" cm="1">
        <f t="array" ref="J115">DeltaC(J$3,$C$4,$H9,$D$4,0,$E$6)</f>
        <v>4.3468137473605208E-2</v>
      </c>
      <c r="K115" cm="1">
        <f t="array" ref="K115">DeltaC(K$3,$C$4,$H9,$D$4,0,$E$6)</f>
        <v>8.1828768636166921E-2</v>
      </c>
      <c r="L115" cm="1">
        <f t="array" ref="L115">DeltaC(L$3,$C$4,$H9,$D$4,0,$E$6)</f>
        <v>0.13654438951976747</v>
      </c>
      <c r="M115" cm="1">
        <f t="array" ref="M115">DeltaC(M$3,$C$4,$H9,$D$4,0,$E$6)</f>
        <v>0.20660792036453604</v>
      </c>
      <c r="N115" cm="1">
        <f t="array" ref="N115">DeltaC(N$3,$C$4,$H9,$D$4,0,$E$6)</f>
        <v>0.28864049524186719</v>
      </c>
      <c r="O115" cm="1">
        <f t="array" ref="O115">DeltaC(O$3,$C$4,$H9,$D$4,0,$E$6)</f>
        <v>0.37775204713439936</v>
      </c>
      <c r="P115" cm="1">
        <f t="array" ref="P115">DeltaC(P$3,$C$4,$H9,$D$4,0,$E$6)</f>
        <v>0.46862695070489657</v>
      </c>
      <c r="Q115" cm="1">
        <f t="array" ref="Q115">DeltaC(Q$3,$C$4,$H9,$D$4,0,$E$6)</f>
        <v>0.55646370539182832</v>
      </c>
      <c r="R115" cm="1">
        <f t="array" ref="R115">DeltaC(R$3,$C$4,$H9,$D$4,0,$E$6)</f>
        <v>0.6375691792945577</v>
      </c>
      <c r="S115" cm="1">
        <f t="array" ref="S115">DeltaC(S$3,$C$4,$H9,$D$4,0,$E$6)</f>
        <v>0.70958032306564656</v>
      </c>
      <c r="T115" cm="1">
        <f t="array" ref="T115">DeltaC(T$3,$C$4,$H9,$D$4,0,$E$6)</f>
        <v>0.77139506484411136</v>
      </c>
      <c r="U115" cm="1">
        <f t="array" ref="U115">DeltaC(U$3,$C$4,$H9,$D$4,0,$E$6)</f>
        <v>0.82293195018806276</v>
      </c>
      <c r="V115" cm="1">
        <f t="array" ref="V115">DeltaC(V$3,$C$4,$H9,$D$4,0,$E$6)</f>
        <v>0.86482705141973815</v>
      </c>
      <c r="W115" cm="1">
        <f t="array" ref="W115">DeltaC(W$3,$C$4,$H9,$D$4,0,$E$6)</f>
        <v>0.89814375452956496</v>
      </c>
      <c r="X115" cm="1">
        <f t="array" ref="X115">DeltaC(X$3,$C$4,$H9,$D$4,0,$E$6)</f>
        <v>0.92413592245152854</v>
      </c>
      <c r="Y115" cm="1">
        <f t="array" ref="Y115">DeltaC(Y$3,$C$4,$H9,$D$4,0,$E$6)</f>
        <v>0.94407756560009015</v>
      </c>
    </row>
    <row r="116" spans="8:25" x14ac:dyDescent="0.2">
      <c r="H116">
        <v>0.7</v>
      </c>
      <c r="I116" cm="1">
        <f t="array" ref="I116">DeltaC(I$3,$C$4,$H10,$D$4,0,$E$6)</f>
        <v>2.9932244764737312E-2</v>
      </c>
      <c r="J116" cm="1">
        <f t="array" ref="J116">DeltaC(J$3,$C$4,$H10,$D$4,0,$E$6)</f>
        <v>5.9038935425869576E-2</v>
      </c>
      <c r="K116" cm="1">
        <f t="array" ref="K116">DeltaC(K$3,$C$4,$H10,$D$4,0,$E$6)</f>
        <v>0.1024633918843465</v>
      </c>
      <c r="L116" cm="1">
        <f t="array" ref="L116">DeltaC(L$3,$C$4,$H10,$D$4,0,$E$6)</f>
        <v>0.16041221101185985</v>
      </c>
      <c r="M116" cm="1">
        <f t="array" ref="M116">DeltaC(M$3,$C$4,$H10,$D$4,0,$E$6)</f>
        <v>0.23097566222627239</v>
      </c>
      <c r="N116" cm="1">
        <f t="array" ref="N116">DeltaC(N$3,$C$4,$H10,$D$4,0,$E$6)</f>
        <v>0.31061663415168483</v>
      </c>
      <c r="O116" cm="1">
        <f t="array" ref="O116">DeltaC(O$3,$C$4,$H10,$D$4,0,$E$6)</f>
        <v>0.39497379522555537</v>
      </c>
      <c r="P116" cm="1">
        <f t="array" ref="P116">DeltaC(P$3,$C$4,$H10,$D$4,0,$E$6)</f>
        <v>0.47967483058661126</v>
      </c>
      <c r="Q116" cm="1">
        <f t="array" ref="Q116">DeltaC(Q$3,$C$4,$H10,$D$4,0,$E$6)</f>
        <v>0.56095371673383299</v>
      </c>
      <c r="R116" cm="1">
        <f t="array" ref="R116">DeltaC(R$3,$C$4,$H10,$D$4,0,$E$6)</f>
        <v>0.63599441741087059</v>
      </c>
      <c r="S116" cm="1">
        <f t="array" ref="S116">DeltaC(S$3,$C$4,$H10,$D$4,0,$E$6)</f>
        <v>0.70302215257089251</v>
      </c>
      <c r="T116" cm="1">
        <f t="array" ref="T116">DeltaC(T$3,$C$4,$H10,$D$4,0,$E$6)</f>
        <v>0.76121383901599127</v>
      </c>
      <c r="U116" cm="1">
        <f t="array" ref="U116">DeltaC(U$3,$C$4,$H10,$D$4,0,$E$6)</f>
        <v>0.81050916202186163</v>
      </c>
      <c r="V116" cm="1">
        <f t="array" ref="V116">DeltaC(V$3,$C$4,$H10,$D$4,0,$E$6)</f>
        <v>0.85138984659601935</v>
      </c>
      <c r="W116" cm="1">
        <f t="array" ref="W116">DeltaC(W$3,$C$4,$H10,$D$4,0,$E$6)</f>
        <v>0.8846722298971994</v>
      </c>
      <c r="X116" cm="1">
        <f t="array" ref="X116">DeltaC(X$3,$C$4,$H10,$D$4,0,$E$6)</f>
        <v>0.91133681457196536</v>
      </c>
      <c r="Y116" cm="1">
        <f t="array" ref="Y116">DeltaC(Y$3,$C$4,$H10,$D$4,0,$E$6)</f>
        <v>0.93240240791875728</v>
      </c>
    </row>
    <row r="117" spans="8:25" x14ac:dyDescent="0.2">
      <c r="H117">
        <v>0.8</v>
      </c>
      <c r="I117" cm="1">
        <f t="array" ref="I117">DeltaC(I$3,$C$4,$H11,$D$4,0,$E$6)</f>
        <v>4.0950902335764483E-2</v>
      </c>
      <c r="J117" cm="1">
        <f t="array" ref="J117">DeltaC(J$3,$C$4,$H11,$D$4,0,$E$6)</f>
        <v>7.4728116021825122E-2</v>
      </c>
      <c r="K117" cm="1">
        <f t="array" ref="K117">DeltaC(K$3,$C$4,$H11,$D$4,0,$E$6)</f>
        <v>0.12195471445596062</v>
      </c>
      <c r="L117" cm="1">
        <f t="array" ref="L117">DeltaC(L$3,$C$4,$H11,$D$4,0,$E$6)</f>
        <v>0.18189962970104834</v>
      </c>
      <c r="M117" cm="1">
        <f t="array" ref="M117">DeltaC(M$3,$C$4,$H11,$D$4,0,$E$6)</f>
        <v>0.2521853492329863</v>
      </c>
      <c r="N117" cm="1">
        <f t="array" ref="N117">DeltaC(N$3,$C$4,$H11,$D$4,0,$E$6)</f>
        <v>0.32935533629557545</v>
      </c>
      <c r="O117" cm="1">
        <f t="array" ref="O117">DeltaC(O$3,$C$4,$H11,$D$4,0,$E$6)</f>
        <v>0.4095599317357414</v>
      </c>
      <c r="P117" cm="1">
        <f t="array" ref="P117">DeltaC(P$3,$C$4,$H11,$D$4,0,$E$6)</f>
        <v>0.48915788300334873</v>
      </c>
      <c r="Q117" cm="1">
        <f t="array" ref="Q117">DeltaC(Q$3,$C$4,$H11,$D$4,0,$E$6)</f>
        <v>0.56512589389530643</v>
      </c>
      <c r="R117" cm="1">
        <f t="array" ref="R117">DeltaC(R$3,$C$4,$H11,$D$4,0,$E$6)</f>
        <v>0.63525669084775627</v>
      </c>
      <c r="S117" cm="1">
        <f t="array" ref="S117">DeltaC(S$3,$C$4,$H11,$D$4,0,$E$6)</f>
        <v>0.69818182521677907</v>
      </c>
      <c r="T117" cm="1">
        <f t="array" ref="T117">DeltaC(T$3,$C$4,$H11,$D$4,0,$E$6)</f>
        <v>0.75327765691030435</v>
      </c>
      <c r="U117" cm="1">
        <f t="array" ref="U117">DeltaC(U$3,$C$4,$H11,$D$4,0,$E$6)</f>
        <v>0.80051177059449707</v>
      </c>
      <c r="V117" cm="1">
        <f t="array" ref="V117">DeltaC(V$3,$C$4,$H11,$D$4,0,$E$6)</f>
        <v>0.84027414396084255</v>
      </c>
      <c r="W117" cm="1">
        <f t="array" ref="W117">DeltaC(W$3,$C$4,$H11,$D$4,0,$E$6)</f>
        <v>0.87322148228571717</v>
      </c>
      <c r="X117" cm="1">
        <f t="array" ref="X117">DeltaC(X$3,$C$4,$H11,$D$4,0,$E$6)</f>
        <v>0.90014918606468963</v>
      </c>
      <c r="Y117" cm="1">
        <f t="array" ref="Y117">DeltaC(Y$3,$C$4,$H11,$D$4,0,$E$6)</f>
        <v>0.92189531953464121</v>
      </c>
    </row>
    <row r="118" spans="8:25" x14ac:dyDescent="0.2">
      <c r="H118">
        <v>0.9</v>
      </c>
      <c r="I118" cm="1">
        <f t="array" ref="I118">DeltaC(I$3,$C$4,$H12,$D$4,0,$E$6)</f>
        <v>5.2516002614189643E-2</v>
      </c>
      <c r="J118" cm="1">
        <f t="array" ref="J118">DeltaC(J$3,$C$4,$H12,$D$4,0,$E$6)</f>
        <v>9.0172813400075449E-2</v>
      </c>
      <c r="K118" cm="1">
        <f t="array" ref="K118">DeltaC(K$3,$C$4,$H12,$D$4,0,$E$6)</f>
        <v>0.1402263966706617</v>
      </c>
      <c r="L118" cm="1">
        <f t="array" ref="L118">DeltaC(L$3,$C$4,$H12,$D$4,0,$E$6)</f>
        <v>0.20132818570829822</v>
      </c>
      <c r="M118" cm="1">
        <f t="array" ref="M118">DeltaC(M$3,$C$4,$H12,$D$4,0,$E$6)</f>
        <v>0.27089074616784542</v>
      </c>
      <c r="N118" cm="1">
        <f t="array" ref="N118">DeltaC(N$3,$C$4,$H12,$D$4,0,$E$6)</f>
        <v>0.3456438956868198</v>
      </c>
      <c r="O118" cm="1">
        <f t="array" ref="O118">DeltaC(O$3,$C$4,$H12,$D$4,0,$E$6)</f>
        <v>0.42219791583544131</v>
      </c>
      <c r="P118" cm="1">
        <f t="array" ref="P118">DeltaC(P$3,$C$4,$H12,$D$4,0,$E$6)</f>
        <v>0.49748628363861269</v>
      </c>
      <c r="Q118" cm="1">
        <f t="array" ref="Q118">DeltaC(Q$3,$C$4,$H12,$D$4,0,$E$6)</f>
        <v>0.56903790416143729</v>
      </c>
      <c r="R118" cm="1">
        <f t="array" ref="R118">DeltaC(R$3,$C$4,$H12,$D$4,0,$E$6)</f>
        <v>0.63508678730440149</v>
      </c>
      <c r="S118" cm="1">
        <f t="array" ref="S118">DeltaC(S$3,$C$4,$H12,$D$4,0,$E$6)</f>
        <v>0.69455768345693381</v>
      </c>
      <c r="T118" cm="1">
        <f t="array" ref="T118">DeltaC(T$3,$C$4,$H12,$D$4,0,$E$6)</f>
        <v>0.74697433142683933</v>
      </c>
      <c r="U118" cm="1">
        <f t="array" ref="U118">DeltaC(U$3,$C$4,$H12,$D$4,0,$E$6)</f>
        <v>0.79233157169098423</v>
      </c>
      <c r="V118" cm="1">
        <f t="array" ref="V118">DeltaC(V$3,$C$4,$H12,$D$4,0,$E$6)</f>
        <v>0.83096150825161674</v>
      </c>
      <c r="W118" cm="1">
        <f t="array" ref="W118">DeltaC(W$3,$C$4,$H12,$D$4,0,$E$6)</f>
        <v>0.86341232176687477</v>
      </c>
      <c r="X118" cm="1">
        <f t="array" ref="X118">DeltaC(X$3,$C$4,$H12,$D$4,0,$E$6)</f>
        <v>0.89034882296294016</v>
      </c>
      <c r="Y118" cm="1">
        <f t="array" ref="Y118">DeltaC(Y$3,$C$4,$H12,$D$4,0,$E$6)</f>
        <v>0.9124771715221327</v>
      </c>
    </row>
    <row r="119" spans="8:25" x14ac:dyDescent="0.2">
      <c r="H119">
        <v>1</v>
      </c>
      <c r="I119" cm="1">
        <f t="array" ref="I119">DeltaC(I$3,$C$4,$H13,$D$4,0,$E$6)</f>
        <v>6.4328563178374959E-2</v>
      </c>
      <c r="J119" cm="1">
        <f t="array" ref="J119">DeltaC(J$3,$C$4,$H13,$D$4,0,$E$6)</f>
        <v>0.10517388780770233</v>
      </c>
      <c r="K119" cm="1">
        <f t="array" ref="K119">DeltaC(K$3,$C$4,$H13,$D$4,0,$E$6)</f>
        <v>0.15730806721544691</v>
      </c>
      <c r="L119" cm="1">
        <f t="array" ref="L119">DeltaC(L$3,$C$4,$H13,$D$4,0,$E$6)</f>
        <v>0.21899056011833215</v>
      </c>
      <c r="M119" cm="1">
        <f t="array" ref="M119">DeltaC(M$3,$C$4,$H13,$D$4,0,$E$6)</f>
        <v>0.28757654881407341</v>
      </c>
      <c r="N119" cm="1">
        <f t="array" ref="N119">DeltaC(N$3,$C$4,$H13,$D$4,0,$E$6)</f>
        <v>0.36002333083467097</v>
      </c>
      <c r="O119" cm="1">
        <f t="array" ref="O119">DeltaC(O$3,$C$4,$H13,$D$4,0,$E$6)</f>
        <v>0.43334341092094791</v>
      </c>
      <c r="P119" cm="1">
        <f t="array" ref="P119">DeltaC(P$3,$C$4,$H13,$D$4,0,$E$6)</f>
        <v>0.50492907988438374</v>
      </c>
      <c r="Q119" cm="1">
        <f t="array" ref="Q119">DeltaC(Q$3,$C$4,$H13,$D$4,0,$E$6)</f>
        <v>0.57273175930304054</v>
      </c>
      <c r="R119" cm="1">
        <f t="array" ref="R119">DeltaC(R$3,$C$4,$H13,$D$4,0,$E$6)</f>
        <v>0.63531632275589001</v>
      </c>
      <c r="S119" cm="1">
        <f t="array" ref="S119">DeltaC(S$3,$C$4,$H13,$D$4,0,$E$6)</f>
        <v>0.69182637898167587</v>
      </c>
      <c r="T119" cm="1">
        <f t="array" ref="T119">DeltaC(T$3,$C$4,$H13,$D$4,0,$E$6)</f>
        <v>0.74189753633829758</v>
      </c>
      <c r="U119" cm="1">
        <f t="array" ref="U119">DeltaC(U$3,$C$4,$H13,$D$4,0,$E$6)</f>
        <v>0.78554896929810647</v>
      </c>
      <c r="V119" cm="1">
        <f t="array" ref="V119">DeltaC(V$3,$C$4,$H13,$D$4,0,$E$6)</f>
        <v>0.82307441711333762</v>
      </c>
      <c r="W119" cm="1">
        <f t="array" ref="W119">DeltaC(W$3,$C$4,$H13,$D$4,0,$E$6)</f>
        <v>0.85494512380940124</v>
      </c>
      <c r="X119" cm="1">
        <f t="array" ref="X119">DeltaC(X$3,$C$4,$H13,$D$4,0,$E$6)</f>
        <v>0.88173051157264637</v>
      </c>
      <c r="Y119" cm="1">
        <f t="array" ref="Y119">DeltaC(Y$3,$C$4,$H13,$D$4,0,$E$6)</f>
        <v>0.90403781886513113</v>
      </c>
    </row>
    <row r="120" spans="8:25" x14ac:dyDescent="0.2">
      <c r="H120">
        <v>2</v>
      </c>
      <c r="I120" cm="1">
        <f t="array" ref="I120">DeltaC(I$3,$C$4,$H14,$D$4,0,$E$6)</f>
        <v>0.17239197114368851</v>
      </c>
      <c r="J120" cm="1">
        <f t="array" ref="J120">DeltaC(J$3,$C$4,$H14,$D$4,0,$E$6)</f>
        <v>0.22479684393807561</v>
      </c>
      <c r="K120" cm="1">
        <f t="array" ref="K120">DeltaC(K$3,$C$4,$H14,$D$4,0,$E$6)</f>
        <v>0.28047924339879654</v>
      </c>
      <c r="L120" cm="1">
        <f t="array" ref="L120">DeltaC(L$3,$C$4,$H14,$D$4,0,$E$6)</f>
        <v>0.33768091083242546</v>
      </c>
      <c r="M120" cm="1">
        <f t="array" ref="M120">DeltaC(M$3,$C$4,$H14,$D$4,0,$E$6)</f>
        <v>0.39485704248118841</v>
      </c>
      <c r="N120" cm="1">
        <f t="array" ref="N120">DeltaC(N$3,$C$4,$H14,$D$4,0,$E$6)</f>
        <v>0.45074144633462454</v>
      </c>
      <c r="O120" cm="1">
        <f t="array" ref="O120">DeltaC(O$3,$C$4,$H14,$D$4,0,$E$6)</f>
        <v>0.50436249428511837</v>
      </c>
      <c r="P120" cm="1">
        <f t="array" ref="P120">DeltaC(P$3,$C$4,$H14,$D$4,0,$E$6)</f>
        <v>0.55502719539571732</v>
      </c>
      <c r="Q120" cm="1">
        <f t="array" ref="Q120">DeltaC(Q$3,$C$4,$H14,$D$4,0,$E$6)</f>
        <v>0.60228749680470339</v>
      </c>
      <c r="R120" cm="1">
        <f t="array" ref="R120">DeltaC(R$3,$C$4,$H14,$D$4,0,$E$6)</f>
        <v>0.64589902155139922</v>
      </c>
      <c r="S120" cm="1">
        <f t="array" ref="S120">DeltaC(S$3,$C$4,$H14,$D$4,0,$E$6)</f>
        <v>0.68577893776060739</v>
      </c>
      <c r="T120" cm="1">
        <f t="array" ref="T120">DeltaC(T$3,$C$4,$H14,$D$4,0,$E$6)</f>
        <v>0.72196690064701641</v>
      </c>
      <c r="U120" cm="1">
        <f t="array" ref="U120">DeltaC(U$3,$C$4,$H14,$D$4,0,$E$6)</f>
        <v>0.754591046066726</v>
      </c>
      <c r="V120" cm="1">
        <f t="array" ref="V120">DeltaC(V$3,$C$4,$H14,$D$4,0,$E$6)</f>
        <v>0.78383972120701739</v>
      </c>
      <c r="W120" cm="1">
        <f t="array" ref="W120">DeltaC(W$3,$C$4,$H14,$D$4,0,$E$6)</f>
        <v>0.80993885351262629</v>
      </c>
      <c r="X120" cm="1">
        <f t="array" ref="X120">DeltaC(X$3,$C$4,$H14,$D$4,0,$E$6)</f>
        <v>0.83313443249219921</v>
      </c>
      <c r="Y120" cm="1">
        <f t="array" ref="Y120">DeltaC(Y$3,$C$4,$H14,$D$4,0,$E$6)</f>
        <v>0.85367938888663453</v>
      </c>
    </row>
    <row r="121" spans="8:25" x14ac:dyDescent="0.2">
      <c r="H121">
        <v>3</v>
      </c>
      <c r="I121" cm="1">
        <f t="array" ref="I121">DeltaC(I$3,$C$4,$H15,$D$4,0,$E$6)</f>
        <v>0.25285203319023192</v>
      </c>
      <c r="J121" cm="1">
        <f t="array" ref="J121">DeltaC(J$3,$C$4,$H15,$D$4,0,$E$6)</f>
        <v>0.3045006830407393</v>
      </c>
      <c r="K121" cm="1">
        <f t="array" ref="K121">DeltaC(K$3,$C$4,$H15,$D$4,0,$E$6)</f>
        <v>0.35610910688425379</v>
      </c>
      <c r="L121" cm="1">
        <f t="array" ref="L121">DeltaC(L$3,$C$4,$H15,$D$4,0,$E$6)</f>
        <v>0.40667685470200449</v>
      </c>
      <c r="M121" cm="1">
        <f t="array" ref="M121">DeltaC(M$3,$C$4,$H15,$D$4,0,$E$6)</f>
        <v>0.45545241211238535</v>
      </c>
      <c r="N121" cm="1">
        <f t="array" ref="N121">DeltaC(N$3,$C$4,$H15,$D$4,0,$E$6)</f>
        <v>0.50190487130170336</v>
      </c>
      <c r="O121" cm="1">
        <f t="array" ref="O121">DeltaC(O$3,$C$4,$H15,$D$4,0,$E$6)</f>
        <v>0.54568875929400229</v>
      </c>
      <c r="P121" cm="1">
        <f t="array" ref="P121">DeltaC(P$3,$C$4,$H15,$D$4,0,$E$6)</f>
        <v>0.58660823860191547</v>
      </c>
      <c r="Q121" cm="1">
        <f t="array" ref="Q121">DeltaC(Q$3,$C$4,$H15,$D$4,0,$E$6)</f>
        <v>0.62458405795544159</v>
      </c>
      <c r="R121" cm="1">
        <f t="array" ref="R121">DeltaC(R$3,$C$4,$H15,$D$4,0,$E$6)</f>
        <v>0.65962480217204278</v>
      </c>
      <c r="S121" cm="1">
        <f t="array" ref="S121">DeltaC(S$3,$C$4,$H15,$D$4,0,$E$6)</f>
        <v>0.69180288754629138</v>
      </c>
      <c r="T121" cm="1">
        <f t="array" ref="T121">DeltaC(T$3,$C$4,$H15,$D$4,0,$E$6)</f>
        <v>0.72123513401713546</v>
      </c>
      <c r="U121" cm="1">
        <f t="array" ref="U121">DeltaC(U$3,$C$4,$H15,$D$4,0,$E$6)</f>
        <v>0.74806744044833062</v>
      </c>
      <c r="V121" cm="1">
        <f t="array" ref="V121">DeltaC(V$3,$C$4,$H15,$D$4,0,$E$6)</f>
        <v>0.77246297183665924</v>
      </c>
      <c r="W121" cm="1">
        <f t="array" ref="W121">DeltaC(W$3,$C$4,$H15,$D$4,0,$E$6)</f>
        <v>0.79459325631183764</v>
      </c>
      <c r="X121" cm="1">
        <f t="array" ref="X121">DeltaC(X$3,$C$4,$H15,$D$4,0,$E$6)</f>
        <v>0.81463163438593589</v>
      </c>
      <c r="Y121" cm="1">
        <f t="array" ref="Y121">DeltaC(Y$3,$C$4,$H15,$D$4,0,$E$6)</f>
        <v>0.83274857213885123</v>
      </c>
    </row>
    <row r="122" spans="8:25" x14ac:dyDescent="0.2">
      <c r="H122">
        <v>4</v>
      </c>
      <c r="I122" cm="1">
        <f t="array" ref="I122">DeltaC(I$3,$C$4,$H16,$D$4,0,$E$6)</f>
        <v>0.31394125841594145</v>
      </c>
      <c r="J122" cm="1">
        <f t="array" ref="J122">DeltaC(J$3,$C$4,$H16,$D$4,0,$E$6)</f>
        <v>0.36267982457804149</v>
      </c>
      <c r="K122" cm="1">
        <f t="array" ref="K122">DeltaC(K$3,$C$4,$H16,$D$4,0,$E$6)</f>
        <v>0.40990413904026229</v>
      </c>
      <c r="L122" cm="1">
        <f t="array" ref="L122">DeltaC(L$3,$C$4,$H16,$D$4,0,$E$6)</f>
        <v>0.4550931899299458</v>
      </c>
      <c r="M122" cm="1">
        <f t="array" ref="M122">DeltaC(M$3,$C$4,$H16,$D$4,0,$E$6)</f>
        <v>0.49790985034594043</v>
      </c>
      <c r="N122" cm="1">
        <f t="array" ref="N122">DeltaC(N$3,$C$4,$H16,$D$4,0,$E$6)</f>
        <v>0.53816099984174448</v>
      </c>
      <c r="O122" cm="1">
        <f t="array" ref="O122">DeltaC(O$3,$C$4,$H16,$D$4,0,$E$6)</f>
        <v>0.57576298201651444</v>
      </c>
      <c r="P122" cm="1">
        <f t="array" ref="P122">DeltaC(P$3,$C$4,$H16,$D$4,0,$E$6)</f>
        <v>0.61071300082010072</v>
      </c>
      <c r="Q122" cm="1">
        <f t="array" ref="Q122">DeltaC(Q$3,$C$4,$H16,$D$4,0,$E$6)</f>
        <v>0.64306616326250143</v>
      </c>
      <c r="R122" cm="1">
        <f t="array" ref="R122">DeltaC(R$3,$C$4,$H16,$D$4,0,$E$6)</f>
        <v>0.67291748622828185</v>
      </c>
      <c r="S122" cm="1">
        <f t="array" ref="S122">DeltaC(S$3,$C$4,$H16,$D$4,0,$E$6)</f>
        <v>0.70038806898924744</v>
      </c>
      <c r="T122" cm="1">
        <f t="array" ref="T122">DeltaC(T$3,$C$4,$H16,$D$4,0,$E$6)</f>
        <v>0.72561465541937875</v>
      </c>
      <c r="U122" cm="1">
        <f t="array" ref="U122">DeltaC(U$3,$C$4,$H16,$D$4,0,$E$6)</f>
        <v>0.74874189438577665</v>
      </c>
      <c r="V122" cm="1">
        <f t="array" ref="V122">DeltaC(V$3,$C$4,$H16,$D$4,0,$E$6)</f>
        <v>0.76991671192728894</v>
      </c>
      <c r="W122" cm="1">
        <f t="array" ref="W122">DeltaC(W$3,$C$4,$H16,$D$4,0,$E$6)</f>
        <v>0.78928431354169604</v>
      </c>
      <c r="X122" cm="1">
        <f t="array" ref="X122">DeltaC(X$3,$C$4,$H16,$D$4,0,$E$6)</f>
        <v>0.80698542949219532</v>
      </c>
      <c r="Y122" cm="1">
        <f t="array" ref="Y122">DeltaC(Y$3,$C$4,$H16,$D$4,0,$E$6)</f>
        <v>0.82315449700674104</v>
      </c>
    </row>
    <row r="123" spans="8:25" x14ac:dyDescent="0.2">
      <c r="H123">
        <v>5</v>
      </c>
      <c r="I123" cm="1">
        <f t="array" ref="I123">DeltaC(I$3,$C$4,$H17,$D$4,0,$E$6)</f>
        <v>0.3625886029317465</v>
      </c>
      <c r="J123" cm="1">
        <f t="array" ref="J123">DeltaC(J$3,$C$4,$H17,$D$4,0,$E$6)</f>
        <v>0.40818067531008484</v>
      </c>
      <c r="K123" cm="1">
        <f t="array" ref="K123">DeltaC(K$3,$C$4,$H17,$D$4,0,$E$6)</f>
        <v>0.45154699490085998</v>
      </c>
      <c r="L123" cm="1">
        <f t="array" ref="L123">DeltaC(L$3,$C$4,$H17,$D$4,0,$E$6)</f>
        <v>0.49245831881467111</v>
      </c>
      <c r="M123" cm="1">
        <f t="array" ref="M123">DeltaC(M$3,$C$4,$H17,$D$4,0,$E$6)</f>
        <v>0.53080875955769424</v>
      </c>
      <c r="N123" cm="1">
        <f t="array" ref="N123">DeltaC(N$3,$C$4,$H17,$D$4,0,$E$6)</f>
        <v>0.56658125708655704</v>
      </c>
      <c r="O123" cm="1">
        <f t="array" ref="O123">DeltaC(O$3,$C$4,$H17,$D$4,0,$E$6)</f>
        <v>0.59982092332225356</v>
      </c>
      <c r="P123" cm="1">
        <f t="array" ref="P123">DeltaC(P$3,$C$4,$H17,$D$4,0,$E$6)</f>
        <v>0.63061486355917407</v>
      </c>
      <c r="Q123" cm="1">
        <f t="array" ref="Q123">DeltaC(Q$3,$C$4,$H17,$D$4,0,$E$6)</f>
        <v>0.65907714492767744</v>
      </c>
      <c r="R123" cm="1">
        <f t="array" ref="R123">DeltaC(R$3,$C$4,$H17,$D$4,0,$E$6)</f>
        <v>0.68533776358227261</v>
      </c>
      <c r="S123" cm="1">
        <f t="array" ref="S123">DeltaC(S$3,$C$4,$H17,$D$4,0,$E$6)</f>
        <v>0.70953466945632937</v>
      </c>
      <c r="T123" cm="1">
        <f t="array" ref="T123">DeltaC(T$3,$C$4,$H17,$D$4,0,$E$6)</f>
        <v>0.7318081009305093</v>
      </c>
      <c r="U123" cm="1">
        <f t="array" ref="U123">DeltaC(U$3,$C$4,$H17,$D$4,0,$E$6)</f>
        <v>0.75229664733269397</v>
      </c>
      <c r="V123" cm="1">
        <f t="array" ref="V123">DeltaC(V$3,$C$4,$H17,$D$4,0,$E$6)</f>
        <v>0.77113459229413017</v>
      </c>
      <c r="W123" cm="1">
        <f t="array" ref="W123">DeltaC(W$3,$C$4,$H17,$D$4,0,$E$6)</f>
        <v>0.78845019812977468</v>
      </c>
      <c r="X123" cm="1">
        <f t="array" ref="X123">DeltaC(X$3,$C$4,$H17,$D$4,0,$E$6)</f>
        <v>0.80436467483037943</v>
      </c>
      <c r="Y123" cm="1">
        <f t="array" ref="Y123">DeltaC(Y$3,$C$4,$H17,$D$4,0,$E$6)</f>
        <v>0.81899164140300906</v>
      </c>
    </row>
    <row r="125" spans="8:25" x14ac:dyDescent="0.2">
      <c r="I125">
        <v>60</v>
      </c>
      <c r="J125">
        <v>65</v>
      </c>
      <c r="K125">
        <v>70</v>
      </c>
      <c r="L125">
        <v>75</v>
      </c>
      <c r="M125">
        <v>80</v>
      </c>
      <c r="N125">
        <v>85</v>
      </c>
      <c r="O125">
        <v>90</v>
      </c>
      <c r="P125">
        <v>95</v>
      </c>
      <c r="Q125">
        <v>100</v>
      </c>
      <c r="R125">
        <v>105</v>
      </c>
      <c r="S125">
        <v>110</v>
      </c>
      <c r="T125">
        <v>115</v>
      </c>
      <c r="U125">
        <v>120</v>
      </c>
      <c r="V125">
        <v>125</v>
      </c>
      <c r="W125">
        <v>130</v>
      </c>
      <c r="X125">
        <v>135</v>
      </c>
      <c r="Y125">
        <v>140</v>
      </c>
    </row>
    <row r="126" spans="8:25" x14ac:dyDescent="0.2">
      <c r="H126">
        <v>0.1</v>
      </c>
      <c r="I126" cm="1">
        <f t="array" ref="I126">GammaCP(I$3,$C$4,$H4,$D$4,0,$E$6)</f>
        <v>4.8371729163416413E-8</v>
      </c>
      <c r="J126" cm="1">
        <f t="array" ref="J126">GammaCP(J$3,$C$4,$H4,$D$4,0,$E$6)</f>
        <v>2.7992835519207707E-6</v>
      </c>
      <c r="K126" cm="1">
        <f t="array" ref="K126">GammaCP(K$3,$C$4,$H4,$D$4,0,$E$6)</f>
        <v>6.35621151820228E-5</v>
      </c>
      <c r="L126" cm="1">
        <f t="array" ref="L126">GammaCP(L$3,$C$4,$H4,$D$4,0,$E$6)</f>
        <v>6.7225819369320081E-4</v>
      </c>
      <c r="M126" cm="1">
        <f t="array" ref="M126">GammaCP(M$3,$C$4,$H4,$D$4,0,$E$6)</f>
        <v>3.7827836741325775E-3</v>
      </c>
      <c r="N126" cm="1">
        <f t="array" ref="N126">GammaCP(N$3,$C$4,$H4,$D$4,0,$E$6)</f>
        <v>1.2575012584514565E-2</v>
      </c>
      <c r="O126" cm="1">
        <f t="array" ref="O126">GammaCP(O$3,$C$4,$H4,$D$4,0,$E$6)</f>
        <v>2.6849994493107557E-2</v>
      </c>
      <c r="P126" cm="1">
        <f t="array" ref="P126">GammaCP(P$3,$C$4,$H4,$D$4,0,$E$6)</f>
        <v>3.9397555493342631E-2</v>
      </c>
      <c r="Q126" cm="1">
        <f t="array" ref="Q126">GammaCP(Q$3,$C$4,$H4,$D$4,0,$E$6)</f>
        <v>4.1981596977461719E-2</v>
      </c>
      <c r="R126" cm="1">
        <f t="array" ref="R126">GammaCP(R$3,$C$4,$H4,$D$4,0,$E$6)</f>
        <v>3.4000529020197352E-2</v>
      </c>
      <c r="S126" cm="1">
        <f t="array" ref="S126">GammaCP(S$3,$C$4,$H4,$D$4,0,$E$6)</f>
        <v>2.173682248663825E-2</v>
      </c>
      <c r="T126" cm="1">
        <f t="array" ref="T126">GammaCP(T$3,$C$4,$H4,$D$4,0,$E$6)</f>
        <v>1.132338909622355E-2</v>
      </c>
      <c r="U126" cm="1">
        <f t="array" ref="U126">GammaCP(U$3,$C$4,$H4,$D$4,0,$E$6)</f>
        <v>4.9370130845059288E-3</v>
      </c>
      <c r="V126" cm="1">
        <f t="array" ref="V126">GammaCP(V$3,$C$4,$H4,$D$4,0,$E$6)</f>
        <v>1.8430873083992022E-3</v>
      </c>
      <c r="W126" cm="1">
        <f t="array" ref="W126">GammaCP(W$3,$C$4,$H4,$D$4,0,$E$6)</f>
        <v>6.0071558236562614E-4</v>
      </c>
      <c r="X126" cm="1">
        <f t="array" ref="X126">GammaCP(X$3,$C$4,$H4,$D$4,0,$E$6)</f>
        <v>1.738160868120766E-4</v>
      </c>
      <c r="Y126" cm="1">
        <f t="array" ref="Y126">GammaCP(Y$3,$C$4,$H4,$D$4,0,$E$6)</f>
        <v>4.5297412812204589E-5</v>
      </c>
    </row>
    <row r="127" spans="8:25" x14ac:dyDescent="0.2">
      <c r="H127">
        <v>0.2</v>
      </c>
      <c r="I127" cm="1">
        <f t="array" ref="I127">GammaCP(I$3,$C$4,$H5,$D$4,0,$E$6)</f>
        <v>4.8005602280442924E-5</v>
      </c>
      <c r="J127" cm="1">
        <f t="array" ref="J127">GammaCP(J$3,$C$4,$H5,$D$4,0,$E$6)</f>
        <v>3.4238659642402429E-4</v>
      </c>
      <c r="K127" cm="1">
        <f t="array" ref="K127">GammaCP(K$3,$C$4,$H5,$D$4,0,$E$6)</f>
        <v>1.5369719040112578E-3</v>
      </c>
      <c r="L127" cm="1">
        <f t="array" ref="L127">GammaCP(L$3,$C$4,$H5,$D$4,0,$E$6)</f>
        <v>4.7282210181891797E-3</v>
      </c>
      <c r="M127" cm="1">
        <f t="array" ref="M127">GammaCP(M$3,$C$4,$H5,$D$4,0,$E$6)</f>
        <v>1.0647723775453422E-2</v>
      </c>
      <c r="N127" cm="1">
        <f t="array" ref="N127">GammaCP(N$3,$C$4,$H5,$D$4,0,$E$6)</f>
        <v>1.8488250396356994E-2</v>
      </c>
      <c r="O127" cm="1">
        <f t="array" ref="O127">GammaCP(O$3,$C$4,$H5,$D$4,0,$E$6)</f>
        <v>2.5799834788109946E-2</v>
      </c>
      <c r="P127" cm="1">
        <f t="array" ref="P127">GammaCP(P$3,$C$4,$H5,$D$4,0,$E$6)</f>
        <v>2.9920175402764985E-2</v>
      </c>
      <c r="Q127" cm="1">
        <f t="array" ref="Q127">GammaCP(Q$3,$C$4,$H5,$D$4,0,$E$6)</f>
        <v>2.9635625719445866E-2</v>
      </c>
      <c r="R127" cm="1">
        <f t="array" ref="R127">GammaCP(R$3,$C$4,$H5,$D$4,0,$E$6)</f>
        <v>2.5642378317564652E-2</v>
      </c>
      <c r="S127" cm="1">
        <f t="array" ref="S127">GammaCP(S$3,$C$4,$H5,$D$4,0,$E$6)</f>
        <v>1.9748701502398162E-2</v>
      </c>
      <c r="T127" cm="1">
        <f t="array" ref="T127">GammaCP(T$3,$C$4,$H5,$D$4,0,$E$6)</f>
        <v>1.3752363931184043E-2</v>
      </c>
      <c r="U127" cm="1">
        <f t="array" ref="U127">GammaCP(U$3,$C$4,$H5,$D$4,0,$E$6)</f>
        <v>8.7746917760978486E-3</v>
      </c>
      <c r="V127" cm="1">
        <f t="array" ref="V127">GammaCP(V$3,$C$4,$H5,$D$4,0,$E$6)</f>
        <v>5.1878950118337845E-3</v>
      </c>
      <c r="W127" cm="1">
        <f t="array" ref="W127">GammaCP(W$3,$C$4,$H5,$D$4,0,$E$6)</f>
        <v>2.8696661309163202E-3</v>
      </c>
      <c r="X127" cm="1">
        <f t="array" ref="X127">GammaCP(X$3,$C$4,$H5,$D$4,0,$E$6)</f>
        <v>1.4974023713320032E-3</v>
      </c>
      <c r="Y127" cm="1">
        <f t="array" ref="Y127">GammaCP(Y$3,$C$4,$H5,$D$4,0,$E$6)</f>
        <v>7.4234719458286542E-4</v>
      </c>
    </row>
    <row r="128" spans="8:25" x14ac:dyDescent="0.2">
      <c r="H128">
        <v>0.3</v>
      </c>
      <c r="I128" cm="1">
        <f t="array" ref="I128">GammaCP(I$3,$C$4,$H6,$D$4,0,$E$6)</f>
        <v>4.3836057898992057E-4</v>
      </c>
      <c r="J128" cm="1">
        <f t="array" ref="J128">GammaCP(J$3,$C$4,$H6,$D$4,0,$E$6)</f>
        <v>1.5558922158995399E-3</v>
      </c>
      <c r="K128" cm="1">
        <f t="array" ref="K128">GammaCP(K$3,$C$4,$H6,$D$4,0,$E$6)</f>
        <v>4.0687523516901537E-3</v>
      </c>
      <c r="L128" cm="1">
        <f t="array" ref="L128">GammaCP(L$3,$C$4,$H6,$D$4,0,$E$6)</f>
        <v>8.2932442565351941E-3</v>
      </c>
      <c r="M128" cm="1">
        <f t="array" ref="M128">GammaCP(M$3,$C$4,$H6,$D$4,0,$E$6)</f>
        <v>1.3762943653982108E-2</v>
      </c>
      <c r="N128" cm="1">
        <f t="array" ref="N128">GammaCP(N$3,$C$4,$H6,$D$4,0,$E$6)</f>
        <v>1.9245583173855801E-2</v>
      </c>
      <c r="O128" cm="1">
        <f t="array" ref="O128">GammaCP(O$3,$C$4,$H6,$D$4,0,$E$6)</f>
        <v>2.3306691732956811E-2</v>
      </c>
      <c r="P128" cm="1">
        <f t="array" ref="P128">GammaCP(P$3,$C$4,$H6,$D$4,0,$E$6)</f>
        <v>2.4990132225163459E-2</v>
      </c>
      <c r="Q128" cm="1">
        <f t="array" ref="Q128">GammaCP(Q$3,$C$4,$H6,$D$4,0,$E$6)</f>
        <v>2.4156756171112039E-2</v>
      </c>
      <c r="R128" cm="1">
        <f t="array" ref="R128">GammaCP(R$3,$C$4,$H6,$D$4,0,$E$6)</f>
        <v>2.1367578691690262E-2</v>
      </c>
      <c r="S128" cm="1">
        <f t="array" ref="S128">GammaCP(S$3,$C$4,$H6,$D$4,0,$E$6)</f>
        <v>1.7510243021562302E-2</v>
      </c>
      <c r="T128" cm="1">
        <f t="array" ref="T128">GammaCP(T$3,$C$4,$H6,$D$4,0,$E$6)</f>
        <v>1.3432302518922605E-2</v>
      </c>
      <c r="U128" cm="1">
        <f t="array" ref="U128">GammaCP(U$3,$C$4,$H6,$D$4,0,$E$6)</f>
        <v>9.7303217208305568E-3</v>
      </c>
      <c r="V128" cm="1">
        <f t="array" ref="V128">GammaCP(V$3,$C$4,$H6,$D$4,0,$E$6)</f>
        <v>6.7057249264153339E-3</v>
      </c>
      <c r="W128" cm="1">
        <f t="array" ref="W128">GammaCP(W$3,$C$4,$H6,$D$4,0,$E$6)</f>
        <v>4.4244401962093725E-3</v>
      </c>
      <c r="X128" cm="1">
        <f t="array" ref="X128">GammaCP(X$3,$C$4,$H6,$D$4,0,$E$6)</f>
        <v>2.8101370337925181E-3</v>
      </c>
      <c r="Y128" cm="1">
        <f t="array" ref="Y128">GammaCP(Y$3,$C$4,$H6,$D$4,0,$E$6)</f>
        <v>1.7261999326371308E-3</v>
      </c>
    </row>
    <row r="129" spans="7:25" x14ac:dyDescent="0.2">
      <c r="H129">
        <v>0.4</v>
      </c>
      <c r="I129" cm="1">
        <f t="array" ref="I129">GammaCP(I$3,$C$4,$H7,$D$4,0,$E$6)</f>
        <v>1.2684980236185479E-3</v>
      </c>
      <c r="J129" cm="1">
        <f t="array" ref="J129">GammaCP(J$3,$C$4,$H7,$D$4,0,$E$6)</f>
        <v>3.1761382873591237E-3</v>
      </c>
      <c r="K129" cm="1">
        <f t="array" ref="K129">GammaCP(K$3,$C$4,$H7,$D$4,0,$E$6)</f>
        <v>6.3393895489089096E-3</v>
      </c>
      <c r="L129" cm="1">
        <f t="array" ref="L129">GammaCP(L$3,$C$4,$H7,$D$4,0,$E$6)</f>
        <v>1.0517834159617731E-2</v>
      </c>
      <c r="M129" cm="1">
        <f t="array" ref="M129">GammaCP(M$3,$C$4,$H7,$D$4,0,$E$6)</f>
        <v>1.4983978051139487E-2</v>
      </c>
      <c r="N129" cm="1">
        <f t="array" ref="N129">GammaCP(N$3,$C$4,$H7,$D$4,0,$E$6)</f>
        <v>1.8803436356655608E-2</v>
      </c>
      <c r="O129" cm="1">
        <f t="array" ref="O129">GammaCP(O$3,$C$4,$H7,$D$4,0,$E$6)</f>
        <v>2.1212946857819125E-2</v>
      </c>
      <c r="P129" cm="1">
        <f t="array" ref="P129">GammaCP(P$3,$C$4,$H7,$D$4,0,$E$6)</f>
        <v>2.187052870331763E-2</v>
      </c>
      <c r="Q129" cm="1">
        <f t="array" ref="Q129">GammaCP(Q$3,$C$4,$H7,$D$4,0,$E$6)</f>
        <v>2.0885236208200961E-2</v>
      </c>
      <c r="R129" cm="1">
        <f t="array" ref="R129">GammaCP(R$3,$C$4,$H7,$D$4,0,$E$6)</f>
        <v>1.8678514542129085E-2</v>
      </c>
      <c r="S129" cm="1">
        <f t="array" ref="S129">GammaCP(S$3,$C$4,$H7,$D$4,0,$E$6)</f>
        <v>1.5789104753624824E-2</v>
      </c>
      <c r="T129" cm="1">
        <f t="array" ref="T129">GammaCP(T$3,$C$4,$H7,$D$4,0,$E$6)</f>
        <v>1.2712341075815795E-2</v>
      </c>
      <c r="U129" cm="1">
        <f t="array" ref="U129">GammaCP(U$3,$C$4,$H7,$D$4,0,$E$6)</f>
        <v>9.8121320272589428E-3</v>
      </c>
      <c r="V129" cm="1">
        <f t="array" ref="V129">GammaCP(V$3,$C$4,$H7,$D$4,0,$E$6)</f>
        <v>7.300650038287E-3</v>
      </c>
      <c r="W129" cm="1">
        <f t="array" ref="W129">GammaCP(W$3,$C$4,$H7,$D$4,0,$E$6)</f>
        <v>5.2609033868653314E-3</v>
      </c>
      <c r="X129" cm="1">
        <f t="array" ref="X129">GammaCP(X$3,$C$4,$H7,$D$4,0,$E$6)</f>
        <v>3.686468334203065E-3</v>
      </c>
      <c r="Y129" cm="1">
        <f t="array" ref="Y129">GammaCP(Y$3,$C$4,$H7,$D$4,0,$E$6)</f>
        <v>2.5207026945741873E-3</v>
      </c>
    </row>
    <row r="130" spans="7:25" x14ac:dyDescent="0.2">
      <c r="G130" t="s">
        <v>36</v>
      </c>
      <c r="H130">
        <v>0.5</v>
      </c>
      <c r="I130" cm="1">
        <f t="array" ref="I130">GammaCP(I$3,$C$4,$H8,$D$4,0,$E$6)</f>
        <v>2.3382957957450946E-3</v>
      </c>
      <c r="J130" cm="1">
        <f t="array" ref="J130">GammaCP(J$3,$C$4,$H8,$D$4,0,$E$6)</f>
        <v>4.7488233231175458E-3</v>
      </c>
      <c r="K130" cm="1">
        <f t="array" ref="K130">GammaCP(K$3,$C$4,$H8,$D$4,0,$E$6)</f>
        <v>8.059977346624966E-3</v>
      </c>
      <c r="L130" cm="1">
        <f t="array" ref="L130">GammaCP(L$3,$C$4,$H8,$D$4,0,$E$6)</f>
        <v>1.1819037433225307E-2</v>
      </c>
      <c r="M130" cm="1">
        <f t="array" ref="M130">GammaCP(M$3,$C$4,$H8,$D$4,0,$E$6)</f>
        <v>1.5364246918448026E-2</v>
      </c>
      <c r="N130" cm="1">
        <f t="array" ref="N130">GammaCP(N$3,$C$4,$H8,$D$4,0,$E$6)</f>
        <v>1.8068228988525181E-2</v>
      </c>
      <c r="O130" cm="1">
        <f t="array" ref="O130">GammaCP(O$3,$C$4,$H8,$D$4,0,$E$6)</f>
        <v>1.9534751872486739E-2</v>
      </c>
      <c r="P130" cm="1">
        <f t="array" ref="P130">GammaCP(P$3,$C$4,$H8,$D$4,0,$E$6)</f>
        <v>1.9671994336736279E-2</v>
      </c>
      <c r="Q130" cm="1">
        <f t="array" ref="Q130">GammaCP(Q$3,$C$4,$H8,$D$4,0,$E$6)</f>
        <v>1.8648956198552002E-2</v>
      </c>
      <c r="R130" cm="1">
        <f t="array" ref="R130">GammaCP(R$3,$C$4,$H8,$D$4,0,$E$6)</f>
        <v>1.6789169768697553E-2</v>
      </c>
      <c r="S130" cm="1">
        <f t="array" ref="S130">GammaCP(S$3,$C$4,$H8,$D$4,0,$E$6)</f>
        <v>1.4458770943216178E-2</v>
      </c>
      <c r="T130" cm="1">
        <f t="array" ref="T130">GammaCP(T$3,$C$4,$H8,$D$4,0,$E$6)</f>
        <v>1.1984095247208171E-2</v>
      </c>
      <c r="U130" cm="1">
        <f t="array" ref="U130">GammaCP(U$3,$C$4,$H8,$D$4,0,$E$6)</f>
        <v>9.6090347795308399E-3</v>
      </c>
      <c r="V130" cm="1">
        <f t="array" ref="V130">GammaCP(V$3,$C$4,$H8,$D$4,0,$E$6)</f>
        <v>7.4859286012427398E-3</v>
      </c>
      <c r="W130" cm="1">
        <f t="array" ref="W130">GammaCP(W$3,$C$4,$H8,$D$4,0,$E$6)</f>
        <v>5.6874317310270693E-3</v>
      </c>
      <c r="X130" cm="1">
        <f t="array" ref="X130">GammaCP(X$3,$C$4,$H8,$D$4,0,$E$6)</f>
        <v>4.2274159872265253E-3</v>
      </c>
      <c r="Y130" cm="1">
        <f t="array" ref="Y130">GammaCP(Y$3,$C$4,$H8,$D$4,0,$E$6)</f>
        <v>3.0825818422678913E-3</v>
      </c>
    </row>
    <row r="131" spans="7:25" x14ac:dyDescent="0.2">
      <c r="H131">
        <v>0.6</v>
      </c>
      <c r="I131" cm="1">
        <f t="array" ref="I131">GammaCP(I$3,$C$4,$H9,$D$4,0,$E$6)</f>
        <v>3.4549517028754713E-3</v>
      </c>
      <c r="J131" cm="1">
        <f t="array" ref="J131">GammaCP(J$3,$C$4,$H9,$D$4,0,$E$6)</f>
        <v>6.1025757786037091E-3</v>
      </c>
      <c r="K131" cm="1">
        <f t="array" ref="K131">GammaCP(K$3,$C$4,$H9,$D$4,0,$E$6)</f>
        <v>9.2966719191608007E-3</v>
      </c>
      <c r="L131" cm="1">
        <f t="array" ref="L131">GammaCP(L$3,$C$4,$H9,$D$4,0,$E$6)</f>
        <v>1.2555154567235539E-2</v>
      </c>
      <c r="M131" cm="1">
        <f t="array" ref="M131">GammaCP(M$3,$C$4,$H9,$D$4,0,$E$6)</f>
        <v>1.5354539900425004E-2</v>
      </c>
      <c r="N131" cm="1">
        <f t="array" ref="N131">GammaCP(N$3,$C$4,$H9,$D$4,0,$E$6)</f>
        <v>1.7291682643531966E-2</v>
      </c>
      <c r="O131" cm="1">
        <f t="array" ref="O131">GammaCP(O$3,$C$4,$H9,$D$4,0,$E$6)</f>
        <v>1.8172524320191754E-2</v>
      </c>
      <c r="P131" cm="1">
        <f t="array" ref="P131">GammaCP(P$3,$C$4,$H9,$D$4,0,$E$6)</f>
        <v>1.8015399304984771E-2</v>
      </c>
      <c r="Q131" cm="1">
        <f t="array" ref="Q131">GammaCP(Q$3,$C$4,$H9,$D$4,0,$E$6)</f>
        <v>1.6995504070964784E-2</v>
      </c>
      <c r="R131" cm="1">
        <f t="array" ref="R131">GammaCP(R$3,$C$4,$H9,$D$4,0,$E$6)</f>
        <v>1.5368208376167368E-2</v>
      </c>
      <c r="S131" cm="1">
        <f t="array" ref="S131">GammaCP(S$3,$C$4,$H9,$D$4,0,$E$6)</f>
        <v>1.3400367884206782E-2</v>
      </c>
      <c r="T131" cm="1">
        <f t="array" ref="T131">GammaCP(T$3,$C$4,$H9,$D$4,0,$E$6)</f>
        <v>1.1323860006353008E-2</v>
      </c>
      <c r="U131" cm="1">
        <f t="array" ref="U131">GammaCP(U$3,$C$4,$H9,$D$4,0,$E$6)</f>
        <v>9.3130824817801022E-3</v>
      </c>
      <c r="V131" cm="1">
        <f t="array" ref="V131">GammaCP(V$3,$C$4,$H9,$D$4,0,$E$6)</f>
        <v>7.4811990466972433E-3</v>
      </c>
      <c r="W131" cm="1">
        <f t="array" ref="W131">GammaCP(W$3,$C$4,$H9,$D$4,0,$E$6)</f>
        <v>5.8878427994134399E-3</v>
      </c>
      <c r="X131" cm="1">
        <f t="array" ref="X131">GammaCP(X$3,$C$4,$H9,$D$4,0,$E$6)</f>
        <v>4.5518443181372789E-3</v>
      </c>
      <c r="Y131" cm="1">
        <f t="array" ref="Y131">GammaCP(Y$3,$C$4,$H9,$D$4,0,$E$6)</f>
        <v>3.4645436604697206E-3</v>
      </c>
    </row>
    <row r="132" spans="7:25" x14ac:dyDescent="0.2">
      <c r="H132">
        <v>0.7</v>
      </c>
      <c r="I132" cm="1">
        <f t="array" ref="I132">GammaCP(I$3,$C$4,$H10,$D$4,0,$E$6)</f>
        <v>4.509629684515108E-3</v>
      </c>
      <c r="J132" cm="1">
        <f t="array" ref="J132">GammaCP(J$3,$C$4,$H10,$D$4,0,$E$6)</f>
        <v>7.2096701015754924E-3</v>
      </c>
      <c r="K132" cm="1">
        <f t="array" ref="K132">GammaCP(K$3,$C$4,$H10,$D$4,0,$E$6)</f>
        <v>1.0167303762997197E-2</v>
      </c>
      <c r="L132" cm="1">
        <f t="array" ref="L132">GammaCP(L$3,$C$4,$H10,$D$4,0,$E$6)</f>
        <v>1.2946786325768763E-2</v>
      </c>
      <c r="M132" cm="1">
        <f t="array" ref="M132">GammaCP(M$3,$C$4,$H10,$D$4,0,$E$6)</f>
        <v>1.5157858484034765E-2</v>
      </c>
      <c r="N132" cm="1">
        <f t="array" ref="N132">GammaCP(N$3,$C$4,$H10,$D$4,0,$E$6)</f>
        <v>1.655034187397918E-2</v>
      </c>
      <c r="O132" cm="1">
        <f t="array" ref="O132">GammaCP(O$3,$C$4,$H10,$D$4,0,$E$6)</f>
        <v>1.7044687194816176E-2</v>
      </c>
      <c r="P132" cm="1">
        <f t="array" ref="P132">GammaCP(P$3,$C$4,$H10,$D$4,0,$E$6)</f>
        <v>1.6709061466729097E-2</v>
      </c>
      <c r="Q132" cm="1">
        <f t="array" ref="Q132">GammaCP(Q$3,$C$4,$H10,$D$4,0,$E$6)</f>
        <v>1.5708358311106813E-2</v>
      </c>
      <c r="R132" cm="1">
        <f t="array" ref="R132">GammaCP(R$3,$C$4,$H10,$D$4,0,$E$6)</f>
        <v>1.4249101786859475E-2</v>
      </c>
      <c r="S132" cm="1">
        <f t="array" ref="S132">GammaCP(S$3,$C$4,$H10,$D$4,0,$E$6)</f>
        <v>1.2535218696786308E-2</v>
      </c>
      <c r="T132" cm="1">
        <f t="array" ref="T132">GammaCP(T$3,$C$4,$H10,$D$4,0,$E$6)</f>
        <v>1.074020246658062E-2</v>
      </c>
      <c r="U132" cm="1">
        <f t="array" ref="U132">GammaCP(U$3,$C$4,$H10,$D$4,0,$E$6)</f>
        <v>8.9946864621100811E-3</v>
      </c>
      <c r="V132" cm="1">
        <f t="array" ref="V132">GammaCP(V$3,$C$4,$H10,$D$4,0,$E$6)</f>
        <v>7.3853698760191298E-3</v>
      </c>
      <c r="W132" cm="1">
        <f t="array" ref="W132">GammaCP(W$3,$C$4,$H10,$D$4,0,$E$6)</f>
        <v>5.9606848610583791E-3</v>
      </c>
      <c r="X132" cm="1">
        <f t="array" ref="X132">GammaCP(X$3,$C$4,$H10,$D$4,0,$E$6)</f>
        <v>4.7393843504899549E-3</v>
      </c>
      <c r="Y132" cm="1">
        <f t="array" ref="Y132">GammaCP(Y$3,$C$4,$H10,$D$4,0,$E$6)</f>
        <v>3.7194597267081681E-3</v>
      </c>
    </row>
    <row r="133" spans="7:25" x14ac:dyDescent="0.2">
      <c r="H133">
        <v>0.8</v>
      </c>
      <c r="I133" cm="1">
        <f t="array" ref="I133">GammaCP(I$3,$C$4,$H11,$D$4,0,$E$6)</f>
        <v>5.4555892387964204E-3</v>
      </c>
      <c r="J133" cm="1">
        <f t="array" ref="J133">GammaCP(J$3,$C$4,$H11,$D$4,0,$E$6)</f>
        <v>8.0936358441935641E-3</v>
      </c>
      <c r="K133" cm="1">
        <f t="array" ref="K133">GammaCP(K$3,$C$4,$H11,$D$4,0,$E$6)</f>
        <v>1.0771870609204376E-2</v>
      </c>
      <c r="L133" cm="1">
        <f t="array" ref="L133">GammaCP(L$3,$C$4,$H11,$D$4,0,$E$6)</f>
        <v>1.3124825156577537E-2</v>
      </c>
      <c r="M133" cm="1">
        <f t="array" ref="M133">GammaCP(M$3,$C$4,$H11,$D$4,0,$E$6)</f>
        <v>1.4871858249720593E-2</v>
      </c>
      <c r="N133" cm="1">
        <f t="array" ref="N133">GammaCP(N$3,$C$4,$H11,$D$4,0,$E$6)</f>
        <v>1.586575934798053E-2</v>
      </c>
      <c r="O133" cm="1">
        <f t="array" ref="O133">GammaCP(O$3,$C$4,$H11,$D$4,0,$E$6)</f>
        <v>1.6093332217008621E-2</v>
      </c>
      <c r="P133" cm="1">
        <f t="array" ref="P133">GammaCP(P$3,$C$4,$H11,$D$4,0,$E$6)</f>
        <v>1.5644431582997612E-2</v>
      </c>
      <c r="Q133" cm="1">
        <f t="array" ref="Q133">GammaCP(Q$3,$C$4,$H11,$D$4,0,$E$6)</f>
        <v>1.4669150678135829E-2</v>
      </c>
      <c r="R133" cm="1">
        <f t="array" ref="R133">GammaCP(R$3,$C$4,$H11,$D$4,0,$E$6)</f>
        <v>1.3337894677823488E-2</v>
      </c>
      <c r="S133" cm="1">
        <f t="array" ref="S133">GammaCP(S$3,$C$4,$H11,$D$4,0,$E$6)</f>
        <v>1.1811904293602781E-2</v>
      </c>
      <c r="T133" cm="1">
        <f t="array" ref="T133">GammaCP(T$3,$C$4,$H11,$D$4,0,$E$6)</f>
        <v>1.0225923975723968E-2</v>
      </c>
      <c r="U133" cm="1">
        <f t="array" ref="U133">GammaCP(U$3,$C$4,$H11,$D$4,0,$E$6)</f>
        <v>8.681246196908252E-3</v>
      </c>
      <c r="V133" cm="1">
        <f t="array" ref="V133">GammaCP(V$3,$C$4,$H11,$D$4,0,$E$6)</f>
        <v>7.2460218594597326E-3</v>
      </c>
      <c r="W133" cm="1">
        <f t="array" ref="W133">GammaCP(W$3,$C$4,$H11,$D$4,0,$E$6)</f>
        <v>5.9597458042224315E-3</v>
      </c>
      <c r="X133" cm="1">
        <f t="array" ref="X133">GammaCP(X$3,$C$4,$H11,$D$4,0,$E$6)</f>
        <v>4.8394882133299885E-3</v>
      </c>
      <c r="Y133" cm="1">
        <f t="array" ref="Y133">GammaCP(Y$3,$C$4,$H11,$D$4,0,$E$6)</f>
        <v>3.8862598492258598E-3</v>
      </c>
    </row>
    <row r="134" spans="7:25" x14ac:dyDescent="0.2">
      <c r="H134">
        <v>0.9</v>
      </c>
      <c r="I134" cm="1">
        <f t="array" ref="I134">GammaCP(I$3,$C$4,$H12,$D$4,0,$E$6)</f>
        <v>6.2802722099484769E-3</v>
      </c>
      <c r="J134" cm="1">
        <f t="array" ref="J134">GammaCP(J$3,$C$4,$H12,$D$4,0,$E$6)</f>
        <v>8.7907122230331258E-3</v>
      </c>
      <c r="K134" cm="1">
        <f t="array" ref="K134">GammaCP(K$3,$C$4,$H12,$D$4,0,$E$6)</f>
        <v>1.1184482954854207E-2</v>
      </c>
      <c r="L134" cm="1">
        <f t="array" ref="L134">GammaCP(L$3,$C$4,$H12,$D$4,0,$E$6)</f>
        <v>1.3168033532704496E-2</v>
      </c>
      <c r="M134" cm="1">
        <f t="array" ref="M134">GammaCP(M$3,$C$4,$H12,$D$4,0,$E$6)</f>
        <v>1.4546046008012573E-2</v>
      </c>
      <c r="N134" cm="1">
        <f t="array" ref="N134">GammaCP(N$3,$C$4,$H12,$D$4,0,$E$6)</f>
        <v>1.5240725494598824E-2</v>
      </c>
      <c r="O134" cm="1">
        <f t="array" ref="O134">GammaCP(O$3,$C$4,$H12,$D$4,0,$E$6)</f>
        <v>1.5277763824001957E-2</v>
      </c>
      <c r="P134" cm="1">
        <f t="array" ref="P134">GammaCP(P$3,$C$4,$H12,$D$4,0,$E$6)</f>
        <v>1.4754868041798961E-2</v>
      </c>
      <c r="Q134" cm="1">
        <f t="array" ref="Q134">GammaCP(Q$3,$C$4,$H12,$D$4,0,$E$6)</f>
        <v>1.3806984978133098E-2</v>
      </c>
      <c r="R134" cm="1">
        <f t="array" ref="R134">GammaCP(R$3,$C$4,$H12,$D$4,0,$E$6)</f>
        <v>1.2577052515957669E-2</v>
      </c>
      <c r="S134" cm="1">
        <f t="array" ref="S134">GammaCP(S$3,$C$4,$H12,$D$4,0,$E$6)</f>
        <v>1.1195871235951033E-2</v>
      </c>
      <c r="T134" cm="1">
        <f t="array" ref="T134">GammaCP(T$3,$C$4,$H12,$D$4,0,$E$6)</f>
        <v>9.7710707636894847E-3</v>
      </c>
      <c r="U134" cm="1">
        <f t="array" ref="U134">GammaCP(U$3,$C$4,$H12,$D$4,0,$E$6)</f>
        <v>8.3833035199653554E-3</v>
      </c>
      <c r="V134" cm="1">
        <f t="array" ref="V134">GammaCP(V$3,$C$4,$H12,$D$4,0,$E$6)</f>
        <v>7.0872762215001793E-3</v>
      </c>
      <c r="W134" cm="1">
        <f t="array" ref="W134">GammaCP(W$3,$C$4,$H12,$D$4,0,$E$6)</f>
        <v>5.9154595576943591E-3</v>
      </c>
      <c r="X134" cm="1">
        <f t="array" ref="X134">GammaCP(X$3,$C$4,$H12,$D$4,0,$E$6)</f>
        <v>4.882853467973125E-3</v>
      </c>
      <c r="Y134" cm="1">
        <f t="array" ref="Y134">GammaCP(Y$3,$C$4,$H12,$D$4,0,$E$6)</f>
        <v>3.9917562221930339E-3</v>
      </c>
    </row>
    <row r="135" spans="7:25" x14ac:dyDescent="0.2">
      <c r="H135">
        <v>1</v>
      </c>
      <c r="I135" cm="1">
        <f t="array" ref="I135">GammaCP(I$3,$C$4,$H13,$D$4,0,$E$6)</f>
        <v>6.9875383385906882E-3</v>
      </c>
      <c r="J135" cm="1">
        <f t="array" ref="J135">GammaCP(J$3,$C$4,$H13,$D$4,0,$E$6)</f>
        <v>9.3360824327461973E-3</v>
      </c>
      <c r="K135" cm="1">
        <f t="array" ref="K135">GammaCP(K$3,$C$4,$H13,$D$4,0,$E$6)</f>
        <v>1.1458084787714838E-2</v>
      </c>
      <c r="L135" cm="1">
        <f t="array" ref="L135">GammaCP(L$3,$C$4,$H13,$D$4,0,$E$6)</f>
        <v>1.3124994619891275E-2</v>
      </c>
      <c r="M135" cm="1">
        <f t="array" ref="M135">GammaCP(M$3,$C$4,$H13,$D$4,0,$E$6)</f>
        <v>1.4206432265572271E-2</v>
      </c>
      <c r="N135" cm="1">
        <f t="array" ref="N135">GammaCP(N$3,$C$4,$H13,$D$4,0,$E$6)</f>
        <v>1.4671609392337213E-2</v>
      </c>
      <c r="O135" cm="1">
        <f t="array" ref="O135">GammaCP(O$3,$C$4,$H13,$D$4,0,$E$6)</f>
        <v>1.4568912566910484E-2</v>
      </c>
      <c r="P135" cm="1">
        <f t="array" ref="P135">GammaCP(P$3,$C$4,$H13,$D$4,0,$E$6)</f>
        <v>1.3996906305568678E-2</v>
      </c>
      <c r="Q135" cm="1">
        <f t="array" ref="Q135">GammaCP(Q$3,$C$4,$H13,$D$4,0,$E$6)</f>
        <v>1.3076461848524422E-2</v>
      </c>
      <c r="R135" cm="1">
        <f t="array" ref="R135">GammaCP(R$3,$C$4,$H13,$D$4,0,$E$6)</f>
        <v>1.1929120878360653E-2</v>
      </c>
      <c r="S135" cm="1">
        <f t="array" ref="S135">GammaCP(S$3,$C$4,$H13,$D$4,0,$E$6)</f>
        <v>1.0663126660408761E-2</v>
      </c>
      <c r="T135" cm="1">
        <f t="array" ref="T135">GammaCP(T$3,$C$4,$H13,$D$4,0,$E$6)</f>
        <v>9.366344559542529E-3</v>
      </c>
      <c r="U135" cm="1">
        <f t="array" ref="U135">GammaCP(U$3,$C$4,$H13,$D$4,0,$E$6)</f>
        <v>8.1043460458643246E-3</v>
      </c>
      <c r="V135" cm="1">
        <f t="array" ref="V135">GammaCP(V$3,$C$4,$H13,$D$4,0,$E$6)</f>
        <v>6.9218060724324567E-3</v>
      </c>
      <c r="W135" cm="1">
        <f t="array" ref="W135">GammaCP(W$3,$C$4,$H13,$D$4,0,$E$6)</f>
        <v>5.8456577452828994E-3</v>
      </c>
      <c r="X135" cm="1">
        <f t="array" ref="X135">GammaCP(X$3,$C$4,$H13,$D$4,0,$E$6)</f>
        <v>4.8888801197403868E-3</v>
      </c>
      <c r="Y135" cm="1">
        <f t="array" ref="Y135">GammaCP(Y$3,$C$4,$H13,$D$4,0,$E$6)</f>
        <v>4.054208161540623E-3</v>
      </c>
    </row>
    <row r="136" spans="7:25" x14ac:dyDescent="0.2">
      <c r="H136">
        <v>2</v>
      </c>
      <c r="I136" cm="1">
        <f t="array" ref="I136">GammaCP(I$3,$C$4,$H14,$D$4,0,$E$6)</f>
        <v>1.0030097674802636E-2</v>
      </c>
      <c r="J136" cm="1">
        <f t="array" ref="J136">GammaCP(J$3,$C$4,$H14,$D$4,0,$E$6)</f>
        <v>1.0869825982032191E-2</v>
      </c>
      <c r="K136" cm="1">
        <f t="array" ref="K136">GammaCP(K$3,$C$4,$H14,$D$4,0,$E$6)</f>
        <v>1.1344091423781006E-2</v>
      </c>
      <c r="L136" cm="1">
        <f t="array" ref="L136">GammaCP(L$3,$C$4,$H14,$D$4,0,$E$6)</f>
        <v>1.148487381824651E-2</v>
      </c>
      <c r="M136" cm="1">
        <f t="array" ref="M136">GammaCP(M$3,$C$4,$H14,$D$4,0,$E$6)</f>
        <v>1.1343327721716879E-2</v>
      </c>
      <c r="N136" cm="1">
        <f t="array" ref="N136">GammaCP(N$3,$C$4,$H14,$D$4,0,$E$6)</f>
        <v>1.0978106060139997E-2</v>
      </c>
      <c r="O136" cm="1">
        <f t="array" ref="O136">GammaCP(O$3,$C$4,$H14,$D$4,0,$E$6)</f>
        <v>1.0447330574272131E-2</v>
      </c>
      <c r="P136" cm="1">
        <f t="array" ref="P136">GammaCP(P$3,$C$4,$H14,$D$4,0,$E$6)</f>
        <v>9.8037554378220936E-3</v>
      </c>
      <c r="Q136" cm="1">
        <f t="array" ref="Q136">GammaCP(Q$3,$C$4,$H14,$D$4,0,$E$6)</f>
        <v>9.092361475410371E-3</v>
      </c>
      <c r="R136" cm="1">
        <f t="array" ref="R136">GammaCP(R$3,$C$4,$H14,$D$4,0,$E$6)</f>
        <v>8.3496184427614955E-3</v>
      </c>
      <c r="S136" cm="1">
        <f t="array" ref="S136">GammaCP(S$3,$C$4,$H14,$D$4,0,$E$6)</f>
        <v>7.603783522576131E-3</v>
      </c>
      <c r="T136" cm="1">
        <f t="array" ref="T136">GammaCP(T$3,$C$4,$H14,$D$4,0,$E$6)</f>
        <v>6.8757669831697619E-3</v>
      </c>
      <c r="U136" cm="1">
        <f t="array" ref="U136">GammaCP(U$3,$C$4,$H14,$D$4,0,$E$6)</f>
        <v>6.1802445927498393E-3</v>
      </c>
      <c r="V136" cm="1">
        <f t="array" ref="V136">GammaCP(V$3,$C$4,$H14,$D$4,0,$E$6)</f>
        <v>5.5268144202571534E-3</v>
      </c>
      <c r="W136" cm="1">
        <f t="array" ref="W136">GammaCP(W$3,$C$4,$H14,$D$4,0,$E$6)</f>
        <v>4.9210815203458418E-3</v>
      </c>
      <c r="X136" cm="1">
        <f t="array" ref="X136">GammaCP(X$3,$C$4,$H14,$D$4,0,$E$6)</f>
        <v>4.3656123603575455E-3</v>
      </c>
      <c r="Y136" cm="1">
        <f t="array" ref="Y136">GammaCP(Y$3,$C$4,$H14,$D$4,0,$E$6)</f>
        <v>3.860738073303574E-3</v>
      </c>
    </row>
    <row r="137" spans="7:25" x14ac:dyDescent="0.2">
      <c r="H137">
        <v>3</v>
      </c>
      <c r="I137" cm="1">
        <f t="array" ref="I137">GammaCP(I$3,$C$4,$H15,$D$4,0,$E$6)</f>
        <v>1.025398028665004E-2</v>
      </c>
      <c r="J137" cm="1">
        <f t="array" ref="J137">GammaCP(J$3,$C$4,$H15,$D$4,0,$E$6)</f>
        <v>1.0363399155444455E-2</v>
      </c>
      <c r="K137" cm="1">
        <f t="array" ref="K137">GammaCP(K$3,$C$4,$H15,$D$4,0,$E$6)</f>
        <v>1.0246666696571996E-2</v>
      </c>
      <c r="L137" cm="1">
        <f t="array" ref="L137">GammaCP(L$3,$C$4,$H15,$D$4,0,$E$6)</f>
        <v>9.9554811818721185E-3</v>
      </c>
      <c r="M137" cm="1">
        <f t="array" ref="M137">GammaCP(M$3,$C$4,$H15,$D$4,0,$E$6)</f>
        <v>9.5371649510801217E-3</v>
      </c>
      <c r="N137" cm="1">
        <f t="array" ref="N137">GammaCP(N$3,$C$4,$H15,$D$4,0,$E$6)</f>
        <v>9.0324238181826739E-3</v>
      </c>
      <c r="O137" cm="1">
        <f t="array" ref="O137">GammaCP(O$3,$C$4,$H15,$D$4,0,$E$6)</f>
        <v>8.4747143075524275E-3</v>
      </c>
      <c r="P137" cm="1">
        <f t="array" ref="P137">GammaCP(P$3,$C$4,$H15,$D$4,0,$E$6)</f>
        <v>7.8905317151781781E-3</v>
      </c>
      <c r="Q137" cm="1">
        <f t="array" ref="Q137">GammaCP(Q$3,$C$4,$H15,$D$4,0,$E$6)</f>
        <v>7.3001620980094519E-3</v>
      </c>
      <c r="R137" cm="1">
        <f t="array" ref="R137">GammaCP(R$3,$C$4,$H15,$D$4,0,$E$6)</f>
        <v>6.7186139847336453E-3</v>
      </c>
      <c r="S137" cm="1">
        <f t="array" ref="S137">GammaCP(S$3,$C$4,$H15,$D$4,0,$E$6)</f>
        <v>6.1565649557768741E-3</v>
      </c>
      <c r="T137" cm="1">
        <f t="array" ref="T137">GammaCP(T$3,$C$4,$H15,$D$4,0,$E$6)</f>
        <v>5.6212360131347814E-3</v>
      </c>
      <c r="U137" cm="1">
        <f t="array" ref="U137">GammaCP(U$3,$C$4,$H15,$D$4,0,$E$6)</f>
        <v>5.1171548019673802E-3</v>
      </c>
      <c r="V137" cm="1">
        <f t="array" ref="V137">GammaCP(V$3,$C$4,$H15,$D$4,0,$E$6)</f>
        <v>4.6467969605679983E-3</v>
      </c>
      <c r="W137" cm="1">
        <f t="array" ref="W137">GammaCP(W$3,$C$4,$H15,$D$4,0,$E$6)</f>
        <v>4.2111102732515686E-3</v>
      </c>
      <c r="X137" cm="1">
        <f t="array" ref="X137">GammaCP(X$3,$C$4,$H15,$D$4,0,$E$6)</f>
        <v>3.8099337821083396E-3</v>
      </c>
      <c r="Y137" cm="1">
        <f t="array" ref="Y137">GammaCP(Y$3,$C$4,$H15,$D$4,0,$E$6)</f>
        <v>3.4423268142812495E-3</v>
      </c>
    </row>
    <row r="138" spans="7:25" x14ac:dyDescent="0.2">
      <c r="H138">
        <v>4</v>
      </c>
      <c r="I138" cm="1">
        <f t="array" ref="I138">GammaCP(I$3,$C$4,$H16,$D$4,0,$E$6)</f>
        <v>9.8534950455954461E-3</v>
      </c>
      <c r="J138" cm="1">
        <f t="array" ref="J138">GammaCP(J$3,$C$4,$H16,$D$4,0,$E$6)</f>
        <v>9.6171460019162294E-3</v>
      </c>
      <c r="K138" cm="1">
        <f t="array" ref="K138">GammaCP(K$3,$C$4,$H16,$D$4,0,$E$6)</f>
        <v>9.2553580000514068E-3</v>
      </c>
      <c r="L138" cm="1">
        <f t="array" ref="L138">GammaCP(L$3,$C$4,$H16,$D$4,0,$E$6)</f>
        <v>8.8091587418353094E-3</v>
      </c>
      <c r="M138" cm="1">
        <f t="array" ref="M138">GammaCP(M$3,$C$4,$H16,$D$4,0,$E$6)</f>
        <v>8.3111834375704362E-3</v>
      </c>
      <c r="N138" cm="1">
        <f t="array" ref="N138">GammaCP(N$3,$C$4,$H16,$D$4,0,$E$6)</f>
        <v>7.7865829825335157E-3</v>
      </c>
      <c r="O138" cm="1">
        <f t="array" ref="O138">GammaCP(O$3,$C$4,$H16,$D$4,0,$E$6)</f>
        <v>7.2541928646975579E-3</v>
      </c>
      <c r="P138" cm="1">
        <f t="array" ref="P138">GammaCP(P$3,$C$4,$H16,$D$4,0,$E$6)</f>
        <v>6.727711143982254E-3</v>
      </c>
      <c r="Q138" cm="1">
        <f t="array" ref="Q138">GammaCP(Q$3,$C$4,$H16,$D$4,0,$E$6)</f>
        <v>6.2167667801221434E-3</v>
      </c>
      <c r="R138" cm="1">
        <f t="array" ref="R138">GammaCP(R$3,$C$4,$H16,$D$4,0,$E$6)</f>
        <v>5.7278335105389287E-3</v>
      </c>
      <c r="S138" cm="1">
        <f t="array" ref="S138">GammaCP(S$3,$C$4,$H16,$D$4,0,$E$6)</f>
        <v>5.2649832426331956E-3</v>
      </c>
      <c r="T138" cm="1">
        <f t="array" ref="T138">GammaCP(T$3,$C$4,$H16,$D$4,0,$E$6)</f>
        <v>4.8304914892427558E-3</v>
      </c>
      <c r="U138" cm="1">
        <f t="array" ref="U138">GammaCP(U$3,$C$4,$H16,$D$4,0,$E$6)</f>
        <v>4.4253147744497462E-3</v>
      </c>
      <c r="V138" cm="1">
        <f t="array" ref="V138">GammaCP(V$3,$C$4,$H16,$D$4,0,$E$6)</f>
        <v>4.0494614630788676E-3</v>
      </c>
      <c r="W138" cm="1">
        <f t="array" ref="W138">GammaCP(W$3,$C$4,$H16,$D$4,0,$E$6)</f>
        <v>3.7022761379487913E-3</v>
      </c>
      <c r="X138" cm="1">
        <f t="array" ref="X138">GammaCP(X$3,$C$4,$H16,$D$4,0,$E$6)</f>
        <v>3.3826551294348179E-3</v>
      </c>
      <c r="Y138" cm="1">
        <f t="array" ref="Y138">GammaCP(Y$3,$C$4,$H16,$D$4,0,$E$6)</f>
        <v>3.0892079723303248E-3</v>
      </c>
    </row>
    <row r="139" spans="7:25" x14ac:dyDescent="0.2">
      <c r="H139">
        <v>5</v>
      </c>
      <c r="I139" cm="1">
        <f t="array" ref="I139">GammaCP(I$3,$C$4,$H17,$D$4,0,$E$6)</f>
        <v>9.3178601442685666E-3</v>
      </c>
      <c r="J139" cm="1">
        <f t="array" ref="J139">GammaCP(J$3,$C$4,$H17,$D$4,0,$E$6)</f>
        <v>8.9059405124312912E-3</v>
      </c>
      <c r="K139" cm="1">
        <f t="array" ref="K139">GammaCP(K$3,$C$4,$H17,$D$4,0,$E$6)</f>
        <v>8.4330908674948215E-3</v>
      </c>
      <c r="L139" cm="1">
        <f t="array" ref="L139">GammaCP(L$3,$C$4,$H17,$D$4,0,$E$6)</f>
        <v>7.9280236081079453E-3</v>
      </c>
      <c r="M139" cm="1">
        <f t="array" ref="M139">GammaCP(M$3,$C$4,$H17,$D$4,0,$E$6)</f>
        <v>7.4116721863495584E-3</v>
      </c>
      <c r="N139" cm="1">
        <f t="array" ref="N139">GammaCP(N$3,$C$4,$H17,$D$4,0,$E$6)</f>
        <v>6.8988971767481675E-3</v>
      </c>
      <c r="O139" cm="1">
        <f t="array" ref="O139">GammaCP(O$3,$C$4,$H17,$D$4,0,$E$6)</f>
        <v>6.3999223842824441E-3</v>
      </c>
      <c r="P139" cm="1">
        <f t="array" ref="P139">GammaCP(P$3,$C$4,$H17,$D$4,0,$E$6)</f>
        <v>5.9214922774464777E-3</v>
      </c>
      <c r="Q139" cm="1">
        <f t="array" ref="Q139">GammaCP(Q$3,$C$4,$H17,$D$4,0,$E$6)</f>
        <v>5.4677797056007192E-3</v>
      </c>
      <c r="R139" cm="1">
        <f t="array" ref="R139">GammaCP(R$3,$C$4,$H17,$D$4,0,$E$6)</f>
        <v>5.0410846970877594E-3</v>
      </c>
      <c r="S139" cm="1">
        <f t="array" ref="S139">GammaCP(S$3,$C$4,$H17,$D$4,0,$E$6)</f>
        <v>4.6423651796185005E-3</v>
      </c>
      <c r="T139" cm="1">
        <f t="array" ref="T139">GammaCP(T$3,$C$4,$H17,$D$4,0,$E$6)</f>
        <v>4.2716357498546308E-3</v>
      </c>
      <c r="U139" cm="1">
        <f t="array" ref="U139">GammaCP(U$3,$C$4,$H17,$D$4,0,$E$6)</f>
        <v>3.928264530213923E-3</v>
      </c>
      <c r="V139" cm="1">
        <f t="array" ref="V139">GammaCP(V$3,$C$4,$H17,$D$4,0,$E$6)</f>
        <v>3.6111922111984628E-3</v>
      </c>
      <c r="W139" cm="1">
        <f t="array" ref="W139">GammaCP(W$3,$C$4,$H17,$D$4,0,$E$6)</f>
        <v>3.3190921842812561E-3</v>
      </c>
      <c r="X139" cm="1">
        <f t="array" ref="X139">GammaCP(X$3,$C$4,$H17,$D$4,0,$E$6)</f>
        <v>3.0504863785204566E-3</v>
      </c>
      <c r="Y139" cm="1">
        <f t="array" ref="Y139">GammaCP(Y$3,$C$4,$H17,$D$4,0,$E$6)</f>
        <v>2.8038279821686937E-3</v>
      </c>
    </row>
    <row r="141" spans="7:25" x14ac:dyDescent="0.2">
      <c r="I141">
        <v>60</v>
      </c>
      <c r="J141">
        <v>65</v>
      </c>
      <c r="K141">
        <v>70</v>
      </c>
      <c r="L141">
        <v>75</v>
      </c>
      <c r="M141">
        <v>80</v>
      </c>
      <c r="N141">
        <v>85</v>
      </c>
      <c r="O141">
        <v>90</v>
      </c>
      <c r="P141">
        <v>95</v>
      </c>
      <c r="Q141">
        <v>100</v>
      </c>
      <c r="R141">
        <v>105</v>
      </c>
      <c r="S141">
        <v>110</v>
      </c>
      <c r="T141">
        <v>115</v>
      </c>
      <c r="U141">
        <v>120</v>
      </c>
      <c r="V141">
        <v>125</v>
      </c>
      <c r="W141">
        <v>130</v>
      </c>
      <c r="X141">
        <v>135</v>
      </c>
      <c r="Y141">
        <v>140</v>
      </c>
    </row>
    <row r="142" spans="7:25" x14ac:dyDescent="0.2">
      <c r="H142">
        <v>0.1</v>
      </c>
      <c r="I142" cm="1">
        <f t="array" ref="I142">Vega(I$3,$C$4,$H4,$D$4,0,$E$6)</f>
        <v>5.2241467496489727E-6</v>
      </c>
      <c r="J142" cm="1">
        <f t="array" ref="J142">Vega(J$3,$C$4,$H4,$D$4,0,$E$6)</f>
        <v>3.5480919020595768E-4</v>
      </c>
      <c r="K142" cm="1">
        <f t="array" ref="K142">Vega(K$3,$C$4,$H4,$D$4,0,$E$6)</f>
        <v>9.3436309317573522E-3</v>
      </c>
      <c r="L142" cm="1">
        <f t="array" ref="L142">Vega(L$3,$C$4,$H4,$D$4,0,$E$6)</f>
        <v>0.11344357018572764</v>
      </c>
      <c r="M142" cm="1">
        <f t="array" ref="M142">Vega(M$3,$C$4,$H4,$D$4,0,$E$6)</f>
        <v>0.72629446543345488</v>
      </c>
      <c r="N142" cm="1">
        <f t="array" ref="N142">Vega(N$3,$C$4,$H4,$D$4,0,$E$6)</f>
        <v>2.7256339776935321</v>
      </c>
      <c r="O142" cm="1">
        <f t="array" ref="O142">Vega(O$3,$C$4,$H4,$D$4,0,$E$6)</f>
        <v>6.5245486618251372</v>
      </c>
      <c r="P142" cm="1">
        <f t="array" ref="P142">Vega(P$3,$C$4,$H4,$D$4,0,$E$6)</f>
        <v>10.666888149822517</v>
      </c>
      <c r="Q142" cm="1">
        <f t="array" ref="Q142">Vega(Q$3,$C$4,$H4,$D$4,0,$E$6)</f>
        <v>12.594479093238515</v>
      </c>
      <c r="R142" cm="1">
        <f t="array" ref="R142">Vega(R$3,$C$4,$H4,$D$4,0,$E$6)</f>
        <v>11.245674973430274</v>
      </c>
      <c r="S142" cm="1">
        <f t="array" ref="S142">Vega(S$3,$C$4,$H4,$D$4,0,$E$6)</f>
        <v>7.8904665626496842</v>
      </c>
      <c r="T142" cm="1">
        <f t="array" ref="T142">Vega(T$3,$C$4,$H4,$D$4,0,$E$6)</f>
        <v>4.4925546239266927</v>
      </c>
      <c r="U142" cm="1">
        <f t="array" ref="U142">Vega(U$3,$C$4,$H4,$D$4,0,$E$6)</f>
        <v>2.1327896525065615</v>
      </c>
      <c r="V142" cm="1">
        <f t="array" ref="V142">Vega(V$3,$C$4,$H4,$D$4,0,$E$6)</f>
        <v>0.86394717581212621</v>
      </c>
      <c r="W142" cm="1">
        <f t="array" ref="W142">Vega(W$3,$C$4,$H4,$D$4,0,$E$6)</f>
        <v>0.30456280025937243</v>
      </c>
      <c r="X142" cm="1">
        <f t="array" ref="X142">Vega(X$3,$C$4,$H4,$D$4,0,$E$6)</f>
        <v>9.5033945464502889E-2</v>
      </c>
      <c r="Y142" cm="1">
        <f t="array" ref="Y142">Vega(Y$3,$C$4,$H4,$D$4,0,$E$6)</f>
        <v>2.6634878733576301E-2</v>
      </c>
    </row>
    <row r="143" spans="7:25" x14ac:dyDescent="0.2">
      <c r="H143">
        <v>0.2</v>
      </c>
      <c r="I143" cm="1">
        <f t="array" ref="I143">Vega(I$3,$C$4,$H5,$D$4,0,$E$6)</f>
        <v>1.0369210092575671E-2</v>
      </c>
      <c r="J143" cm="1">
        <f t="array" ref="J143">Vega(J$3,$C$4,$H5,$D$4,0,$E$6)</f>
        <v>8.6795002193490151E-2</v>
      </c>
      <c r="K143" cm="1">
        <f t="array" ref="K143">Vega(K$3,$C$4,$H5,$D$4,0,$E$6)</f>
        <v>0.45186973977930972</v>
      </c>
      <c r="L143" cm="1">
        <f t="array" ref="L143">Vega(L$3,$C$4,$H5,$D$4,0,$E$6)</f>
        <v>1.5957745936388483</v>
      </c>
      <c r="M143" cm="1">
        <f t="array" ref="M143">Vega(M$3,$C$4,$H5,$D$4,0,$E$6)</f>
        <v>4.0887259297741139</v>
      </c>
      <c r="N143" cm="1">
        <f t="array" ref="N143">Vega(N$3,$C$4,$H5,$D$4,0,$E$6)</f>
        <v>8.0146565468207562</v>
      </c>
      <c r="O143" cm="1">
        <f t="array" ref="O143">Vega(O$3,$C$4,$H5,$D$4,0,$E$6)</f>
        <v>12.538719707021434</v>
      </c>
      <c r="P143" cm="1">
        <f t="array" ref="P143">Vega(P$3,$C$4,$H5,$D$4,0,$E$6)</f>
        <v>16.201774980597236</v>
      </c>
      <c r="Q143" cm="1">
        <f t="array" ref="Q143">Vega(Q$3,$C$4,$H5,$D$4,0,$E$6)</f>
        <v>17.78137543166752</v>
      </c>
      <c r="R143" cm="1">
        <f t="array" ref="R143">Vega(R$3,$C$4,$H5,$D$4,0,$E$6)</f>
        <v>16.962433257069016</v>
      </c>
      <c r="S143" cm="1">
        <f t="array" ref="S143">Vega(S$3,$C$4,$H5,$D$4,0,$E$6)</f>
        <v>14.337557290741064</v>
      </c>
      <c r="T143" cm="1">
        <f t="array" ref="T143">Vega(T$3,$C$4,$H5,$D$4,0,$E$6)</f>
        <v>10.912500779394538</v>
      </c>
      <c r="U143" cm="1">
        <f t="array" ref="U143">Vega(U$3,$C$4,$H5,$D$4,0,$E$6)</f>
        <v>7.5813336945485403</v>
      </c>
      <c r="V143" cm="1">
        <f t="array" ref="V143">Vega(V$3,$C$4,$H5,$D$4,0,$E$6)</f>
        <v>4.8636515735941721</v>
      </c>
      <c r="W143" cm="1">
        <f t="array" ref="W143">Vega(W$3,$C$4,$H5,$D$4,0,$E$6)</f>
        <v>2.9098414567491484</v>
      </c>
      <c r="X143" cm="1">
        <f t="array" ref="X143">Vega(X$3,$C$4,$H5,$D$4,0,$E$6)</f>
        <v>1.6374094930515455</v>
      </c>
      <c r="Y143" cm="1">
        <f t="array" ref="Y143">Vega(Y$3,$C$4,$H5,$D$4,0,$E$6)</f>
        <v>0.87300030082944957</v>
      </c>
    </row>
    <row r="144" spans="7:25" x14ac:dyDescent="0.2">
      <c r="H144">
        <v>0.3</v>
      </c>
      <c r="I144" cm="1">
        <f t="array" ref="I144">Vega(I$3,$C$4,$H6,$D$4,0,$E$6)</f>
        <v>0.14202882759273425</v>
      </c>
      <c r="J144" cm="1">
        <f t="array" ref="J144">Vega(J$3,$C$4,$H6,$D$4,0,$E$6)</f>
        <v>0.59162801509579999</v>
      </c>
      <c r="K144" cm="1">
        <f t="array" ref="K144">Vega(K$3,$C$4,$H6,$D$4,0,$E$6)</f>
        <v>1.7943197870953576</v>
      </c>
      <c r="L144" cm="1">
        <f t="array" ref="L144">Vega(L$3,$C$4,$H6,$D$4,0,$E$6)</f>
        <v>4.1984549048709416</v>
      </c>
      <c r="M144" cm="1">
        <f t="array" ref="M144">Vega(M$3,$C$4,$H6,$D$4,0,$E$6)</f>
        <v>7.9274555446936921</v>
      </c>
      <c r="N144" cm="1">
        <f t="array" ref="N144">Vega(N$3,$C$4,$H6,$D$4,0,$E$6)</f>
        <v>12.514440458799733</v>
      </c>
      <c r="O144" cm="1">
        <f t="array" ref="O144">Vega(O$3,$C$4,$H6,$D$4,0,$E$6)</f>
        <v>16.990578273325511</v>
      </c>
      <c r="P144" cm="1">
        <f t="array" ref="P144">Vega(P$3,$C$4,$H6,$D$4,0,$E$6)</f>
        <v>20.298234899889014</v>
      </c>
      <c r="Q144" cm="1">
        <f t="array" ref="Q144">Vega(Q$3,$C$4,$H6,$D$4,0,$E$6)</f>
        <v>21.741080554000831</v>
      </c>
      <c r="R144" cm="1">
        <f t="array" ref="R144">Vega(R$3,$C$4,$H6,$D$4,0,$E$6)</f>
        <v>21.201979956829657</v>
      </c>
      <c r="S144" cm="1">
        <f t="array" ref="S144">Vega(S$3,$C$4,$H6,$D$4,0,$E$6)</f>
        <v>19.068654650481346</v>
      </c>
      <c r="T144" cm="1">
        <f t="array" ref="T144">Vega(T$3,$C$4,$H6,$D$4,0,$E$6)</f>
        <v>15.98779807314763</v>
      </c>
      <c r="U144" cm="1">
        <f t="array" ref="U144">Vega(U$3,$C$4,$H6,$D$4,0,$E$6)</f>
        <v>12.610496950196401</v>
      </c>
      <c r="V144" cm="1">
        <f t="array" ref="V144">Vega(V$3,$C$4,$H6,$D$4,0,$E$6)</f>
        <v>9.4299256777715623</v>
      </c>
      <c r="W144" cm="1">
        <f t="array" ref="W144">Vega(W$3,$C$4,$H6,$D$4,0,$E$6)</f>
        <v>6.7295735384344546</v>
      </c>
      <c r="X144" cm="1">
        <f t="array" ref="X144">Vega(X$3,$C$4,$H6,$D$4,0,$E$6)</f>
        <v>4.6093272696781771</v>
      </c>
      <c r="Y144" cm="1">
        <f t="array" ref="Y144">Vega(Y$3,$C$4,$H6,$D$4,0,$E$6)</f>
        <v>3.0450166811718988</v>
      </c>
    </row>
    <row r="145" spans="7:25" x14ac:dyDescent="0.2">
      <c r="H145">
        <v>0.4</v>
      </c>
      <c r="I145" cm="1">
        <f t="array" ref="I145">Vega(I$3,$C$4,$H7,$D$4,0,$E$6)</f>
        <v>0.54799114620321265</v>
      </c>
      <c r="J145" cm="1">
        <f t="array" ref="J145">Vega(J$3,$C$4,$H7,$D$4,0,$E$6)</f>
        <v>1.6103021116910758</v>
      </c>
      <c r="K145" cm="1">
        <f t="array" ref="K145">Vega(K$3,$C$4,$H7,$D$4,0,$E$6)</f>
        <v>3.7275610547584388</v>
      </c>
      <c r="L145" cm="1">
        <f t="array" ref="L145">Vega(L$3,$C$4,$H7,$D$4,0,$E$6)</f>
        <v>7.0995380577419693</v>
      </c>
      <c r="M145" cm="1">
        <f t="array" ref="M145">Vega(M$3,$C$4,$H7,$D$4,0,$E$6)</f>
        <v>11.507695143275125</v>
      </c>
      <c r="N145" cm="1">
        <f t="array" ref="N145">Vega(N$3,$C$4,$H7,$D$4,0,$E$6)</f>
        <v>16.302579321220414</v>
      </c>
      <c r="O145" cm="1">
        <f t="array" ref="O145">Vega(O$3,$C$4,$H7,$D$4,0,$E$6)</f>
        <v>20.61898434580019</v>
      </c>
      <c r="P145" cm="1">
        <f t="array" ref="P145">Vega(P$3,$C$4,$H7,$D$4,0,$E$6)</f>
        <v>23.685782585692991</v>
      </c>
      <c r="Q145" cm="1">
        <f t="array" ref="Q145">Vega(Q$3,$C$4,$H7,$D$4,0,$E$6)</f>
        <v>25.062283449841154</v>
      </c>
      <c r="R145" cm="1">
        <f t="array" ref="R145">Vega(R$3,$C$4,$H7,$D$4,0,$E$6)</f>
        <v>24.711674739236781</v>
      </c>
      <c r="S145" cm="1">
        <f t="array" ref="S145">Vega(S$3,$C$4,$H7,$D$4,0,$E$6)</f>
        <v>22.925780102263243</v>
      </c>
      <c r="T145" cm="1">
        <f t="array" ref="T145">Vega(T$3,$C$4,$H7,$D$4,0,$E$6)</f>
        <v>20.174485287319666</v>
      </c>
      <c r="U145" cm="1">
        <f t="array" ref="U145">Vega(U$3,$C$4,$H7,$D$4,0,$E$6)</f>
        <v>16.955364143103456</v>
      </c>
      <c r="V145" cm="1">
        <f t="array" ref="V145">Vega(V$3,$C$4,$H7,$D$4,0,$E$6)</f>
        <v>13.688718821788127</v>
      </c>
      <c r="W145" cm="1">
        <f t="array" ref="W145">Vega(W$3,$C$4,$H7,$D$4,0,$E$6)</f>
        <v>10.669112068562891</v>
      </c>
      <c r="X145" cm="1">
        <f t="array" ref="X145">Vega(X$3,$C$4,$H7,$D$4,0,$E$6)</f>
        <v>8.0623062469021036</v>
      </c>
      <c r="Y145" cm="1">
        <f t="array" ref="Y145">Vega(Y$3,$C$4,$H7,$D$4,0,$E$6)</f>
        <v>5.9286927376384888</v>
      </c>
    </row>
    <row r="146" spans="7:25" x14ac:dyDescent="0.2">
      <c r="H146">
        <v>0.5</v>
      </c>
      <c r="I146" cm="1">
        <f t="array" ref="I146">Vega(I$3,$C$4,$H8,$D$4,0,$E$6)</f>
        <v>1.2626797297023513</v>
      </c>
      <c r="J146" cm="1">
        <f t="array" ref="J146">Vega(J$3,$C$4,$H8,$D$4,0,$E$6)</f>
        <v>3.0095667810257449</v>
      </c>
      <c r="K146" cm="1">
        <f t="array" ref="K146">Vega(K$3,$C$4,$H8,$D$4,0,$E$6)</f>
        <v>5.9240833497693499</v>
      </c>
      <c r="L146" cm="1">
        <f t="array" ref="L146">Vega(L$3,$C$4,$H8,$D$4,0,$E$6)</f>
        <v>9.9723128342838532</v>
      </c>
      <c r="M146" cm="1">
        <f t="array" ref="M146">Vega(M$3,$C$4,$H8,$D$4,0,$E$6)</f>
        <v>14.749677041710106</v>
      </c>
      <c r="N146" cm="1">
        <f t="array" ref="N146">Vega(N$3,$C$4,$H8,$D$4,0,$E$6)</f>
        <v>19.581443166314163</v>
      </c>
      <c r="O146" cm="1">
        <f t="array" ref="O146">Vega(O$3,$C$4,$H8,$D$4,0,$E$6)</f>
        <v>23.734723525071391</v>
      </c>
      <c r="P146" cm="1">
        <f t="array" ref="P146">Vega(P$3,$C$4,$H8,$D$4,0,$E$6)</f>
        <v>26.630962333356742</v>
      </c>
      <c r="Q146" cm="1">
        <f t="array" ref="Q146">Vega(Q$3,$C$4,$H8,$D$4,0,$E$6)</f>
        <v>27.973434297828003</v>
      </c>
      <c r="R146" cm="1">
        <f t="array" ref="R146">Vega(R$3,$C$4,$H8,$D$4,0,$E$6)</f>
        <v>27.765089504983582</v>
      </c>
      <c r="S146" cm="1">
        <f t="array" ref="S146">Vega(S$3,$C$4,$H8,$D$4,0,$E$6)</f>
        <v>26.242669261937365</v>
      </c>
      <c r="T146" cm="1">
        <f t="array" ref="T146">Vega(T$3,$C$4,$H8,$D$4,0,$E$6)</f>
        <v>23.773448946649211</v>
      </c>
      <c r="U146" cm="1">
        <f t="array" ref="U146">Vega(U$3,$C$4,$H8,$D$4,0,$E$6)</f>
        <v>20.755515123786619</v>
      </c>
      <c r="V146" cm="1">
        <f t="array" ref="V146">Vega(V$3,$C$4,$H8,$D$4,0,$E$6)</f>
        <v>17.545145159162672</v>
      </c>
      <c r="W146" cm="1">
        <f t="array" ref="W146">Vega(W$3,$C$4,$H8,$D$4,0,$E$6)</f>
        <v>14.417639438153623</v>
      </c>
      <c r="X146" cm="1">
        <f t="array" ref="X146">Vega(X$3,$C$4,$H8,$D$4,0,$E$6)</f>
        <v>11.556698455080513</v>
      </c>
      <c r="Y146" cm="1">
        <f t="array" ref="Y146">Vega(Y$3,$C$4,$H8,$D$4,0,$E$6)</f>
        <v>9.062790616267602</v>
      </c>
    </row>
    <row r="147" spans="7:25" x14ac:dyDescent="0.2">
      <c r="G147" t="s">
        <v>37</v>
      </c>
      <c r="H147">
        <v>0.6</v>
      </c>
      <c r="I147" cm="1">
        <f t="array" ref="I147">Vega(I$3,$C$4,$H9,$D$4,0,$E$6)</f>
        <v>2.2388087034633055</v>
      </c>
      <c r="J147" cm="1">
        <f t="array" ref="J147">Vega(J$3,$C$4,$H9,$D$4,0,$E$6)</f>
        <v>4.6410088796281217</v>
      </c>
      <c r="K147" cm="1">
        <f t="array" ref="K147">Vega(K$3,$C$4,$H9,$D$4,0,$E$6)</f>
        <v>8.1996646326998253</v>
      </c>
      <c r="L147" cm="1">
        <f t="array" ref="L147">Vega(L$3,$C$4,$H9,$D$4,0,$E$6)</f>
        <v>12.712093999325983</v>
      </c>
      <c r="M147" cm="1">
        <f t="array" ref="M147">Vega(M$3,$C$4,$H9,$D$4,0,$E$6)</f>
        <v>17.688429965289604</v>
      </c>
      <c r="N147" cm="1">
        <f t="array" ref="N147">Vega(N$3,$C$4,$H9,$D$4,0,$E$6)</f>
        <v>22.487833277913321</v>
      </c>
      <c r="O147" cm="1">
        <f t="array" ref="O147">Vega(O$3,$C$4,$H9,$D$4,0,$E$6)</f>
        <v>26.495540458839582</v>
      </c>
      <c r="P147" cm="1">
        <f t="array" ref="P147">Vega(P$3,$C$4,$H9,$D$4,0,$E$6)</f>
        <v>29.266016170947758</v>
      </c>
      <c r="Q147" cm="1">
        <f t="array" ref="Q147">Vega(Q$3,$C$4,$H9,$D$4,0,$E$6)</f>
        <v>30.591907327736617</v>
      </c>
      <c r="R147" cm="1">
        <f t="array" ref="R147">Vega(R$3,$C$4,$H9,$D$4,0,$E$6)</f>
        <v>30.498209522504144</v>
      </c>
      <c r="S147" cm="1">
        <f t="array" ref="S147">Vega(S$3,$C$4,$H9,$D$4,0,$E$6)</f>
        <v>29.186001251802374</v>
      </c>
      <c r="T147" cm="1">
        <f t="array" ref="T147">Vega(T$3,$C$4,$H9,$D$4,0,$E$6)</f>
        <v>26.956448745123339</v>
      </c>
      <c r="U147" cm="1">
        <f t="array" ref="U147">Vega(U$3,$C$4,$H9,$D$4,0,$E$6)</f>
        <v>24.139509792774032</v>
      </c>
      <c r="V147" cm="1">
        <f t="array" ref="V147">Vega(V$3,$C$4,$H9,$D$4,0,$E$6)</f>
        <v>21.040872318835998</v>
      </c>
      <c r="W147" cm="1">
        <f t="array" ref="W147">Vega(W$3,$C$4,$H9,$D$4,0,$E$6)</f>
        <v>17.910817795815685</v>
      </c>
      <c r="X147" cm="1">
        <f t="array" ref="X147">Vega(X$3,$C$4,$H9,$D$4,0,$E$6)</f>
        <v>14.932325285649343</v>
      </c>
      <c r="Y147" cm="1">
        <f t="array" ref="Y147">Vega(Y$3,$C$4,$H9,$D$4,0,$E$6)</f>
        <v>12.222910034137175</v>
      </c>
    </row>
    <row r="148" spans="7:25" x14ac:dyDescent="0.2">
      <c r="H148">
        <v>0.7</v>
      </c>
      <c r="I148" cm="1">
        <f t="array" ref="I148">Vega(I$3,$C$4,$H10,$D$4,0,$E$6)</f>
        <v>3.4092800414934215</v>
      </c>
      <c r="J148" cm="1">
        <f t="array" ref="J148">Vega(J$3,$C$4,$H10,$D$4,0,$E$6)</f>
        <v>6.3967797976228562</v>
      </c>
      <c r="K148" cm="1">
        <f t="array" ref="K148">Vega(K$3,$C$4,$H10,$D$4,0,$E$6)</f>
        <v>10.462155572124116</v>
      </c>
      <c r="L148" cm="1">
        <f t="array" ref="L148">Vega(L$3,$C$4,$H10,$D$4,0,$E$6)</f>
        <v>15.293391347314351</v>
      </c>
      <c r="M148" cm="1">
        <f t="array" ref="M148">Vega(M$3,$C$4,$H10,$D$4,0,$E$6)</f>
        <v>20.372161802542724</v>
      </c>
      <c r="N148" cm="1">
        <f t="array" ref="N148">Vega(N$3,$C$4,$H10,$D$4,0,$E$6)</f>
        <v>25.111006208294913</v>
      </c>
      <c r="O148" cm="1">
        <f t="array" ref="O148">Vega(O$3,$C$4,$H10,$D$4,0,$E$6)</f>
        <v>28.993012918382313</v>
      </c>
      <c r="P148" cm="1">
        <f t="array" ref="P148">Vega(P$3,$C$4,$H10,$D$4,0,$E$6)</f>
        <v>31.667848744818325</v>
      </c>
      <c r="Q148" cm="1">
        <f t="array" ref="Q148">Vega(Q$3,$C$4,$H10,$D$4,0,$E$6)</f>
        <v>32.987552453324305</v>
      </c>
      <c r="R148" cm="1">
        <f t="array" ref="R148">Vega(R$3,$C$4,$H10,$D$4,0,$E$6)</f>
        <v>32.9902329120264</v>
      </c>
      <c r="S148" cm="1">
        <f t="array" ref="S148">Vega(S$3,$C$4,$H10,$D$4,0,$E$6)</f>
        <v>31.851990708534011</v>
      </c>
      <c r="T148" cm="1">
        <f t="array" ref="T148">Vega(T$3,$C$4,$H10,$D$4,0,$E$6)</f>
        <v>29.828227300311028</v>
      </c>
      <c r="U148" cm="1">
        <f t="array" ref="U148">Vega(U$3,$C$4,$H10,$D$4,0,$E$6)</f>
        <v>27.199931861420886</v>
      </c>
      <c r="V148" cm="1">
        <f t="array" ref="V148">Vega(V$3,$C$4,$H10,$D$4,0,$E$6)</f>
        <v>24.233244905687769</v>
      </c>
      <c r="W148" cm="1">
        <f t="array" ref="W148">Vega(W$3,$C$4,$H10,$D$4,0,$E$6)</f>
        <v>21.154470571896187</v>
      </c>
      <c r="X148" cm="1">
        <f t="array" ref="X148">Vega(X$3,$C$4,$H10,$D$4,0,$E$6)</f>
        <v>18.138808755412679</v>
      </c>
      <c r="Y148" cm="1">
        <f t="array" ref="Y148">Vega(Y$3,$C$4,$H10,$D$4,0,$E$6)</f>
        <v>15.309296235130819</v>
      </c>
    </row>
    <row r="149" spans="7:25" x14ac:dyDescent="0.2">
      <c r="H149">
        <v>0.8</v>
      </c>
      <c r="I149" cm="1">
        <f t="array" ref="I149">Vega(I$3,$C$4,$H11,$D$4,0,$E$6)</f>
        <v>4.7136291023201071</v>
      </c>
      <c r="J149" cm="1">
        <f t="array" ref="J149">Vega(J$3,$C$4,$H11,$D$4,0,$E$6)</f>
        <v>8.2069467460122727</v>
      </c>
      <c r="K149" cm="1">
        <f t="array" ref="K149">Vega(K$3,$C$4,$H11,$D$4,0,$E$6)</f>
        <v>12.667719836424343</v>
      </c>
      <c r="L149" cm="1">
        <f t="array" ref="L149">Vega(L$3,$C$4,$H11,$D$4,0,$E$6)</f>
        <v>17.718513961379674</v>
      </c>
      <c r="M149" cm="1">
        <f t="array" ref="M149">Vega(M$3,$C$4,$H11,$D$4,0,$E$6)</f>
        <v>22.843174271570835</v>
      </c>
      <c r="N149" cm="1">
        <f t="array" ref="N149">Vega(N$3,$C$4,$H11,$D$4,0,$E$6)</f>
        <v>27.511226709398237</v>
      </c>
      <c r="O149" cm="1">
        <f t="array" ref="O149">Vega(O$3,$C$4,$H11,$D$4,0,$E$6)</f>
        <v>31.285437829864762</v>
      </c>
      <c r="P149" cm="1">
        <f t="array" ref="P149">Vega(P$3,$C$4,$H11,$D$4,0,$E$6)</f>
        <v>33.885838808772824</v>
      </c>
      <c r="Q149" cm="1">
        <f t="array" ref="Q149">Vega(Q$3,$C$4,$H11,$D$4,0,$E$6)</f>
        <v>35.205961627525987</v>
      </c>
      <c r="R149" cm="1">
        <f t="array" ref="R149">Vega(R$3,$C$4,$H11,$D$4,0,$E$6)</f>
        <v>35.292069317520948</v>
      </c>
      <c r="S149" cm="1">
        <f t="array" ref="S149">Vega(S$3,$C$4,$H11,$D$4,0,$E$6)</f>
        <v>34.301770068622474</v>
      </c>
      <c r="T149" cm="1">
        <f t="array" ref="T149">Vega(T$3,$C$4,$H11,$D$4,0,$E$6)</f>
        <v>32.457082698947879</v>
      </c>
      <c r="U149" cm="1">
        <f t="array" ref="U149">Vega(U$3,$C$4,$H11,$D$4,0,$E$6)</f>
        <v>30.002386856514917</v>
      </c>
      <c r="V149" cm="1">
        <f t="array" ref="V149">Vega(V$3,$C$4,$H11,$D$4,0,$E$6)</f>
        <v>27.172581972973994</v>
      </c>
      <c r="W149" cm="1">
        <f t="array" ref="W149">Vega(W$3,$C$4,$H11,$D$4,0,$E$6)</f>
        <v>24.172728981926181</v>
      </c>
      <c r="X149" cm="1">
        <f t="array" ref="X149">Vega(X$3,$C$4,$H11,$D$4,0,$E$6)</f>
        <v>21.167921445105367</v>
      </c>
      <c r="Y149" cm="1">
        <f t="array" ref="Y149">Vega(Y$3,$C$4,$H11,$D$4,0,$E$6)</f>
        <v>18.280966330758439</v>
      </c>
    </row>
    <row r="150" spans="7:25" x14ac:dyDescent="0.2">
      <c r="H150">
        <v>0.9</v>
      </c>
      <c r="I150" cm="1">
        <f t="array" ref="I150">Vega(I$3,$C$4,$H12,$D$4,0,$E$6)</f>
        <v>6.1044245880699188</v>
      </c>
      <c r="J150" cm="1">
        <f t="array" ref="J150">Vega(J$3,$C$4,$H12,$D$4,0,$E$6)</f>
        <v>10.028004968425037</v>
      </c>
      <c r="K150" cm="1">
        <f t="array" ref="K150">Vega(K$3,$C$4,$H12,$D$4,0,$E$6)</f>
        <v>14.797070949272113</v>
      </c>
      <c r="L150" cm="1">
        <f t="array" ref="L150">Vega(L$3,$C$4,$H12,$D$4,0,$E$6)</f>
        <v>19.998950927794951</v>
      </c>
      <c r="M150" cm="1">
        <f t="array" ref="M150">Vega(M$3,$C$4,$H12,$D$4,0,$E$6)</f>
        <v>25.135567501845724</v>
      </c>
      <c r="N150" cm="1">
        <f t="array" ref="N150">Vega(N$3,$C$4,$H12,$D$4,0,$E$6)</f>
        <v>29.730845258588655</v>
      </c>
      <c r="O150" cm="1">
        <f t="array" ref="O150">Vega(O$3,$C$4,$H12,$D$4,0,$E$6)</f>
        <v>33.412469483092273</v>
      </c>
      <c r="P150" cm="1">
        <f t="array" ref="P150">Vega(P$3,$C$4,$H12,$D$4,0,$E$6)</f>
        <v>35.953924700853619</v>
      </c>
      <c r="Q150" cm="1">
        <f t="array" ref="Q150">Vega(Q$3,$C$4,$H12,$D$4,0,$E$6)</f>
        <v>37.278859440959366</v>
      </c>
      <c r="R150" cm="1">
        <f t="array" ref="R150">Vega(R$3,$C$4,$H12,$D$4,0,$E$6)</f>
        <v>37.438741076876994</v>
      </c>
      <c r="S150" cm="1">
        <f t="array" ref="S150">Vega(S$3,$C$4,$H12,$D$4,0,$E$6)</f>
        <v>36.576911327852024</v>
      </c>
      <c r="T150" cm="1">
        <f t="array" ref="T150">Vega(T$3,$C$4,$H12,$D$4,0,$E$6)</f>
        <v>34.890050929444229</v>
      </c>
      <c r="U150" cm="1">
        <f t="array" ref="U150">Vega(U$3,$C$4,$H12,$D$4,0,$E$6)</f>
        <v>32.594284085625297</v>
      </c>
      <c r="V150" cm="1">
        <f t="array" ref="V150">Vega(V$3,$C$4,$H12,$D$4,0,$E$6)</f>
        <v>29.899446559453878</v>
      </c>
      <c r="W150" cm="1">
        <f t="array" ref="W150">Vega(W$3,$C$4,$H12,$D$4,0,$E$6)</f>
        <v>26.992241961759355</v>
      </c>
      <c r="X150" cm="1">
        <f t="array" ref="X150">Vega(X$3,$C$4,$H12,$D$4,0,$E$6)</f>
        <v>24.027301202528754</v>
      </c>
      <c r="Y150" cm="1">
        <f t="array" ref="Y150">Vega(Y$3,$C$4,$H12,$D$4,0,$E$6)</f>
        <v>21.124373927845529</v>
      </c>
    </row>
    <row r="151" spans="7:25" x14ac:dyDescent="0.2">
      <c r="H151">
        <v>1</v>
      </c>
      <c r="I151" cm="1">
        <f t="array" ref="I151">Vega(I$3,$C$4,$H13,$D$4,0,$E$6)</f>
        <v>7.5465414056779432</v>
      </c>
      <c r="J151" cm="1">
        <f t="array" ref="J151">Vega(J$3,$C$4,$H13,$D$4,0,$E$6)</f>
        <v>11.833484483505805</v>
      </c>
      <c r="K151" cm="1">
        <f t="array" ref="K151">Vega(K$3,$C$4,$H13,$D$4,0,$E$6)</f>
        <v>16.843384637940812</v>
      </c>
      <c r="L151" cm="1">
        <f t="array" ref="L151">Vega(L$3,$C$4,$H13,$D$4,0,$E$6)</f>
        <v>22.148428421066527</v>
      </c>
      <c r="M151" cm="1">
        <f t="array" ref="M151">Vega(M$3,$C$4,$H13,$D$4,0,$E$6)</f>
        <v>27.276349949898758</v>
      </c>
      <c r="N151" cm="1">
        <f t="array" ref="N151">Vega(N$3,$C$4,$H13,$D$4,0,$E$6)</f>
        <v>31.80071335789091</v>
      </c>
      <c r="O151" cm="1">
        <f t="array" ref="O151">Vega(O$3,$C$4,$H13,$D$4,0,$E$6)</f>
        <v>35.402457537592475</v>
      </c>
      <c r="P151" cm="1">
        <f t="array" ref="P151">Vega(P$3,$C$4,$H13,$D$4,0,$E$6)</f>
        <v>37.896623822327193</v>
      </c>
      <c r="Q151" cm="1">
        <f t="array" ref="Q151">Vega(Q$3,$C$4,$H13,$D$4,0,$E$6)</f>
        <v>39.229385545573265</v>
      </c>
      <c r="R151" cm="1">
        <f t="array" ref="R151">Vega(R$3,$C$4,$H13,$D$4,0,$E$6)</f>
        <v>39.455567305177858</v>
      </c>
      <c r="S151" cm="1">
        <f t="array" ref="S151">Vega(S$3,$C$4,$H13,$D$4,0,$E$6)</f>
        <v>38.707149777283803</v>
      </c>
      <c r="T151" cm="1">
        <f t="array" ref="T151">Vega(T$3,$C$4,$H13,$D$4,0,$E$6)</f>
        <v>37.160972039984983</v>
      </c>
      <c r="U151" cm="1">
        <f t="array" ref="U151">Vega(U$3,$C$4,$H13,$D$4,0,$E$6)</f>
        <v>35.010774918133883</v>
      </c>
      <c r="V151" cm="1">
        <f t="array" ref="V151">Vega(V$3,$C$4,$H13,$D$4,0,$E$6)</f>
        <v>32.44596596452714</v>
      </c>
      <c r="W151" cm="1">
        <f t="array" ref="W151">Vega(W$3,$C$4,$H13,$D$4,0,$E$6)</f>
        <v>29.637484768584301</v>
      </c>
      <c r="X151" cm="1">
        <f t="array" ref="X151">Vega(X$3,$C$4,$H13,$D$4,0,$E$6)</f>
        <v>26.729952054680563</v>
      </c>
      <c r="Y151" cm="1">
        <f t="array" ref="Y151">Vega(Y$3,$C$4,$H13,$D$4,0,$E$6)</f>
        <v>23.838743989858862</v>
      </c>
    </row>
    <row r="152" spans="7:25" x14ac:dyDescent="0.2">
      <c r="H152">
        <v>2</v>
      </c>
      <c r="I152" cm="1">
        <f t="array" ref="I152">Vega(I$3,$C$4,$H14,$D$4,0,$E$6)</f>
        <v>21.665010977573697</v>
      </c>
      <c r="J152" cm="1">
        <f t="array" ref="J152">Vega(J$3,$C$4,$H14,$D$4,0,$E$6)</f>
        <v>27.555008864451608</v>
      </c>
      <c r="K152" cm="1">
        <f t="array" ref="K152">Vega(K$3,$C$4,$H14,$D$4,0,$E$6)</f>
        <v>33.351628785916162</v>
      </c>
      <c r="L152" cm="1">
        <f t="array" ref="L152">Vega(L$3,$C$4,$H14,$D$4,0,$E$6)</f>
        <v>38.761449136581973</v>
      </c>
      <c r="M152" cm="1">
        <f t="array" ref="M152">Vega(M$3,$C$4,$H14,$D$4,0,$E$6)</f>
        <v>43.558378451392819</v>
      </c>
      <c r="N152" cm="1">
        <f t="array" ref="N152">Vega(N$3,$C$4,$H14,$D$4,0,$E$6)</f>
        <v>47.590089770706882</v>
      </c>
      <c r="O152" cm="1">
        <f t="array" ref="O152">Vega(O$3,$C$4,$H14,$D$4,0,$E$6)</f>
        <v>50.774026590962563</v>
      </c>
      <c r="P152" cm="1">
        <f t="array" ref="P152">Vega(P$3,$C$4,$H14,$D$4,0,$E$6)</f>
        <v>53.087335695806651</v>
      </c>
      <c r="Q152" cm="1">
        <f t="array" ref="Q152">Vega(Q$3,$C$4,$H14,$D$4,0,$E$6)</f>
        <v>54.554168852462226</v>
      </c>
      <c r="R152" cm="1">
        <f t="array" ref="R152">Vega(R$3,$C$4,$H14,$D$4,0,$E$6)</f>
        <v>55.232725998867295</v>
      </c>
      <c r="S152" cm="1">
        <f t="array" ref="S152">Vega(S$3,$C$4,$H14,$D$4,0,$E$6)</f>
        <v>55.203468373902709</v>
      </c>
      <c r="T152" cm="1">
        <f t="array" ref="T152">Vega(T$3,$C$4,$H14,$D$4,0,$E$6)</f>
        <v>54.559211011452071</v>
      </c>
      <c r="U152" cm="1">
        <f t="array" ref="U152">Vega(U$3,$C$4,$H14,$D$4,0,$E$6)</f>
        <v>53.39731328135862</v>
      </c>
      <c r="V152" cm="1">
        <f t="array" ref="V152">Vega(V$3,$C$4,$H14,$D$4,0,$E$6)</f>
        <v>51.813885189910813</v>
      </c>
      <c r="W152" cm="1">
        <f t="array" ref="W152">Vega(W$3,$C$4,$H14,$D$4,0,$E$6)</f>
        <v>49.899766616306842</v>
      </c>
      <c r="X152" cm="1">
        <f t="array" ref="X152">Vega(X$3,$C$4,$H14,$D$4,0,$E$6)</f>
        <v>47.737971160509765</v>
      </c>
      <c r="Y152" cm="1">
        <f t="array" ref="Y152">Vega(Y$3,$C$4,$H14,$D$4,0,$E$6)</f>
        <v>45.402279742050034</v>
      </c>
    </row>
    <row r="153" spans="7:25" x14ac:dyDescent="0.2">
      <c r="H153">
        <v>3</v>
      </c>
      <c r="I153" cm="1">
        <f t="array" ref="I153">Vega(I$3,$C$4,$H15,$D$4,0,$E$6)</f>
        <v>33.222896128746122</v>
      </c>
      <c r="J153" cm="1">
        <f t="array" ref="J153">Vega(J$3,$C$4,$H15,$D$4,0,$E$6)</f>
        <v>39.406825288577544</v>
      </c>
      <c r="K153" cm="1">
        <f t="array" ref="K153">Vega(K$3,$C$4,$H15,$D$4,0,$E$6)</f>
        <v>45.187800131882504</v>
      </c>
      <c r="L153" cm="1">
        <f t="array" ref="L153">Vega(L$3,$C$4,$H15,$D$4,0,$E$6)</f>
        <v>50.3996234832276</v>
      </c>
      <c r="M153" cm="1">
        <f t="array" ref="M153">Vega(M$3,$C$4,$H15,$D$4,0,$E$6)</f>
        <v>54.934070118221499</v>
      </c>
      <c r="N153" cm="1">
        <f t="array" ref="N153">Vega(N$3,$C$4,$H15,$D$4,0,$E$6)</f>
        <v>58.73333587773282</v>
      </c>
      <c r="O153" cm="1">
        <f t="array" ref="O153">Vega(O$3,$C$4,$H15,$D$4,0,$E$6)</f>
        <v>61.780667302057189</v>
      </c>
      <c r="P153" cm="1">
        <f t="array" ref="P153">Vega(P$3,$C$4,$H15,$D$4,0,$E$6)</f>
        <v>64.090843856534732</v>
      </c>
      <c r="Q153" cm="1">
        <f t="array" ref="Q153">Vega(Q$3,$C$4,$H15,$D$4,0,$E$6)</f>
        <v>65.701458882085063</v>
      </c>
      <c r="R153" cm="1">
        <f t="array" ref="R153">Vega(R$3,$C$4,$H15,$D$4,0,$E$6)</f>
        <v>66.665447263519582</v>
      </c>
      <c r="S153" cm="1">
        <f t="array" ref="S153">Vega(S$3,$C$4,$H15,$D$4,0,$E$6)</f>
        <v>67.044992368410149</v>
      </c>
      <c r="T153" cm="1">
        <f t="array" ref="T153">Vega(T$3,$C$4,$H15,$D$4,0,$E$6)</f>
        <v>66.906761646336719</v>
      </c>
      <c r="U153" cm="1">
        <f t="array" ref="U153">Vega(U$3,$C$4,$H15,$D$4,0,$E$6)</f>
        <v>66.318326233497231</v>
      </c>
      <c r="V153" cm="1">
        <f t="array" ref="V153">Vega(V$3,$C$4,$H15,$D$4,0,$E$6)</f>
        <v>65.345582257987473</v>
      </c>
      <c r="W153" cm="1">
        <f t="array" ref="W153">Vega(W$3,$C$4,$H15,$D$4,0,$E$6)</f>
        <v>64.050987256156361</v>
      </c>
      <c r="X153" cm="1">
        <f t="array" ref="X153">Vega(X$3,$C$4,$H15,$D$4,0,$E$6)</f>
        <v>62.492438861032042</v>
      </c>
      <c r="Y153" cm="1">
        <f t="array" ref="Y153">Vega(Y$3,$C$4,$H15,$D$4,0,$E$6)</f>
        <v>60.722645003921244</v>
      </c>
    </row>
    <row r="154" spans="7:25" x14ac:dyDescent="0.2">
      <c r="H154">
        <v>4</v>
      </c>
      <c r="I154" cm="1">
        <f t="array" ref="I154">Vega(I$3,$C$4,$H16,$D$4,0,$E$6)</f>
        <v>42.567098596972329</v>
      </c>
      <c r="J154" cm="1">
        <f t="array" ref="J154">Vega(J$3,$C$4,$H16,$D$4,0,$E$6)</f>
        <v>48.758930229715283</v>
      </c>
      <c r="K154" cm="1">
        <f t="array" ref="K154">Vega(K$3,$C$4,$H16,$D$4,0,$E$6)</f>
        <v>54.421505040302272</v>
      </c>
      <c r="L154" cm="1">
        <f t="array" ref="L154">Vega(L$3,$C$4,$H16,$D$4,0,$E$6)</f>
        <v>59.461821507388336</v>
      </c>
      <c r="M154" cm="1">
        <f t="array" ref="M154">Vega(M$3,$C$4,$H16,$D$4,0,$E$6)</f>
        <v>63.829888800540957</v>
      </c>
      <c r="N154" cm="1">
        <f t="array" ref="N154">Vega(N$3,$C$4,$H16,$D$4,0,$E$6)</f>
        <v>67.509674458565584</v>
      </c>
      <c r="O154" cm="1">
        <f t="array" ref="O154">Vega(O$3,$C$4,$H16,$D$4,0,$E$6)</f>
        <v>70.51075464486027</v>
      </c>
      <c r="P154" cm="1">
        <f t="array" ref="P154">Vega(P$3,$C$4,$H16,$D$4,0,$E$6)</f>
        <v>72.861111689327814</v>
      </c>
      <c r="Q154" cm="1">
        <f t="array" ref="Q154">Vega(Q$3,$C$4,$H16,$D$4,0,$E$6)</f>
        <v>74.601201361465712</v>
      </c>
      <c r="R154" cm="1">
        <f t="array" ref="R154">Vega(R$3,$C$4,$H16,$D$4,0,$E$6)</f>
        <v>75.77923734443003</v>
      </c>
      <c r="S154" cm="1">
        <f t="array" ref="S154">Vega(S$3,$C$4,$H16,$D$4,0,$E$6)</f>
        <v>76.447556683033994</v>
      </c>
      <c r="T154" cm="1">
        <f t="array" ref="T154">Vega(T$3,$C$4,$H16,$D$4,0,$E$6)</f>
        <v>76.659899934282535</v>
      </c>
      <c r="U154" cm="1">
        <f t="array" ref="U154">Vega(U$3,$C$4,$H16,$D$4,0,$E$6)</f>
        <v>76.469439302491622</v>
      </c>
      <c r="V154" cm="1">
        <f t="array" ref="V154">Vega(V$3,$C$4,$H16,$D$4,0,$E$6)</f>
        <v>75.927402432728769</v>
      </c>
      <c r="W154" cm="1">
        <f t="array" ref="W154">Vega(W$3,$C$4,$H16,$D$4,0,$E$6)</f>
        <v>75.082160077601486</v>
      </c>
      <c r="X154" cm="1">
        <f t="array" ref="X154">Vega(X$3,$C$4,$H16,$D$4,0,$E$6)</f>
        <v>73.978667680739463</v>
      </c>
      <c r="Y154" cm="1">
        <f t="array" ref="Y154">Vega(Y$3,$C$4,$H16,$D$4,0,$E$6)</f>
        <v>72.65817150920924</v>
      </c>
    </row>
    <row r="155" spans="7:25" x14ac:dyDescent="0.2">
      <c r="H155">
        <v>5</v>
      </c>
      <c r="I155" cm="1">
        <f t="array" ref="I155">Vega(I$3,$C$4,$H17,$D$4,0,$E$6)</f>
        <v>50.316444779050272</v>
      </c>
      <c r="J155" cm="1">
        <f t="array" ref="J155">Vega(J$3,$C$4,$H17,$D$4,0,$E$6)</f>
        <v>56.441397997533322</v>
      </c>
      <c r="K155" cm="1">
        <f t="array" ref="K155">Vega(K$3,$C$4,$H17,$D$4,0,$E$6)</f>
        <v>61.983217876086933</v>
      </c>
      <c r="L155" cm="1">
        <f t="array" ref="L155">Vega(L$3,$C$4,$H17,$D$4,0,$E$6)</f>
        <v>66.892699193410792</v>
      </c>
      <c r="M155" cm="1">
        <f t="array" ref="M155">Vega(M$3,$C$4,$H17,$D$4,0,$E$6)</f>
        <v>71.152052988955774</v>
      </c>
      <c r="N155" cm="1">
        <f t="array" ref="N155">Vega(N$3,$C$4,$H17,$D$4,0,$E$6)</f>
        <v>74.766798153008267</v>
      </c>
      <c r="O155" cm="1">
        <f t="array" ref="O155">Vega(O$3,$C$4,$H17,$D$4,0,$E$6)</f>
        <v>77.759056969031704</v>
      </c>
      <c r="P155" cm="1">
        <f t="array" ref="P155">Vega(P$3,$C$4,$H17,$D$4,0,$E$6)</f>
        <v>80.162201705931693</v>
      </c>
      <c r="Q155" cm="1">
        <f t="array" ref="Q155">Vega(Q$3,$C$4,$H17,$D$4,0,$E$6)</f>
        <v>82.016695584010805</v>
      </c>
      <c r="R155" cm="1">
        <f t="array" ref="R155">Vega(R$3,$C$4,$H17,$D$4,0,$E$6)</f>
        <v>83.36693817808883</v>
      </c>
      <c r="S155" cm="1">
        <f t="array" ref="S155">Vega(S$3,$C$4,$H17,$D$4,0,$E$6)</f>
        <v>84.258928010075778</v>
      </c>
      <c r="T155" cm="1">
        <f t="array" ref="T155">Vega(T$3,$C$4,$H17,$D$4,0,$E$6)</f>
        <v>84.73857418774125</v>
      </c>
      <c r="U155" cm="1">
        <f t="array" ref="U155">Vega(U$3,$C$4,$H17,$D$4,0,$E$6)</f>
        <v>84.85051385262075</v>
      </c>
      <c r="V155" cm="1">
        <f t="array" ref="V155">Vega(V$3,$C$4,$H17,$D$4,0,$E$6)</f>
        <v>84.637317449963987</v>
      </c>
      <c r="W155" cm="1">
        <f t="array" ref="W155">Vega(W$3,$C$4,$H17,$D$4,0,$E$6)</f>
        <v>84.138986871529852</v>
      </c>
      <c r="X155" cm="1">
        <f t="array" ref="X155">Vega(X$3,$C$4,$H17,$D$4,0,$E$6)</f>
        <v>83.392671372802994</v>
      </c>
      <c r="Y155" cm="1">
        <f t="array" ref="Y155">Vega(Y$3,$C$4,$H17,$D$4,0,$E$6)</f>
        <v>82.432542675759592</v>
      </c>
    </row>
    <row r="157" spans="7:25" x14ac:dyDescent="0.2">
      <c r="I157">
        <v>60</v>
      </c>
      <c r="J157">
        <v>65</v>
      </c>
      <c r="K157">
        <v>70</v>
      </c>
      <c r="L157">
        <v>75</v>
      </c>
      <c r="M157">
        <v>80</v>
      </c>
      <c r="N157">
        <v>85</v>
      </c>
      <c r="O157">
        <v>90</v>
      </c>
      <c r="P157">
        <v>95</v>
      </c>
      <c r="Q157">
        <v>100</v>
      </c>
      <c r="R157">
        <v>105</v>
      </c>
      <c r="S157">
        <v>110</v>
      </c>
      <c r="T157">
        <v>115</v>
      </c>
      <c r="U157">
        <v>120</v>
      </c>
      <c r="V157">
        <v>125</v>
      </c>
      <c r="W157">
        <v>130</v>
      </c>
      <c r="X157">
        <v>135</v>
      </c>
      <c r="Y157">
        <v>140</v>
      </c>
    </row>
    <row r="158" spans="7:25" x14ac:dyDescent="0.2">
      <c r="H158">
        <v>0.1</v>
      </c>
      <c r="I158" cm="1">
        <f t="array" ref="I158">ThetaC(I$3,$C$4,$H4,$D$4,0,$E$6)</f>
        <v>-7.86574635674896E-6</v>
      </c>
      <c r="J158" cm="1">
        <f t="array" ref="J158">ThetaC(J$3,$C$4,$H4,$D$4,0,$E$6)</f>
        <v>-5.3456152474156966E-4</v>
      </c>
      <c r="K158" cm="1">
        <f t="array" ref="K158">ThetaC(K$3,$C$4,$H4,$D$4,0,$E$6)</f>
        <v>-1.4088726906542936E-2</v>
      </c>
      <c r="L158" cm="1">
        <f t="array" ref="L158">ThetaC(L$3,$C$4,$H4,$D$4,0,$E$6)</f>
        <v>-0.17123698568076551</v>
      </c>
      <c r="M158" cm="1">
        <f t="array" ref="M158">ThetaC(M$3,$C$4,$H4,$D$4,0,$E$6)</f>
        <v>-1.0978796531062129</v>
      </c>
      <c r="N158" cm="1">
        <f t="array" ref="N158">ThetaC(N$3,$C$4,$H4,$D$4,0,$E$6)</f>
        <v>-4.1284706726956406</v>
      </c>
      <c r="O158" cm="1">
        <f t="array" ref="O158">ThetaC(O$3,$C$4,$H4,$D$4,0,$E$6)</f>
        <v>-9.9122869262396929</v>
      </c>
      <c r="P158" cm="1">
        <f t="array" ref="P158">ThetaC(P$3,$C$4,$H4,$D$4,0,$E$6)</f>
        <v>-16.281827134620691</v>
      </c>
      <c r="Q158" cm="1">
        <f t="array" ref="Q158">ThetaC(Q$3,$C$4,$H4,$D$4,0,$E$6)</f>
        <v>-19.376518662495105</v>
      </c>
      <c r="R158" cm="1">
        <f t="array" ref="R158">ThetaC(R$3,$C$4,$H4,$D$4,0,$E$6)</f>
        <v>-17.551290771483384</v>
      </c>
      <c r="S158" cm="1">
        <f t="array" ref="S158">ThetaC(S$3,$C$4,$H4,$D$4,0,$E$6)</f>
        <v>-12.668285785275069</v>
      </c>
      <c r="T158" cm="1">
        <f t="array" ref="T158">ThetaC(T$3,$C$4,$H4,$D$4,0,$E$6)</f>
        <v>-7.6624531936093607</v>
      </c>
      <c r="U158" cm="1">
        <f t="array" ref="U158">ThetaC(U$3,$C$4,$H4,$D$4,0,$E$6)</f>
        <v>-4.1684960311975683</v>
      </c>
      <c r="V158" cm="1">
        <f t="array" ref="V158">ThetaC(V$3,$C$4,$H4,$D$4,0,$E$6)</f>
        <v>-2.2846318302699427</v>
      </c>
      <c r="W158" cm="1">
        <f t="array" ref="W158">ThetaC(W$3,$C$4,$H4,$D$4,0,$E$6)</f>
        <v>-1.4526683526875774</v>
      </c>
      <c r="X158" cm="1">
        <f t="array" ref="X158">ThetaC(X$3,$C$4,$H4,$D$4,0,$E$6)</f>
        <v>-1.1406677602666562</v>
      </c>
      <c r="Y158" cm="1">
        <f t="array" ref="Y158">ThetaC(Y$3,$C$4,$H4,$D$4,0,$E$6)</f>
        <v>-1.0387288500578733</v>
      </c>
    </row>
    <row r="159" spans="7:25" x14ac:dyDescent="0.2">
      <c r="H159">
        <v>0.2</v>
      </c>
      <c r="I159" cm="1">
        <f t="array" ref="I159">ThetaC(I$3,$C$4,$H5,$D$4,0,$E$6)</f>
        <v>-7.8335702211474924E-3</v>
      </c>
      <c r="J159" cm="1">
        <f t="array" ref="J159">ThetaC(J$3,$C$4,$H5,$D$4,0,$E$6)</f>
        <v>-6.5646267986270448E-2</v>
      </c>
      <c r="K159" cm="1">
        <f t="array" ref="K159">ThetaC(K$3,$C$4,$H5,$D$4,0,$E$6)</f>
        <v>-0.34225293749200414</v>
      </c>
      <c r="L159" cm="1">
        <f t="array" ref="L159">ThetaC(L$3,$C$4,$H5,$D$4,0,$E$6)</f>
        <v>-1.2108334849312246</v>
      </c>
      <c r="M159" cm="1">
        <f t="array" ref="M159">ThetaC(M$3,$C$4,$H5,$D$4,0,$E$6)</f>
        <v>-3.1095952477789739</v>
      </c>
      <c r="N159" cm="1">
        <f t="array" ref="N159">ThetaC(N$3,$C$4,$H5,$D$4,0,$E$6)</f>
        <v>-6.1139874855477672</v>
      </c>
      <c r="O159" cm="1">
        <f t="array" ref="O159">ThetaC(O$3,$C$4,$H5,$D$4,0,$E$6)</f>
        <v>-9.6047976302199629</v>
      </c>
      <c r="P159" cm="1">
        <f t="array" ref="P159">ThetaC(P$3,$C$4,$H5,$D$4,0,$E$6)</f>
        <v>-12.482633365255644</v>
      </c>
      <c r="Q159" cm="1">
        <f t="array" ref="Q159">ThetaC(Q$3,$C$4,$H5,$D$4,0,$E$6)</f>
        <v>-13.814268800717613</v>
      </c>
      <c r="R159" cm="1">
        <f t="array" ref="R159">ThetaC(R$3,$C$4,$H5,$D$4,0,$E$6)</f>
        <v>-13.342865833248622</v>
      </c>
      <c r="S159" cm="1">
        <f t="array" ref="S159">ThetaC(S$3,$C$4,$H5,$D$4,0,$E$6)</f>
        <v>-11.496483138494906</v>
      </c>
      <c r="T159" cm="1">
        <f t="array" ref="T159">ThetaC(T$3,$C$4,$H5,$D$4,0,$E$6)</f>
        <v>-9.0215023742313356</v>
      </c>
      <c r="U159" cm="1">
        <f t="array" ref="U159">ThetaC(U$3,$C$4,$H5,$D$4,0,$E$6)</f>
        <v>-6.5885479050464948</v>
      </c>
      <c r="V159" cm="1">
        <f t="array" ref="V159">ThetaC(V$3,$C$4,$H5,$D$4,0,$E$6)</f>
        <v>-4.5922621222575026</v>
      </c>
      <c r="W159" cm="1">
        <f t="array" ref="W159">ThetaC(W$3,$C$4,$H5,$D$4,0,$E$6)</f>
        <v>-3.1519440704995945</v>
      </c>
      <c r="X159" cm="1">
        <f t="array" ref="X159">ThetaC(X$3,$C$4,$H5,$D$4,0,$E$6)</f>
        <v>-2.21163157374898</v>
      </c>
      <c r="Y159" cm="1">
        <f t="array" ref="Y159">ThetaC(Y$3,$C$4,$H5,$D$4,0,$E$6)</f>
        <v>-1.645736548549674</v>
      </c>
    </row>
    <row r="160" spans="7:25" x14ac:dyDescent="0.2">
      <c r="H160">
        <v>0.3</v>
      </c>
      <c r="I160" cm="1">
        <f t="array" ref="I160">ThetaC(I$3,$C$4,$H6,$D$4,0,$E$6)</f>
        <v>-7.1767328703131336E-2</v>
      </c>
      <c r="J160" cm="1">
        <f t="array" ref="J160">ThetaC(J$3,$C$4,$H6,$D$4,0,$E$6)</f>
        <v>-0.29942355631593942</v>
      </c>
      <c r="K160" cm="1">
        <f t="array" ref="K160">ThetaC(K$3,$C$4,$H6,$D$4,0,$E$6)</f>
        <v>-0.90984505188189913</v>
      </c>
      <c r="L160" cm="1">
        <f t="array" ref="L160">ThetaC(L$3,$C$4,$H6,$D$4,0,$E$6)</f>
        <v>-2.1339099293665682</v>
      </c>
      <c r="M160" cm="1">
        <f t="array" ref="M160">ThetaC(M$3,$C$4,$H6,$D$4,0,$E$6)</f>
        <v>-4.0410218231046038</v>
      </c>
      <c r="N160" cm="1">
        <f t="array" ref="N160">ThetaC(N$3,$C$4,$H6,$D$4,0,$E$6)</f>
        <v>-6.4029620848560018</v>
      </c>
      <c r="O160" cm="1">
        <f t="array" ref="O160">ThetaC(O$3,$C$4,$H6,$D$4,0,$E$6)</f>
        <v>-8.734941657971337</v>
      </c>
      <c r="P160" cm="1">
        <f t="array" ref="P160">ThetaC(P$3,$C$4,$H6,$D$4,0,$E$6)</f>
        <v>-10.501494129426368</v>
      </c>
      <c r="Q160" cm="1">
        <f t="array" ref="Q160">ThetaC(Q$3,$C$4,$H6,$D$4,0,$E$6)</f>
        <v>-11.343643378530663</v>
      </c>
      <c r="R160" cm="1">
        <f t="array" ref="R160">ThetaC(R$3,$C$4,$H6,$D$4,0,$E$6)</f>
        <v>-11.191345844601329</v>
      </c>
      <c r="S160" cm="1">
        <f t="array" ref="S160">ThetaC(S$3,$C$4,$H6,$D$4,0,$E$6)</f>
        <v>-10.229360192159604</v>
      </c>
      <c r="T160" cm="1">
        <f t="array" ref="T160">ThetaC(T$3,$C$4,$H6,$D$4,0,$E$6)</f>
        <v>-8.7758102343217406</v>
      </c>
      <c r="U160" cm="1">
        <f t="array" ref="U160">ThetaC(U$3,$C$4,$H6,$D$4,0,$E$6)</f>
        <v>-7.1548397873240326</v>
      </c>
      <c r="V160" cm="1">
        <f t="array" ref="V160">ThetaC(V$3,$C$4,$H6,$D$4,0,$E$6)</f>
        <v>-5.614446181432398</v>
      </c>
      <c r="W160" cm="1">
        <f t="array" ref="W160">ThetaC(W$3,$C$4,$H6,$D$4,0,$E$6)</f>
        <v>-4.2993160442064573</v>
      </c>
      <c r="X160" cm="1">
        <f t="array" ref="X160">ThetaC(X$3,$C$4,$H6,$D$4,0,$E$6)</f>
        <v>-3.2627906042027806</v>
      </c>
      <c r="Y160" cm="1">
        <f t="array" ref="Y160">ThetaC(Y$3,$C$4,$H6,$D$4,0,$E$6)</f>
        <v>-2.4959447913756074</v>
      </c>
    </row>
    <row r="161" spans="7:25" x14ac:dyDescent="0.2">
      <c r="G161" t="s">
        <v>38</v>
      </c>
      <c r="H161">
        <v>0.4</v>
      </c>
      <c r="I161" cm="1">
        <f t="array" ref="I161">ThetaC(I$3,$C$4,$H7,$D$4,0,$E$6)</f>
        <v>-0.20832213907689659</v>
      </c>
      <c r="J161" cm="1">
        <f t="array" ref="J161">ThetaC(J$3,$C$4,$H7,$D$4,0,$E$6)</f>
        <v>-0.61335890348349875</v>
      </c>
      <c r="K161" cm="1">
        <f t="array" ref="K161">ThetaC(K$3,$C$4,$H7,$D$4,0,$E$6)</f>
        <v>-1.4231066922699669</v>
      </c>
      <c r="L161" cm="1">
        <f t="array" ref="L161">ThetaC(L$3,$C$4,$H7,$D$4,0,$E$6)</f>
        <v>-2.7180204876622058</v>
      </c>
      <c r="M161" cm="1">
        <f t="array" ref="M161">ThetaC(M$3,$C$4,$H7,$D$4,0,$E$6)</f>
        <v>-4.4206398493278041</v>
      </c>
      <c r="N161" cm="1">
        <f t="array" ref="N161">ThetaC(N$3,$C$4,$H7,$D$4,0,$E$6)</f>
        <v>-6.2888627151985368</v>
      </c>
      <c r="O161" cm="1">
        <f t="array" ref="O161">ThetaC(O$3,$C$4,$H7,$D$4,0,$E$6)</f>
        <v>-7.9957093121645491</v>
      </c>
      <c r="P161" cm="1">
        <f t="array" ref="P161">ThetaC(P$3,$C$4,$H7,$D$4,0,$E$6)</f>
        <v>-9.246085696999307</v>
      </c>
      <c r="Q161" cm="1">
        <f t="array" ref="Q161">ThetaC(Q$3,$C$4,$H7,$D$4,0,$E$6)</f>
        <v>-9.8670678358746962</v>
      </c>
      <c r="R161" cm="1">
        <f t="array" ref="R161">ThetaC(R$3,$C$4,$H7,$D$4,0,$E$6)</f>
        <v>-9.8373339581211461</v>
      </c>
      <c r="S161" cm="1">
        <f t="array" ref="S161">ThetaC(S$3,$C$4,$H7,$D$4,0,$E$6)</f>
        <v>-9.2603811900169628</v>
      </c>
      <c r="T161" cm="1">
        <f t="array" ref="T161">ThetaC(T$3,$C$4,$H7,$D$4,0,$E$6)</f>
        <v>-8.3087310746844558</v>
      </c>
      <c r="U161" cm="1">
        <f t="array" ref="U161">ThetaC(U$3,$C$4,$H7,$D$4,0,$E$6)</f>
        <v>-7.1675142754295438</v>
      </c>
      <c r="V161" cm="1">
        <f t="array" ref="V161">ThetaC(V$3,$C$4,$H7,$D$4,0,$E$6)</f>
        <v>-5.9946478810384027</v>
      </c>
      <c r="W161" cm="1">
        <f t="array" ref="W161">ThetaC(W$3,$C$4,$H7,$D$4,0,$E$6)</f>
        <v>-4.9020372377619381</v>
      </c>
      <c r="X161" cm="1">
        <f t="array" ref="X161">ThetaC(X$3,$C$4,$H7,$D$4,0,$E$6)</f>
        <v>-3.9538458643931604</v>
      </c>
      <c r="Y161" cm="1">
        <f t="array" ref="Y161">ThetaC(Y$3,$C$4,$H7,$D$4,0,$E$6)</f>
        <v>-3.1748406567188363</v>
      </c>
    </row>
    <row r="162" spans="7:25" x14ac:dyDescent="0.2">
      <c r="H162">
        <v>0.5</v>
      </c>
      <c r="I162" cm="1">
        <f t="array" ref="I162">ThetaC(I$3,$C$4,$H8,$D$4,0,$E$6)</f>
        <v>-0.3851493738906861</v>
      </c>
      <c r="J162" cm="1">
        <f t="array" ref="J162">ThetaC(J$3,$C$4,$H8,$D$4,0,$E$6)</f>
        <v>-0.92007451386040462</v>
      </c>
      <c r="K162" cm="1">
        <f t="array" ref="K162">ThetaC(K$3,$C$4,$H8,$D$4,0,$E$6)</f>
        <v>-1.8159074029449049</v>
      </c>
      <c r="L162" cm="1">
        <f t="array" ref="L162">ThetaC(L$3,$C$4,$H8,$D$4,0,$E$6)</f>
        <v>-3.0664451357531393</v>
      </c>
      <c r="M162" cm="1">
        <f t="array" ref="M162">ThetaC(M$3,$C$4,$H8,$D$4,0,$E$6)</f>
        <v>-4.5525755909735093</v>
      </c>
      <c r="N162" cm="1">
        <f t="array" ref="N162">ThetaC(N$3,$C$4,$H8,$D$4,0,$E$6)</f>
        <v>-6.0714923044142068</v>
      </c>
      <c r="O162" cm="1">
        <f t="array" ref="O162">ThetaC(O$3,$C$4,$H8,$D$4,0,$E$6)</f>
        <v>-7.400251608132125</v>
      </c>
      <c r="P162" cm="1">
        <f t="array" ref="P162">ThetaC(P$3,$C$4,$H8,$D$4,0,$E$6)</f>
        <v>-8.3602865316580477</v>
      </c>
      <c r="Q162" cm="1">
        <f t="array" ref="Q162">ThetaC(Q$3,$C$4,$H8,$D$4,0,$E$6)</f>
        <v>-8.8568267201005213</v>
      </c>
      <c r="R162" cm="1">
        <f t="array" ref="R162">ThetaC(R$3,$C$4,$H8,$D$4,0,$E$6)</f>
        <v>-8.8853732518794875</v>
      </c>
      <c r="S162" cm="1">
        <f t="array" ref="S162">ThetaC(S$3,$C$4,$H8,$D$4,0,$E$6)</f>
        <v>-8.5127093825797768</v>
      </c>
      <c r="T162" cm="1">
        <f t="array" ref="T162">ThetaC(T$3,$C$4,$H8,$D$4,0,$E$6)</f>
        <v>-7.8462647080660783</v>
      </c>
      <c r="U162" cm="1">
        <f t="array" ref="U162">ThetaC(U$3,$C$4,$H8,$D$4,0,$E$6)</f>
        <v>-7.004170835045791</v>
      </c>
      <c r="V162" cm="1">
        <f t="array" ref="V162">ThetaC(V$3,$C$4,$H8,$D$4,0,$E$6)</f>
        <v>-6.0932152162630704</v>
      </c>
      <c r="W162" cm="1">
        <f t="array" ref="W162">ThetaC(W$3,$C$4,$H8,$D$4,0,$E$6)</f>
        <v>-5.196735352822385</v>
      </c>
      <c r="X162" cm="1">
        <f t="array" ref="X162">ThetaC(X$3,$C$4,$H8,$D$4,0,$E$6)</f>
        <v>-4.3710823922366622</v>
      </c>
      <c r="Y162" cm="1">
        <f t="array" ref="Y162">ThetaC(Y$3,$C$4,$H8,$D$4,0,$E$6)</f>
        <v>-3.6478447016672115</v>
      </c>
    </row>
    <row r="163" spans="7:25" x14ac:dyDescent="0.2">
      <c r="H163">
        <v>0.6</v>
      </c>
      <c r="I163" cm="1">
        <f t="array" ref="I163">ThetaC(I$3,$C$4,$H9,$D$4,0,$E$6)</f>
        <v>-0.57068699009448409</v>
      </c>
      <c r="J163" cm="1">
        <f t="array" ref="J163">ThetaC(J$3,$C$4,$H9,$D$4,0,$E$6)</f>
        <v>-1.1860348902420679</v>
      </c>
      <c r="K163" cm="1">
        <f t="array" ref="K163">ThetaC(K$3,$C$4,$H9,$D$4,0,$E$6)</f>
        <v>-2.1016589724352737</v>
      </c>
      <c r="L163" cm="1">
        <f t="array" ref="L163">ThetaC(L$3,$C$4,$H9,$D$4,0,$E$6)</f>
        <v>-3.2695032124569399</v>
      </c>
      <c r="M163" cm="1">
        <f t="array" ref="M163">ThetaC(M$3,$C$4,$H9,$D$4,0,$E$6)</f>
        <v>-4.5679449042102078</v>
      </c>
      <c r="N163" cm="1">
        <f t="array" ref="N163">ThetaC(N$3,$C$4,$H9,$D$4,0,$E$6)</f>
        <v>-5.8355130311107528</v>
      </c>
      <c r="O163" cm="1">
        <f t="array" ref="O163">ThetaC(O$3,$C$4,$H9,$D$4,0,$E$6)</f>
        <v>-6.9154307764610223</v>
      </c>
      <c r="P163" cm="1">
        <f t="array" ref="P163">ThetaC(P$3,$C$4,$H9,$D$4,0,$E$6)</f>
        <v>-7.6921056530042433</v>
      </c>
      <c r="Q163" cm="1">
        <f t="array" ref="Q163">ThetaC(Q$3,$C$4,$H9,$D$4,0,$E$6)</f>
        <v>-8.1091979389043836</v>
      </c>
      <c r="R163" cm="1">
        <f t="array" ref="R163">ThetaC(R$3,$C$4,$H9,$D$4,0,$E$6)</f>
        <v>-8.1688726019623541</v>
      </c>
      <c r="S163" cm="1">
        <f t="array" ref="S163">ThetaC(S$3,$C$4,$H9,$D$4,0,$E$6)</f>
        <v>-7.9181914358468681</v>
      </c>
      <c r="T163" cm="1">
        <f t="array" ref="T163">ThetaC(T$3,$C$4,$H9,$D$4,0,$E$6)</f>
        <v>-7.4303015724449573</v>
      </c>
      <c r="U163" cm="1">
        <f t="array" ref="U163">ThetaC(U$3,$C$4,$H9,$D$4,0,$E$6)</f>
        <v>-6.7865807444678898</v>
      </c>
      <c r="V163" cm="1">
        <f t="array" ref="V163">ThetaC(V$3,$C$4,$H9,$D$4,0,$E$6)</f>
        <v>-6.0632046905455992</v>
      </c>
      <c r="W163" cm="1">
        <f t="array" ref="W163">ThetaC(W$3,$C$4,$H9,$D$4,0,$E$6)</f>
        <v>-5.3231366553033439</v>
      </c>
      <c r="X163" cm="1">
        <f t="array" ref="X163">ThetaC(X$3,$C$4,$H9,$D$4,0,$E$6)</f>
        <v>-4.6129253203942397</v>
      </c>
      <c r="Y163" cm="1">
        <f t="array" ref="Y163">ThetaC(Y$3,$C$4,$H9,$D$4,0,$E$6)</f>
        <v>-3.962968623645323</v>
      </c>
    </row>
    <row r="164" spans="7:25" x14ac:dyDescent="0.2">
      <c r="H164">
        <v>0.7</v>
      </c>
      <c r="I164" cm="1">
        <f t="array" ref="I164">ThetaC(I$3,$C$4,$H10,$D$4,0,$E$6)</f>
        <v>-0.74691616091774726</v>
      </c>
      <c r="J164" cm="1">
        <f t="array" ref="J164">ThetaC(J$3,$C$4,$H10,$D$4,0,$E$6)</f>
        <v>-1.4053427373410059</v>
      </c>
      <c r="K164" cm="1">
        <f t="array" ref="K164">ThetaC(K$3,$C$4,$H10,$D$4,0,$E$6)</f>
        <v>-2.3058679712017018</v>
      </c>
      <c r="L164" cm="1">
        <f t="array" ref="L164">ThetaC(L$3,$C$4,$H10,$D$4,0,$E$6)</f>
        <v>-3.3832037190680788</v>
      </c>
      <c r="M164" cm="1">
        <f t="array" ref="M164">ThetaC(M$3,$C$4,$H10,$D$4,0,$E$6)</f>
        <v>-4.5262445003803577</v>
      </c>
      <c r="N164" cm="1">
        <f t="array" ref="N164">ThetaC(N$3,$C$4,$H10,$D$4,0,$E$6)</f>
        <v>-5.6074439972799262</v>
      </c>
      <c r="O164" cm="1">
        <f t="array" ref="O164">ThetaC(O$3,$C$4,$H10,$D$4,0,$E$6)</f>
        <v>-6.513125367110411</v>
      </c>
      <c r="P164" cm="1">
        <f t="array" ref="P164">ThetaC(P$3,$C$4,$H10,$D$4,0,$E$6)</f>
        <v>-7.1646458788959393</v>
      </c>
      <c r="Q164" cm="1">
        <f t="array" ref="Q164">ThetaC(Q$3,$C$4,$H10,$D$4,0,$E$6)</f>
        <v>-7.5266655233478144</v>
      </c>
      <c r="R164" cm="1">
        <f t="array" ref="R164">ThetaC(R$3,$C$4,$H10,$D$4,0,$E$6)</f>
        <v>-7.6041261525370034</v>
      </c>
      <c r="S164" cm="1">
        <f t="array" ref="S164">ThetaC(S$3,$C$4,$H10,$D$4,0,$E$6)</f>
        <v>-7.432236157652147</v>
      </c>
      <c r="T164" cm="1">
        <f t="array" ref="T164">ThetaC(T$3,$C$4,$H10,$D$4,0,$E$6)</f>
        <v>-7.0640007758825725</v>
      </c>
      <c r="U164" cm="1">
        <f t="array" ref="U164">ThetaC(U$3,$C$4,$H10,$D$4,0,$E$6)</f>
        <v>-6.5586802201493235</v>
      </c>
      <c r="V164" cm="1">
        <f t="array" ref="V164">ThetaC(V$3,$C$4,$H10,$D$4,0,$E$6)</f>
        <v>-5.9730068814691473</v>
      </c>
      <c r="W164" cm="1">
        <f t="array" ref="W164">ThetaC(W$3,$C$4,$H10,$D$4,0,$E$6)</f>
        <v>-5.3556748758271633</v>
      </c>
      <c r="X164" cm="1">
        <f t="array" ref="X164">ThetaC(X$3,$C$4,$H10,$D$4,0,$E$6)</f>
        <v>-4.7447667613619569</v>
      </c>
      <c r="Y164" cm="1">
        <f t="array" ref="Y164">ThetaC(Y$3,$C$4,$H10,$D$4,0,$E$6)</f>
        <v>-4.1673865977185898</v>
      </c>
    </row>
    <row r="165" spans="7:25" x14ac:dyDescent="0.2">
      <c r="H165">
        <v>0.8</v>
      </c>
      <c r="I165" cm="1">
        <f t="array" ref="I165">ThetaC(I$3,$C$4,$H11,$D$4,0,$E$6)</f>
        <v>-0.90594478621964269</v>
      </c>
      <c r="J165" cm="1">
        <f t="array" ref="J165">ThetaC(J$3,$C$4,$H11,$D$4,0,$E$6)</f>
        <v>-1.5821076898460016</v>
      </c>
      <c r="K165" cm="1">
        <f t="array" ref="K165">ThetaC(K$3,$C$4,$H11,$D$4,0,$E$6)</f>
        <v>-2.4504365254330298</v>
      </c>
      <c r="L165" cm="1">
        <f t="array" ref="L165">ThetaC(L$3,$C$4,$H11,$D$4,0,$E$6)</f>
        <v>-3.4409696065436042</v>
      </c>
      <c r="M165" cm="1">
        <f t="array" ref="M165">ThetaC(M$3,$C$4,$H11,$D$4,0,$E$6)</f>
        <v>-4.4563512948974298</v>
      </c>
      <c r="N165" cm="1">
        <f t="array" ref="N165">ThetaC(N$3,$C$4,$H11,$D$4,0,$E$6)</f>
        <v>-5.395297075905094</v>
      </c>
      <c r="O165" cm="1">
        <f t="array" ref="O165">ThetaC(O$3,$C$4,$H11,$D$4,0,$E$6)</f>
        <v>-6.1731453902301494</v>
      </c>
      <c r="P165" cm="1">
        <f t="array" ref="P165">ThetaC(P$3,$C$4,$H11,$D$4,0,$E$6)</f>
        <v>-6.7343392729607903</v>
      </c>
      <c r="Q165" cm="1">
        <f t="array" ref="Q165">ThetaC(Q$3,$C$4,$H11,$D$4,0,$E$6)</f>
        <v>-7.055910733472639</v>
      </c>
      <c r="R165" cm="1">
        <f t="array" ref="R165">ThetaC(R$3,$C$4,$H11,$D$4,0,$E$6)</f>
        <v>-7.1439122011034444</v>
      </c>
      <c r="S165" cm="1">
        <f t="array" ref="S165">ThetaC(S$3,$C$4,$H11,$D$4,0,$E$6)</f>
        <v>-7.0258437728884617</v>
      </c>
      <c r="T165" cm="1">
        <f t="array" ref="T165">ThetaC(T$3,$C$4,$H11,$D$4,0,$E$6)</f>
        <v>-6.7419146253309883</v>
      </c>
      <c r="U165" cm="1">
        <f t="array" ref="U165">ThetaC(U$3,$C$4,$H11,$D$4,0,$E$6)</f>
        <v>-6.3371270341833643</v>
      </c>
      <c r="V165" cm="1">
        <f t="array" ref="V165">ThetaC(V$3,$C$4,$H11,$D$4,0,$E$6)</f>
        <v>-5.855217611913174</v>
      </c>
      <c r="W165" cm="1">
        <f t="array" ref="W165">ThetaC(W$3,$C$4,$H11,$D$4,0,$E$6)</f>
        <v>-5.3347262293524453</v>
      </c>
      <c r="X165" cm="1">
        <f t="array" ref="X165">ThetaC(X$3,$C$4,$H11,$D$4,0,$E$6)</f>
        <v>-4.8069806848652092</v>
      </c>
      <c r="Y165" cm="1">
        <f t="array" ref="Y165">ThetaC(Y$3,$C$4,$H11,$D$4,0,$E$6)</f>
        <v>-4.2955576789681027</v>
      </c>
    </row>
    <row r="166" spans="7:25" x14ac:dyDescent="0.2">
      <c r="H166">
        <v>0.9</v>
      </c>
      <c r="I166" cm="1">
        <f t="array" ref="I166">ThetaC(I$3,$C$4,$H12,$D$4,0,$E$6)</f>
        <v>-1.0455051332204088</v>
      </c>
      <c r="J166" cm="1">
        <f t="array" ref="J166">ThetaC(J$3,$C$4,$H12,$D$4,0,$E$6)</f>
        <v>-1.7230231225374042</v>
      </c>
      <c r="K166" cm="1">
        <f t="array" ref="K166">ThetaC(K$3,$C$4,$H12,$D$4,0,$E$6)</f>
        <v>-2.5517035958736147</v>
      </c>
      <c r="L166" cm="1">
        <f t="array" ref="L166">ThetaC(L$3,$C$4,$H12,$D$4,0,$E$6)</f>
        <v>-3.4630237817918452</v>
      </c>
      <c r="M166" cm="1">
        <f t="array" ref="M166">ThetaC(M$3,$C$4,$H12,$D$4,0,$E$6)</f>
        <v>-4.3730662634783366</v>
      </c>
      <c r="N166" cm="1">
        <f t="array" ref="N166">ThetaC(N$3,$C$4,$H12,$D$4,0,$E$6)</f>
        <v>-5.2006317002732176</v>
      </c>
      <c r="O166" cm="1">
        <f t="array" ref="O166">ThetaC(O$3,$C$4,$H12,$D$4,0,$E$6)</f>
        <v>-5.8812212416849832</v>
      </c>
      <c r="P166" cm="1">
        <f t="array" ref="P166">ThetaC(P$3,$C$4,$H12,$D$4,0,$E$6)</f>
        <v>-6.3744279099051768</v>
      </c>
      <c r="Q166" cm="1">
        <f t="array" ref="Q166">ThetaC(Q$3,$C$4,$H12,$D$4,0,$E$6)</f>
        <v>-6.6649933986572272</v>
      </c>
      <c r="R166" cm="1">
        <f t="array" ref="R166">ThetaC(R$3,$C$4,$H12,$D$4,0,$E$6)</f>
        <v>-6.7593147737894457</v>
      </c>
      <c r="S166" cm="1">
        <f t="array" ref="S166">ThetaC(S$3,$C$4,$H12,$D$4,0,$E$6)</f>
        <v>-6.6795788835399268</v>
      </c>
      <c r="T166" cm="1">
        <f t="array" ref="T166">ThetaC(T$3,$C$4,$H12,$D$4,0,$E$6)</f>
        <v>-6.4573745014743302</v>
      </c>
      <c r="U166" cm="1">
        <f t="array" ref="U166">ThetaC(U$3,$C$4,$H12,$D$4,0,$E$6)</f>
        <v>-6.1280125208154255</v>
      </c>
      <c r="V166" cm="1">
        <f t="array" ref="V166">ThetaC(V$3,$C$4,$H12,$D$4,0,$E$6)</f>
        <v>-5.7261675937466023</v>
      </c>
      <c r="W166" cm="1">
        <f t="array" ref="W166">ThetaC(W$3,$C$4,$H12,$D$4,0,$E$6)</f>
        <v>-5.2829838634877619</v>
      </c>
      <c r="X166" cm="1">
        <f t="array" ref="X166">ThetaC(X$3,$C$4,$H12,$D$4,0,$E$6)</f>
        <v>-4.824496421099818</v>
      </c>
      <c r="Y166" cm="1">
        <f t="array" ref="Y166">ThetaC(Y$3,$C$4,$H12,$D$4,0,$E$6)</f>
        <v>-4.3710831256771003</v>
      </c>
    </row>
    <row r="167" spans="7:25" x14ac:dyDescent="0.2">
      <c r="H167">
        <v>1</v>
      </c>
      <c r="I167" cm="1">
        <f t="array" ref="I167">ThetaC(I$3,$C$4,$H13,$D$4,0,$E$6)</f>
        <v>-1.1660624729262905</v>
      </c>
      <c r="J167" cm="1">
        <f t="array" ref="J167">ThetaC(J$3,$C$4,$H13,$D$4,0,$E$6)</f>
        <v>-1.8346812944218083</v>
      </c>
      <c r="K167" cm="1">
        <f t="array" ref="K167">ThetaC(K$3,$C$4,$H13,$D$4,0,$E$6)</f>
        <v>-2.6214011777202777</v>
      </c>
      <c r="L167" cm="1">
        <f t="array" ref="L167">ThetaC(L$3,$C$4,$H13,$D$4,0,$E$6)</f>
        <v>-3.4619123250811352</v>
      </c>
      <c r="M167" cm="1">
        <f t="array" ref="M167">ThetaC(M$3,$C$4,$H13,$D$4,0,$E$6)</f>
        <v>-4.2842772354506504</v>
      </c>
      <c r="N167" cm="1">
        <f t="array" ref="N167">ThetaC(N$3,$C$4,$H13,$D$4,0,$E$6)</f>
        <v>-5.0227100150735122</v>
      </c>
      <c r="O167" cm="1">
        <f t="array" ref="O167">ThetaC(O$3,$C$4,$H13,$D$4,0,$E$6)</f>
        <v>-5.6271245372996592</v>
      </c>
      <c r="P167" cm="1">
        <f t="array" ref="P167">ThetaC(P$3,$C$4,$H13,$D$4,0,$E$6)</f>
        <v>-6.0674542642235005</v>
      </c>
      <c r="Q167" cm="1">
        <f t="array" ref="Q167">ThetaC(Q$3,$C$4,$H13,$D$4,0,$E$6)</f>
        <v>-6.3334569165011896</v>
      </c>
      <c r="R167" cm="1">
        <f t="array" ref="R167">ThetaC(R$3,$C$4,$H13,$D$4,0,$E$6)</f>
        <v>-6.4315094172064686</v>
      </c>
      <c r="S167" cm="1">
        <f t="array" ref="S167">ThetaC(S$3,$C$4,$H13,$D$4,0,$E$6)</f>
        <v>-6.379968693015881</v>
      </c>
      <c r="T167" cm="1">
        <f t="array" ref="T167">ThetaC(T$3,$C$4,$H13,$D$4,0,$E$6)</f>
        <v>-6.2043450454461784</v>
      </c>
      <c r="U167" cm="1">
        <f t="array" ref="U167">ThetaC(U$3,$C$4,$H13,$D$4,0,$E$6)</f>
        <v>-5.9330796038718976</v>
      </c>
      <c r="V167" cm="1">
        <f t="array" ref="V167">ThetaC(V$3,$C$4,$H13,$D$4,0,$E$6)</f>
        <v>-5.5943022889480218</v>
      </c>
      <c r="W167" cm="1">
        <f t="array" ref="W167">ThetaC(W$3,$C$4,$H13,$D$4,0,$E$6)</f>
        <v>-5.2136428364706564</v>
      </c>
      <c r="X167" cm="1">
        <f t="array" ref="X167">ThetaC(X$3,$C$4,$H13,$D$4,0,$E$6)</f>
        <v>-4.8129836344761809</v>
      </c>
      <c r="Y167" cm="1">
        <f t="array" ref="Y167">ThetaC(Y$3,$C$4,$H13,$D$4,0,$E$6)</f>
        <v>-4.409957584858196</v>
      </c>
    </row>
    <row r="168" spans="7:25" x14ac:dyDescent="0.2">
      <c r="H168">
        <v>2</v>
      </c>
      <c r="I168" cm="1">
        <f t="array" ref="I168">ThetaC(I$3,$C$4,$H14,$D$4,0,$E$6)</f>
        <v>-1.7086795247581006</v>
      </c>
      <c r="J168" cm="1">
        <f t="array" ref="J168">ThetaC(J$3,$C$4,$H14,$D$4,0,$E$6)</f>
        <v>-2.1831999062152785</v>
      </c>
      <c r="K168" cm="1">
        <f t="array" ref="K168">ThetaC(K$3,$C$4,$H14,$D$4,0,$E$6)</f>
        <v>-2.6555418888221998</v>
      </c>
      <c r="L168" cm="1">
        <f t="array" ref="L168">ThetaC(L$3,$C$4,$H14,$D$4,0,$E$6)</f>
        <v>-3.1027525387801438</v>
      </c>
      <c r="M168" cm="1">
        <f t="array" ref="M168">ThetaC(M$3,$C$4,$H14,$D$4,0,$E$6)</f>
        <v>-3.5068307698804109</v>
      </c>
      <c r="N168" cm="1">
        <f t="array" ref="N168">ThetaC(N$3,$C$4,$H14,$D$4,0,$E$6)</f>
        <v>-3.8553061228667658</v>
      </c>
      <c r="O168" cm="1">
        <f t="array" ref="O168">ThetaC(O$3,$C$4,$H14,$D$4,0,$E$6)</f>
        <v>-4.1410087251173353</v>
      </c>
      <c r="P168" cm="1">
        <f t="array" ref="P168">ThetaC(P$3,$C$4,$H14,$D$4,0,$E$6)</f>
        <v>-4.3613583330502772</v>
      </c>
      <c r="Q168" cm="1">
        <f t="array" ref="Q168">ThetaC(Q$3,$C$4,$H14,$D$4,0,$E$6)</f>
        <v>-4.5174347803161865</v>
      </c>
      <c r="R168" cm="1">
        <f t="array" ref="R168">ThetaC(R$3,$C$4,$H14,$D$4,0,$E$6)</f>
        <v>-4.6130128955711456</v>
      </c>
      <c r="S168" cm="1">
        <f t="array" ref="S168">ThetaC(S$3,$C$4,$H14,$D$4,0,$E$6)</f>
        <v>-4.6536739381781427</v>
      </c>
      <c r="T168" cm="1">
        <f t="array" ref="T168">ThetaC(T$3,$C$4,$H14,$D$4,0,$E$6)</f>
        <v>-4.6460509221782083</v>
      </c>
      <c r="U168" cm="1">
        <f t="array" ref="U168">ThetaC(U$3,$C$4,$H14,$D$4,0,$E$6)</f>
        <v>-4.5972274699475442</v>
      </c>
      <c r="V168" cm="1">
        <f t="array" ref="V168">ThetaC(V$3,$C$4,$H14,$D$4,0,$E$6)</f>
        <v>-4.5142863750966313</v>
      </c>
      <c r="W168" cm="1">
        <f t="array" ref="W168">ThetaC(W$3,$C$4,$H14,$D$4,0,$E$6)</f>
        <v>-4.4039912554693021</v>
      </c>
      <c r="X168" cm="1">
        <f t="array" ref="X168">ThetaC(X$3,$C$4,$H14,$D$4,0,$E$6)</f>
        <v>-4.2725791660675387</v>
      </c>
      <c r="Y168" cm="1">
        <f t="array" ref="Y168">ThetaC(Y$3,$C$4,$H14,$D$4,0,$E$6)</f>
        <v>-4.1256411069645518</v>
      </c>
    </row>
    <row r="169" spans="7:25" x14ac:dyDescent="0.2">
      <c r="H169">
        <v>3</v>
      </c>
      <c r="I169" cm="1">
        <f t="array" ref="I169">ThetaC(I$3,$C$4,$H15,$D$4,0,$E$6)</f>
        <v>-1.7756357342870821</v>
      </c>
      <c r="J169" cm="1">
        <f t="array" ref="J169">ThetaC(J$3,$C$4,$H15,$D$4,0,$E$6)</f>
        <v>-2.1171148598811622</v>
      </c>
      <c r="K169" cm="1">
        <f t="array" ref="K169">ThetaC(K$3,$C$4,$H15,$D$4,0,$E$6)</f>
        <v>-2.4409968380917202</v>
      </c>
      <c r="L169" cm="1">
        <f t="array" ref="L169">ThetaC(L$3,$C$4,$H15,$D$4,0,$E$6)</f>
        <v>-2.7382435399524416</v>
      </c>
      <c r="M169" cm="1">
        <f t="array" ref="M169">ThetaC(M$3,$C$4,$H15,$D$4,0,$E$6)</f>
        <v>-3.0027581996199002</v>
      </c>
      <c r="N169" cm="1">
        <f t="array" ref="N169">ThetaC(N$3,$C$4,$H15,$D$4,0,$E$6)</f>
        <v>-3.2310342393826827</v>
      </c>
      <c r="O169" cm="1">
        <f t="array" ref="O169">ThetaC(O$3,$C$4,$H15,$D$4,0,$E$6)</f>
        <v>-3.4217000844737417</v>
      </c>
      <c r="P169" cm="1">
        <f t="array" ref="P169">ThetaC(P$3,$C$4,$H15,$D$4,0,$E$6)</f>
        <v>-3.5750472530785147</v>
      </c>
      <c r="Q169" cm="1">
        <f t="array" ref="Q169">ThetaC(Q$3,$C$4,$H15,$D$4,0,$E$6)</f>
        <v>-3.6925921236830623</v>
      </c>
      <c r="R169" cm="1">
        <f t="array" ref="R169">ThetaC(R$3,$C$4,$H15,$D$4,0,$E$6)</f>
        <v>-3.7766961863163413</v>
      </c>
      <c r="S169" cm="1">
        <f t="array" ref="S169">ThetaC(S$3,$C$4,$H15,$D$4,0,$E$6)</f>
        <v>-3.8302531715045656</v>
      </c>
      <c r="T169" cm="1">
        <f t="array" ref="T169">ThetaC(T$3,$C$4,$H15,$D$4,0,$E$6)</f>
        <v>-3.8564417584460164</v>
      </c>
      <c r="U169" cm="1">
        <f t="array" ref="U169">ThetaC(U$3,$C$4,$H15,$D$4,0,$E$6)</f>
        <v>-3.8585374453286305</v>
      </c>
      <c r="V169" cm="1">
        <f t="array" ref="V169">ThetaC(V$3,$C$4,$H15,$D$4,0,$E$6)</f>
        <v>-3.8397749730685664</v>
      </c>
      <c r="W169" cm="1">
        <f t="array" ref="W169">ThetaC(W$3,$C$4,$H15,$D$4,0,$E$6)</f>
        <v>-3.8032522589449216</v>
      </c>
      <c r="X169" cm="1">
        <f t="array" ref="X169">ThetaC(X$3,$C$4,$H15,$D$4,0,$E$6)</f>
        <v>-3.7518673326293195</v>
      </c>
      <c r="Y169" cm="1">
        <f t="array" ref="Y169">ThetaC(Y$3,$C$4,$H15,$D$4,0,$E$6)</f>
        <v>-3.688280771221792</v>
      </c>
    </row>
    <row r="170" spans="7:25" x14ac:dyDescent="0.2">
      <c r="H170">
        <v>4</v>
      </c>
      <c r="I170" cm="1">
        <f t="array" ref="I170">ThetaC(I$3,$C$4,$H16,$D$4,0,$E$6)</f>
        <v>-1.7298401390361418</v>
      </c>
      <c r="J170" cm="1">
        <f t="array" ref="J170">ThetaC(J$3,$C$4,$H16,$D$4,0,$E$6)</f>
        <v>-1.9924904879133494</v>
      </c>
      <c r="K170" cm="1">
        <f t="array" ref="K170">ThetaC(K$3,$C$4,$H16,$D$4,0,$E$6)</f>
        <v>-2.2367059040872883</v>
      </c>
      <c r="L170" cm="1">
        <f t="array" ref="L170">ThetaC(L$3,$C$4,$H16,$D$4,0,$E$6)</f>
        <v>-2.4584705263847519</v>
      </c>
      <c r="M170" cm="1">
        <f t="array" ref="M170">ThetaC(M$3,$C$4,$H16,$D$4,0,$E$6)</f>
        <v>-2.6554455785266864</v>
      </c>
      <c r="N170" cm="1">
        <f t="array" ref="N170">ThetaC(N$3,$C$4,$H16,$D$4,0,$E$6)</f>
        <v>-2.8266338033648197</v>
      </c>
      <c r="O170" cm="1">
        <f t="array" ref="O170">ThetaC(O$3,$C$4,$H16,$D$4,0,$E$6)</f>
        <v>-2.9720649485766923</v>
      </c>
      <c r="P170" cm="1">
        <f t="array" ref="P170">ThetaC(P$3,$C$4,$H16,$D$4,0,$E$6)</f>
        <v>-3.0925211334589857</v>
      </c>
      <c r="Q170" cm="1">
        <f t="array" ref="Q170">ThetaC(Q$3,$C$4,$H16,$D$4,0,$E$6)</f>
        <v>-3.1893081826513754</v>
      </c>
      <c r="R170" cm="1">
        <f t="array" ref="R170">ThetaC(R$3,$C$4,$H16,$D$4,0,$E$6)</f>
        <v>-3.2640719505512328</v>
      </c>
      <c r="S170" cm="1">
        <f t="array" ref="S170">ThetaC(S$3,$C$4,$H16,$D$4,0,$E$6)</f>
        <v>-3.3186551587305373</v>
      </c>
      <c r="T170" cm="1">
        <f t="array" ref="T170">ThetaC(T$3,$C$4,$H16,$D$4,0,$E$6)</f>
        <v>-3.3549888881562855</v>
      </c>
      <c r="U170" cm="1">
        <f t="array" ref="U170">ThetaC(U$3,$C$4,$H16,$D$4,0,$E$6)</f>
        <v>-3.375012679075664</v>
      </c>
      <c r="V170" cm="1">
        <f t="array" ref="V170">ThetaC(V$3,$C$4,$H16,$D$4,0,$E$6)</f>
        <v>-3.3806176179061036</v>
      </c>
      <c r="W170" cm="1">
        <f t="array" ref="W170">ThetaC(W$3,$C$4,$H16,$D$4,0,$E$6)</f>
        <v>-3.3736074890087524</v>
      </c>
      <c r="X170" cm="1">
        <f t="array" ref="X170">ThetaC(X$3,$C$4,$H16,$D$4,0,$E$6)</f>
        <v>-3.3556738444770193</v>
      </c>
      <c r="Y170" cm="1">
        <f t="array" ref="Y170">ThetaC(Y$3,$C$4,$H16,$D$4,0,$E$6)</f>
        <v>-3.3283815929388019</v>
      </c>
    </row>
    <row r="171" spans="7:25" x14ac:dyDescent="0.2">
      <c r="H171">
        <v>5</v>
      </c>
      <c r="I171" cm="1">
        <f t="array" ref="I171">ThetaC(I$3,$C$4,$H17,$D$4,0,$E$6)</f>
        <v>-1.6553199220081252</v>
      </c>
      <c r="J171" cm="1">
        <f t="array" ref="J171">ThetaC(J$3,$C$4,$H17,$D$4,0,$E$6)</f>
        <v>-1.8675549688865178</v>
      </c>
      <c r="K171" cm="1">
        <f t="array" ref="K171">ThetaC(K$3,$C$4,$H17,$D$4,0,$E$6)</f>
        <v>-2.0630719700342928</v>
      </c>
      <c r="L171" cm="1">
        <f t="array" ref="L171">ThetaC(L$3,$C$4,$H17,$D$4,0,$E$6)</f>
        <v>-2.2400065899523129</v>
      </c>
      <c r="M171" cm="1">
        <f t="array" ref="M171">ThetaC(M$3,$C$4,$H17,$D$4,0,$E$6)</f>
        <v>-2.3974980329667264</v>
      </c>
      <c r="N171" cm="1">
        <f t="array" ref="N171">ThetaC(N$3,$C$4,$H17,$D$4,0,$E$6)</f>
        <v>-2.5354420120298613</v>
      </c>
      <c r="O171" cm="1">
        <f t="array" ref="O171">ThetaC(O$3,$C$4,$H17,$D$4,0,$E$6)</f>
        <v>-2.6542840868503306</v>
      </c>
      <c r="P171" cm="1">
        <f t="array" ref="P171">ThetaC(P$3,$C$4,$H17,$D$4,0,$E$6)</f>
        <v>-2.754852854959454</v>
      </c>
      <c r="Q171" cm="1">
        <f t="array" ref="Q171">ThetaC(Q$3,$C$4,$H17,$D$4,0,$E$6)</f>
        <v>-2.8382289425117961</v>
      </c>
      <c r="R171" cm="1">
        <f t="array" ref="R171">ThetaC(R$3,$C$4,$H17,$D$4,0,$E$6)</f>
        <v>-2.905644464657811</v>
      </c>
      <c r="S171" cm="1">
        <f t="array" ref="S171">ThetaC(S$3,$C$4,$H17,$D$4,0,$E$6)</f>
        <v>-2.958407526781262</v>
      </c>
      <c r="T171" cm="1">
        <f t="array" ref="T171">ThetaC(T$3,$C$4,$H17,$D$4,0,$E$6)</f>
        <v>-2.9978467992173403</v>
      </c>
      <c r="U171" cm="1">
        <f t="array" ref="U171">ThetaC(U$3,$C$4,$H17,$D$4,0,$E$6)</f>
        <v>-3.0252718779929104</v>
      </c>
      <c r="V171" cm="1">
        <f t="array" ref="V171">ThetaC(V$3,$C$4,$H17,$D$4,0,$E$6)</f>
        <v>-3.0419458632825318</v>
      </c>
      <c r="W171" cm="1">
        <f t="array" ref="W171">ThetaC(W$3,$C$4,$H17,$D$4,0,$E$6)</f>
        <v>-3.0490672584689782</v>
      </c>
      <c r="X171" cm="1">
        <f t="array" ref="X171">ThetaC(X$3,$C$4,$H17,$D$4,0,$E$6)</f>
        <v>-3.0477588797204018</v>
      </c>
      <c r="Y171" cm="1">
        <f t="array" ref="Y171">ThetaC(Y$3,$C$4,$H17,$D$4,0,$E$6)</f>
        <v>-3.0390619596721145</v>
      </c>
    </row>
    <row r="173" spans="7:25" x14ac:dyDescent="0.2">
      <c r="I173">
        <v>60</v>
      </c>
      <c r="J173">
        <v>65</v>
      </c>
      <c r="K173">
        <v>70</v>
      </c>
      <c r="L173">
        <v>75</v>
      </c>
      <c r="M173">
        <v>80</v>
      </c>
      <c r="N173">
        <v>85</v>
      </c>
      <c r="O173">
        <v>90</v>
      </c>
      <c r="P173">
        <v>95</v>
      </c>
      <c r="Q173">
        <v>100</v>
      </c>
      <c r="R173">
        <v>105</v>
      </c>
      <c r="S173">
        <v>110</v>
      </c>
      <c r="T173">
        <v>115</v>
      </c>
      <c r="U173">
        <v>120</v>
      </c>
      <c r="V173">
        <v>125</v>
      </c>
      <c r="W173">
        <v>130</v>
      </c>
      <c r="X173">
        <v>135</v>
      </c>
      <c r="Y173">
        <v>140</v>
      </c>
    </row>
    <row r="174" spans="7:25" x14ac:dyDescent="0.2">
      <c r="H174">
        <v>0.1</v>
      </c>
      <c r="I174" cm="1">
        <f t="array" ref="I174">RhoC(I$3,$C$4,$H4,$D$4,0,$E$6)</f>
        <v>2.9526232275500813E-7</v>
      </c>
      <c r="J174" cm="1">
        <f t="array" ref="J174">RhoC(J$3,$C$4,$H4,$D$4,0,$E$6)</f>
        <v>2.3477394326331545E-5</v>
      </c>
      <c r="K174" cm="1">
        <f t="array" ref="K174">RhoC(K$3,$C$4,$H4,$D$4,0,$E$6)</f>
        <v>7.3280508906908512E-4</v>
      </c>
      <c r="L174" cm="1">
        <f t="array" ref="L174">RhoC(L$3,$C$4,$H4,$D$4,0,$E$6)</f>
        <v>1.0716304021740694E-2</v>
      </c>
      <c r="M174" cm="1">
        <f t="array" ref="M174">RhoC(M$3,$C$4,$H4,$D$4,0,$E$6)</f>
        <v>8.4379549560306411E-2</v>
      </c>
      <c r="N174" cm="1">
        <f t="array" ref="N174">RhoC(N$3,$C$4,$H4,$D$4,0,$E$6)</f>
        <v>0.40019706155343387</v>
      </c>
      <c r="O174" cm="1">
        <f t="array" ref="O174">RhoC(O$3,$C$4,$H4,$D$4,0,$E$6)</f>
        <v>1.2546393350198692</v>
      </c>
      <c r="P174" cm="1">
        <f t="array" ref="P174">RhoC(P$3,$C$4,$H4,$D$4,0,$E$6)</f>
        <v>2.8149490988691559</v>
      </c>
      <c r="Q174" cm="1">
        <f t="array" ref="Q174">RhoC(Q$3,$C$4,$H4,$D$4,0,$E$6)</f>
        <v>4.8480002263733493</v>
      </c>
      <c r="R174" cm="1">
        <f t="array" ref="R174">RhoC(R$3,$C$4,$H4,$D$4,0,$E$6)</f>
        <v>6.8277831133797173</v>
      </c>
      <c r="S174" cm="1">
        <f t="array" ref="S174">RhoC(S$3,$C$4,$H4,$D$4,0,$E$6)</f>
        <v>8.3258594130054373</v>
      </c>
      <c r="T174" cm="1">
        <f t="array" ref="T174">RhoC(T$3,$C$4,$H4,$D$4,0,$E$6)</f>
        <v>9.2362125771932124</v>
      </c>
      <c r="U174" cm="1">
        <f t="array" ref="U174">RhoC(U$3,$C$4,$H4,$D$4,0,$E$6)</f>
        <v>9.693115524377264</v>
      </c>
      <c r="V174" cm="1">
        <f t="array" ref="V174">RhoC(V$3,$C$4,$H4,$D$4,0,$E$6)</f>
        <v>9.8871106655175343</v>
      </c>
      <c r="W174" cm="1">
        <f t="array" ref="W174">RhoC(W$3,$C$4,$H4,$D$4,0,$E$6)</f>
        <v>9.9582415229851868</v>
      </c>
      <c r="X174" cm="1">
        <f t="array" ref="X174">RhoC(X$3,$C$4,$H4,$D$4,0,$E$6)</f>
        <v>9.981168420699019</v>
      </c>
      <c r="Y174" cm="1">
        <f t="array" ref="Y174">RhoC(Y$3,$C$4,$H4,$D$4,0,$E$6)</f>
        <v>9.9877653195750877</v>
      </c>
    </row>
    <row r="175" spans="7:25" x14ac:dyDescent="0.2">
      <c r="H175">
        <v>0.2</v>
      </c>
      <c r="I175" cm="1">
        <f t="array" ref="I175">RhoC(I$3,$C$4,$H5,$D$4,0,$E$6)</f>
        <v>1.1332530343148011E-3</v>
      </c>
      <c r="J175" cm="1">
        <f t="array" ref="J175">RhoC(J$3,$C$4,$H5,$D$4,0,$E$6)</f>
        <v>1.1000326823056614E-2</v>
      </c>
      <c r="K175" cm="1">
        <f t="array" ref="K175">RhoC(K$3,$C$4,$H5,$D$4,0,$E$6)</f>
        <v>6.7012653150436682E-2</v>
      </c>
      <c r="L175" cm="1">
        <f t="array" ref="L175">RhoC(L$3,$C$4,$H5,$D$4,0,$E$6)</f>
        <v>0.28005079404176503</v>
      </c>
      <c r="M175" cm="1">
        <f t="array" ref="M175">RhoC(M$3,$C$4,$H5,$D$4,0,$E$6)</f>
        <v>0.86101600896775732</v>
      </c>
      <c r="N175" cm="1">
        <f t="array" ref="N175">RhoC(N$3,$C$4,$H5,$D$4,0,$E$6)</f>
        <v>2.0599015086440065</v>
      </c>
      <c r="O175" cm="1">
        <f t="array" ref="O175">RhoC(O$3,$C$4,$H5,$D$4,0,$E$6)</f>
        <v>4.0151569990777833</v>
      </c>
      <c r="P175" cm="1">
        <f t="array" ref="P175">RhoC(P$3,$C$4,$H5,$D$4,0,$E$6)</f>
        <v>6.6260425961542984</v>
      </c>
      <c r="Q175" cm="1">
        <f t="array" ref="Q175">RhoC(Q$3,$C$4,$H5,$D$4,0,$E$6)</f>
        <v>9.5647445393394914</v>
      </c>
      <c r="R175" cm="1">
        <f t="array" ref="R175">RhoC(R$3,$C$4,$H5,$D$4,0,$E$6)</f>
        <v>12.420817808937203</v>
      </c>
      <c r="S175" cm="1">
        <f t="array" ref="S175">RhoC(S$3,$C$4,$H5,$D$4,0,$E$6)</f>
        <v>14.866303408782125</v>
      </c>
      <c r="T175" cm="1">
        <f t="array" ref="T175">RhoC(T$3,$C$4,$H5,$D$4,0,$E$6)</f>
        <v>16.742535793708608</v>
      </c>
      <c r="U175" cm="1">
        <f t="array" ref="U175">RhoC(U$3,$C$4,$H5,$D$4,0,$E$6)</f>
        <v>18.050952682701794</v>
      </c>
      <c r="V175" cm="1">
        <f t="array" ref="V175">RhoC(V$3,$C$4,$H5,$D$4,0,$E$6)</f>
        <v>18.890468841237468</v>
      </c>
      <c r="W175" cm="1">
        <f t="array" ref="W175">RhoC(W$3,$C$4,$H5,$D$4,0,$E$6)</f>
        <v>19.391259558754662</v>
      </c>
      <c r="X175" cm="1">
        <f t="array" ref="X175">RhoC(X$3,$C$4,$H5,$D$4,0,$E$6)</f>
        <v>19.671489079206417</v>
      </c>
      <c r="Y175" cm="1">
        <f t="array" ref="Y175">RhoC(Y$3,$C$4,$H5,$D$4,0,$E$6)</f>
        <v>19.819726458551735</v>
      </c>
    </row>
    <row r="176" spans="7:25" x14ac:dyDescent="0.2">
      <c r="H176">
        <v>0.3</v>
      </c>
      <c r="I176" cm="1">
        <f t="array" ref="I176">RhoC(I$3,$C$4,$H6,$D$4,0,$E$6)</f>
        <v>2.2587447202926818E-2</v>
      </c>
      <c r="J176" cm="1">
        <f t="array" ref="J176">RhoC(J$3,$C$4,$H6,$D$4,0,$E$6)</f>
        <v>0.10828646304118206</v>
      </c>
      <c r="K176" cm="1">
        <f t="array" ref="K176">RhoC(K$3,$C$4,$H6,$D$4,0,$E$6)</f>
        <v>0.38055475002660877</v>
      </c>
      <c r="L176" cm="1">
        <f t="array" ref="L176">RhoC(L$3,$C$4,$H6,$D$4,0,$E$6)</f>
        <v>1.0404743079329288</v>
      </c>
      <c r="M176" cm="1">
        <f t="array" ref="M176">RhoC(M$3,$C$4,$H6,$D$4,0,$E$6)</f>
        <v>2.3188215227327134</v>
      </c>
      <c r="N176" cm="1">
        <f t="array" ref="N176">RhoC(N$3,$C$4,$H6,$D$4,0,$E$6)</f>
        <v>4.3722556636840153</v>
      </c>
      <c r="O176" cm="1">
        <f t="array" ref="O176">RhoC(O$3,$C$4,$H6,$D$4,0,$E$6)</f>
        <v>7.1895756392573711</v>
      </c>
      <c r="P176" cm="1">
        <f t="array" ref="P176">RhoC(P$3,$C$4,$H6,$D$4,0,$E$6)</f>
        <v>10.571300384455705</v>
      </c>
      <c r="Q176" cm="1">
        <f t="array" ref="Q176">RhoC(Q$3,$C$4,$H6,$D$4,0,$E$6)</f>
        <v>14.193093045907348</v>
      </c>
      <c r="R176" cm="1">
        <f t="array" ref="R176">RhoC(R$3,$C$4,$H6,$D$4,0,$E$6)</f>
        <v>17.710675985594914</v>
      </c>
      <c r="S176" cm="1">
        <f t="array" ref="S176">RhoC(S$3,$C$4,$H6,$D$4,0,$E$6)</f>
        <v>20.850986007567908</v>
      </c>
      <c r="T176" cm="1">
        <f t="array" ref="T176">RhoC(T$3,$C$4,$H6,$D$4,0,$E$6)</f>
        <v>23.45733593243779</v>
      </c>
      <c r="U176" cm="1">
        <f t="array" ref="U176">RhoC(U$3,$C$4,$H6,$D$4,0,$E$6)</f>
        <v>25.487739366774992</v>
      </c>
      <c r="V176" cm="1">
        <f t="array" ref="V176">RhoC(V$3,$C$4,$H6,$D$4,0,$E$6)</f>
        <v>26.984500276398514</v>
      </c>
      <c r="W176" cm="1">
        <f t="array" ref="W176">RhoC(W$3,$C$4,$H6,$D$4,0,$E$6)</f>
        <v>28.035878249676891</v>
      </c>
      <c r="X176" cm="1">
        <f t="array" ref="X176">RhoC(X$3,$C$4,$H6,$D$4,0,$E$6)</f>
        <v>28.743809080910765</v>
      </c>
      <c r="Y176" cm="1">
        <f t="array" ref="Y176">RhoC(Y$3,$C$4,$H6,$D$4,0,$E$6)</f>
        <v>29.203093523689748</v>
      </c>
    </row>
    <row r="177" spans="7:25" x14ac:dyDescent="0.2">
      <c r="G177" t="s">
        <v>40</v>
      </c>
      <c r="H177">
        <v>0.4</v>
      </c>
      <c r="I177" cm="1">
        <f t="array" ref="I177">RhoC(I$3,$C$4,$H7,$D$4,0,$E$6)</f>
        <v>0.11301837002767318</v>
      </c>
      <c r="J177" cm="1">
        <f t="array" ref="J177">RhoC(J$3,$C$4,$H7,$D$4,0,$E$6)</f>
        <v>0.37982446397381536</v>
      </c>
      <c r="K177" cm="1">
        <f t="array" ref="K177">RhoC(K$3,$C$4,$H7,$D$4,0,$E$6)</f>
        <v>1.0108518694220894</v>
      </c>
      <c r="L177" cm="1">
        <f t="array" ref="L177">RhoC(L$3,$C$4,$H7,$D$4,0,$E$6)</f>
        <v>2.2277486403587079</v>
      </c>
      <c r="M177" cm="1">
        <f t="array" ref="M177">RhoC(M$3,$C$4,$H7,$D$4,0,$E$6)</f>
        <v>4.2101668239852943</v>
      </c>
      <c r="N177" cm="1">
        <f t="array" ref="N177">RhoC(N$3,$C$4,$H7,$D$4,0,$E$6)</f>
        <v>7.015818789635345</v>
      </c>
      <c r="O177" cm="1">
        <f t="array" ref="O177">RhoC(O$3,$C$4,$H7,$D$4,0,$E$6)</f>
        <v>10.543607299579147</v>
      </c>
      <c r="P177" cm="1">
        <f t="array" ref="P177">RhoC(P$3,$C$4,$H7,$D$4,0,$E$6)</f>
        <v>14.556689094577388</v>
      </c>
      <c r="Q177" cm="1">
        <f t="array" ref="Q177">RhoC(Q$3,$C$4,$H7,$D$4,0,$E$6)</f>
        <v>18.748461687370579</v>
      </c>
      <c r="R177" cm="1">
        <f t="array" ref="R177">RhoC(R$3,$C$4,$H7,$D$4,0,$E$6)</f>
        <v>22.818237236294163</v>
      </c>
      <c r="S177" cm="1">
        <f t="array" ref="S177">RhoC(S$3,$C$4,$H7,$D$4,0,$E$6)</f>
        <v>26.528546066729881</v>
      </c>
      <c r="T177" cm="1">
        <f t="array" ref="T177">RhoC(T$3,$C$4,$H7,$D$4,0,$E$6)</f>
        <v>29.731963677583227</v>
      </c>
      <c r="U177" cm="1">
        <f t="array" ref="U177">RhoC(U$3,$C$4,$H7,$D$4,0,$E$6)</f>
        <v>32.370108870629927</v>
      </c>
      <c r="V177" cm="1">
        <f t="array" ref="V177">RhoC(V$3,$C$4,$H7,$D$4,0,$E$6)</f>
        <v>34.455132914714234</v>
      </c>
      <c r="W177" cm="1">
        <f t="array" ref="W177">RhoC(W$3,$C$4,$H7,$D$4,0,$E$6)</f>
        <v>36.044808482034149</v>
      </c>
      <c r="X177" cm="1">
        <f t="array" ref="X177">RhoC(X$3,$C$4,$H7,$D$4,0,$E$6)</f>
        <v>37.219240872194902</v>
      </c>
      <c r="Y177" cm="1">
        <f t="array" ref="Y177">RhoC(Y$3,$C$4,$H7,$D$4,0,$E$6)</f>
        <v>38.063235204176131</v>
      </c>
    </row>
    <row r="178" spans="7:25" x14ac:dyDescent="0.2">
      <c r="H178">
        <v>0.5</v>
      </c>
      <c r="I178" cm="1">
        <f t="array" ref="I178">RhoC(I$3,$C$4,$H8,$D$4,0,$E$6)</f>
        <v>0.31727274899903907</v>
      </c>
      <c r="J178" cm="1">
        <f t="array" ref="J178">RhoC(J$3,$C$4,$H8,$D$4,0,$E$6)</f>
        <v>0.86022397763405956</v>
      </c>
      <c r="K178" cm="1">
        <f t="array" ref="K178">RhoC(K$3,$C$4,$H8,$D$4,0,$E$6)</f>
        <v>1.9341199007049987</v>
      </c>
      <c r="L178" cm="1">
        <f t="array" ref="L178">RhoC(L$3,$C$4,$H8,$D$4,0,$E$6)</f>
        <v>3.7375642733991832</v>
      </c>
      <c r="M178" cm="1">
        <f t="array" ref="M178">RhoC(M$3,$C$4,$H8,$D$4,0,$E$6)</f>
        <v>6.3836239230238867</v>
      </c>
      <c r="N178" cm="1">
        <f t="array" ref="N178">RhoC(N$3,$C$4,$H8,$D$4,0,$E$6)</f>
        <v>9.852967725997944</v>
      </c>
      <c r="O178" cm="1">
        <f t="array" ref="O178">RhoC(O$3,$C$4,$H8,$D$4,0,$E$6)</f>
        <v>13.991727530535455</v>
      </c>
      <c r="P178" cm="1">
        <f t="array" ref="P178">RhoC(P$3,$C$4,$H8,$D$4,0,$E$6)</f>
        <v>18.549891582551311</v>
      </c>
      <c r="Q178" cm="1">
        <f t="array" ref="Q178">RhoC(Q$3,$C$4,$H8,$D$4,0,$E$6)</f>
        <v>23.239821537606058</v>
      </c>
      <c r="R178" cm="1">
        <f t="array" ref="R178">RhoC(R$3,$C$4,$H8,$D$4,0,$E$6)</f>
        <v>27.792320019220721</v>
      </c>
      <c r="S178" cm="1">
        <f t="array" ref="S178">RhoC(S$3,$C$4,$H8,$D$4,0,$E$6)</f>
        <v>31.995430199928425</v>
      </c>
      <c r="T178" cm="1">
        <f t="array" ref="T178">RhoC(T$3,$C$4,$H8,$D$4,0,$E$6)</f>
        <v>35.711501203565795</v>
      </c>
      <c r="U178" cm="1">
        <f t="array" ref="U178">RhoC(U$3,$C$4,$H8,$D$4,0,$E$6)</f>
        <v>38.875814895490308</v>
      </c>
      <c r="V178" cm="1">
        <f t="array" ref="V178">RhoC(V$3,$C$4,$H8,$D$4,0,$E$6)</f>
        <v>41.483583425713469</v>
      </c>
      <c r="W178" cm="1">
        <f t="array" ref="W178">RhoC(W$3,$C$4,$H8,$D$4,0,$E$6)</f>
        <v>43.572176068814954</v>
      </c>
      <c r="X178" cm="1">
        <f t="array" ref="X178">RhoC(X$3,$C$4,$H8,$D$4,0,$E$6)</f>
        <v>45.203642785625419</v>
      </c>
      <c r="Y178" cm="1">
        <f t="array" ref="Y178">RhoC(Y$3,$C$4,$H8,$D$4,0,$E$6)</f>
        <v>46.450375839346556</v>
      </c>
    </row>
    <row r="179" spans="7:25" x14ac:dyDescent="0.2">
      <c r="H179">
        <v>0.6</v>
      </c>
      <c r="I179" cm="1">
        <f t="array" ref="I179">RhoC(I$3,$C$4,$H9,$D$4,0,$E$6)</f>
        <v>0.65908885371946324</v>
      </c>
      <c r="J179" cm="1">
        <f t="array" ref="J179">RhoC(J$3,$C$4,$H9,$D$4,0,$E$6)</f>
        <v>1.5469602201022621</v>
      </c>
      <c r="K179" cm="1">
        <f t="array" ref="K179">RhoC(K$3,$C$4,$H9,$D$4,0,$E$6)</f>
        <v>3.1045688556190534</v>
      </c>
      <c r="L179" cm="1">
        <f t="array" ref="L179">RhoC(L$3,$C$4,$H9,$D$4,0,$E$6)</f>
        <v>5.488782757526657</v>
      </c>
      <c r="M179" cm="1">
        <f t="array" ref="M179">RhoC(M$3,$C$4,$H9,$D$4,0,$E$6)</f>
        <v>8.7502447732684363</v>
      </c>
      <c r="N179" cm="1">
        <f t="array" ref="N179">RhoC(N$3,$C$4,$H9,$D$4,0,$E$6)</f>
        <v>12.81328269794542</v>
      </c>
      <c r="O179" cm="1">
        <f t="array" ref="O179">RhoC(O$3,$C$4,$H9,$D$4,0,$E$6)</f>
        <v>17.49273970506767</v>
      </c>
      <c r="P179" cm="1">
        <f t="array" ref="P179">RhoC(P$3,$C$4,$H9,$D$4,0,$E$6)</f>
        <v>22.536096616038257</v>
      </c>
      <c r="Q179" cm="1">
        <f t="array" ref="Q179">RhoC(Q$3,$C$4,$H9,$D$4,0,$E$6)</f>
        <v>27.673266418213814</v>
      </c>
      <c r="R179" cm="1">
        <f t="array" ref="R179">RhoC(R$3,$C$4,$H9,$D$4,0,$E$6)</f>
        <v>32.659213280179173</v>
      </c>
      <c r="S179" cm="1">
        <f t="array" ref="S179">RhoC(S$3,$C$4,$H9,$D$4,0,$E$6)</f>
        <v>37.301467373776582</v>
      </c>
      <c r="T179" cm="1">
        <f t="array" ref="T179">RhoC(T$3,$C$4,$H9,$D$4,0,$E$6)</f>
        <v>41.471363169847443</v>
      </c>
      <c r="U179" cm="1">
        <f t="array" ref="U179">RhoC(U$3,$C$4,$H9,$D$4,0,$E$6)</f>
        <v>45.102197776462987</v>
      </c>
      <c r="V179" cm="1">
        <f t="array" ref="V179">RhoC(V$3,$C$4,$H9,$D$4,0,$E$6)</f>
        <v>48.179196650195983</v>
      </c>
      <c r="W179" cm="1">
        <f t="array" ref="W179">RhoC(W$3,$C$4,$H9,$D$4,0,$E$6)</f>
        <v>50.725932380965368</v>
      </c>
      <c r="X179" cm="1">
        <f t="array" ref="X179">RhoC(X$3,$C$4,$H9,$D$4,0,$E$6)</f>
        <v>52.790639938914232</v>
      </c>
      <c r="Y179" cm="1">
        <f t="array" ref="Y179">RhoC(Y$3,$C$4,$H9,$D$4,0,$E$6)</f>
        <v>54.434466906661761</v>
      </c>
    </row>
    <row r="180" spans="7:25" x14ac:dyDescent="0.2">
      <c r="H180">
        <v>0.7</v>
      </c>
      <c r="I180" cm="1">
        <f t="array" ref="I180">RhoC(I$3,$C$4,$H10,$D$4,0,$E$6)</f>
        <v>1.1449306418409966</v>
      </c>
      <c r="J180" cm="1">
        <f t="array" ref="J180">RhoC(J$3,$C$4,$H10,$D$4,0,$E$6)</f>
        <v>2.4222946495275677</v>
      </c>
      <c r="K180" cm="1">
        <f t="array" ref="K180">RhoC(K$3,$C$4,$H10,$D$4,0,$E$6)</f>
        <v>4.4784244022574073</v>
      </c>
      <c r="L180" cm="1">
        <f t="array" ref="L180">RhoC(L$3,$C$4,$H10,$D$4,0,$E$6)</f>
        <v>7.423390125050302</v>
      </c>
      <c r="M180" cm="1">
        <f t="array" ref="M180">RhoC(M$3,$C$4,$H10,$D$4,0,$E$6)</f>
        <v>11.254687988484211</v>
      </c>
      <c r="N180" cm="1">
        <f t="array" ref="N180">RhoC(N$3,$C$4,$H10,$D$4,0,$E$6)</f>
        <v>15.855986685171217</v>
      </c>
      <c r="O180" cm="1">
        <f t="array" ref="O180">RhoC(O$3,$C$4,$H10,$D$4,0,$E$6)</f>
        <v>21.023581921994065</v>
      </c>
      <c r="P180" cm="1">
        <f t="array" ref="P180">RhoC(P$3,$C$4,$H10,$D$4,0,$E$6)</f>
        <v>26.507480350440918</v>
      </c>
      <c r="Q180" cm="1">
        <f t="array" ref="Q180">RhoC(Q$3,$C$4,$H10,$D$4,0,$E$6)</f>
        <v>32.053299834482402</v>
      </c>
      <c r="R180" cm="1">
        <f t="array" ref="R180">RhoC(R$3,$C$4,$H10,$D$4,0,$E$6)</f>
        <v>37.435336997194241</v>
      </c>
      <c r="S180" cm="1">
        <f t="array" ref="S180">RhoC(S$3,$C$4,$H10,$D$4,0,$E$6)</f>
        <v>42.476670407640107</v>
      </c>
      <c r="T180" cm="1">
        <f t="array" ref="T180">RhoC(T$3,$C$4,$H10,$D$4,0,$E$6)</f>
        <v>47.056644807114715</v>
      </c>
      <c r="U180" cm="1">
        <f t="array" ref="U180">RhoC(U$3,$C$4,$H10,$D$4,0,$E$6)</f>
        <v>51.108637489139326</v>
      </c>
      <c r="V180" cm="1">
        <f t="array" ref="V180">RhoC(V$3,$C$4,$H10,$D$4,0,$E$6)</f>
        <v>54.6118081175238</v>
      </c>
      <c r="W180" cm="1">
        <f t="array" ref="W180">RhoC(W$3,$C$4,$H10,$D$4,0,$E$6)</f>
        <v>57.580182729458606</v>
      </c>
      <c r="X180" cm="1">
        <f t="array" ref="X180">RhoC(X$3,$C$4,$H10,$D$4,0,$E$6)</f>
        <v>60.051541964146772</v>
      </c>
      <c r="Y180" cm="1">
        <f t="array" ref="Y180">RhoC(Y$3,$C$4,$H10,$D$4,0,$E$6)</f>
        <v>62.077618313338995</v>
      </c>
    </row>
    <row r="181" spans="7:25" x14ac:dyDescent="0.2">
      <c r="H181">
        <v>0.8</v>
      </c>
      <c r="I181" cm="1">
        <f t="array" ref="I181">RhoC(I$3,$C$4,$H11,$D$4,0,$E$6)</f>
        <v>1.7711463627698014</v>
      </c>
      <c r="J181" cm="1">
        <f t="array" ref="J181">RhoC(J$3,$C$4,$H11,$D$4,0,$E$6)</f>
        <v>3.4644139974960209</v>
      </c>
      <c r="K181" cm="1">
        <f t="array" ref="K181">RhoC(K$3,$C$4,$H11,$D$4,0,$E$6)</f>
        <v>6.0191244882771686</v>
      </c>
      <c r="L181" cm="1">
        <f t="array" ref="L181">RhoC(L$3,$C$4,$H11,$D$4,0,$E$6)</f>
        <v>9.4998591027931845</v>
      </c>
      <c r="M181" cm="1">
        <f t="array" ref="M181">RhoC(M$3,$C$4,$H11,$D$4,0,$E$6)</f>
        <v>13.860489518231892</v>
      </c>
      <c r="N181" cm="1">
        <f t="array" ref="N181">RhoC(N$3,$C$4,$H11,$D$4,0,$E$6)</f>
        <v>18.95536543143395</v>
      </c>
      <c r="O181" cm="1">
        <f t="array" ref="O181">RhoC(O$3,$C$4,$H11,$D$4,0,$E$6)</f>
        <v>24.570063770440541</v>
      </c>
      <c r="P181" cm="1">
        <f t="array" ref="P181">RhoC(P$3,$C$4,$H11,$D$4,0,$E$6)</f>
        <v>30.459559705270866</v>
      </c>
      <c r="Q181" cm="1">
        <f t="array" ref="Q181">RhoC(Q$3,$C$4,$H11,$D$4,0,$E$6)</f>
        <v>36.383434264921355</v>
      </c>
      <c r="R181" cm="1">
        <f t="array" ref="R181">RhoC(R$3,$C$4,$H11,$D$4,0,$E$6)</f>
        <v>42.131936325461389</v>
      </c>
      <c r="S181" cm="1">
        <f t="array" ref="S181">RhoC(S$3,$C$4,$H11,$D$4,0,$E$6)</f>
        <v>47.540950801739896</v>
      </c>
      <c r="T181" cm="1">
        <f t="array" ref="T181">RhoC(T$3,$C$4,$H11,$D$4,0,$E$6)</f>
        <v>52.496929542260922</v>
      </c>
      <c r="U181" cm="1">
        <f t="array" ref="U181">RhoC(U$3,$C$4,$H11,$D$4,0,$E$6)</f>
        <v>56.934359886945309</v>
      </c>
      <c r="V181" cm="1">
        <f t="array" ref="V181">RhoC(V$3,$C$4,$H11,$D$4,0,$E$6)</f>
        <v>60.828679358443949</v>
      </c>
      <c r="W181" cm="1">
        <f t="array" ref="W181">RhoC(W$3,$C$4,$H11,$D$4,0,$E$6)</f>
        <v>64.187163619302936</v>
      </c>
      <c r="X181" cm="1">
        <f t="array" ref="X181">RhoC(X$3,$C$4,$H11,$D$4,0,$E$6)</f>
        <v>67.039633112636224</v>
      </c>
      <c r="Y181" cm="1">
        <f t="array" ref="Y181">RhoC(Y$3,$C$4,$H11,$D$4,0,$E$6)</f>
        <v>69.430119356071586</v>
      </c>
    </row>
    <row r="182" spans="7:25" x14ac:dyDescent="0.2">
      <c r="H182">
        <v>0.9</v>
      </c>
      <c r="I182" cm="1">
        <f t="array" ref="I182">RhoC(I$3,$C$4,$H12,$D$4,0,$E$6)</f>
        <v>2.5290931687880014</v>
      </c>
      <c r="J182" cm="1">
        <f t="array" ref="J182">RhoC(J$3,$C$4,$H12,$D$4,0,$E$6)</f>
        <v>4.652006501990833</v>
      </c>
      <c r="K182" cm="1">
        <f t="array" ref="K182">RhoC(K$3,$C$4,$H12,$D$4,0,$E$6)</f>
        <v>7.6972593895436292</v>
      </c>
      <c r="L182" cm="1">
        <f t="array" ref="L182">RhoC(L$3,$C$4,$H12,$D$4,0,$E$6)</f>
        <v>11.687876444341773</v>
      </c>
      <c r="M182" cm="1">
        <f t="array" ref="M182">RhoC(M$3,$C$4,$H12,$D$4,0,$E$6)</f>
        <v>16.542451185364438</v>
      </c>
      <c r="N182" cm="1">
        <f t="array" ref="N182">RhoC(N$3,$C$4,$H12,$D$4,0,$E$6)</f>
        <v>22.094174145759741</v>
      </c>
      <c r="O182" cm="1">
        <f t="array" ref="O182">RhoC(O$3,$C$4,$H12,$D$4,0,$E$6)</f>
        <v>28.122869505264237</v>
      </c>
      <c r="P182" cm="1">
        <f t="array" ref="P182">RhoC(P$3,$C$4,$H12,$D$4,0,$E$6)</f>
        <v>34.389641378661537</v>
      </c>
      <c r="Q182" cm="1">
        <f t="array" ref="Q182">RhoC(Q$3,$C$4,$H12,$D$4,0,$E$6)</f>
        <v>40.666514264759975</v>
      </c>
      <c r="R182" cm="1">
        <f t="array" ref="R182">RhoC(R$3,$C$4,$H12,$D$4,0,$E$6)</f>
        <v>46.757213487895108</v>
      </c>
      <c r="S182" cm="1">
        <f t="array" ref="S182">RhoC(S$3,$C$4,$H12,$D$4,0,$E$6)</f>
        <v>52.50842960081301</v>
      </c>
      <c r="T182" cm="1">
        <f t="array" ref="T182">RhoC(T$3,$C$4,$H12,$D$4,0,$E$6)</f>
        <v>57.812941191026347</v>
      </c>
      <c r="U182" cm="1">
        <f t="array" ref="U182">RhoC(U$3,$C$4,$H12,$D$4,0,$E$6)</f>
        <v>62.606865589008969</v>
      </c>
      <c r="V182" cm="1">
        <f t="array" ref="V182">RhoC(V$3,$C$4,$H12,$D$4,0,$E$6)</f>
        <v>66.863385045386053</v>
      </c>
      <c r="W182" cm="1">
        <f t="array" ref="W182">RhoC(W$3,$C$4,$H12,$D$4,0,$E$6)</f>
        <v>70.584918287508259</v>
      </c>
      <c r="X182" cm="1">
        <f t="array" ref="X182">RhoC(X$3,$C$4,$H12,$D$4,0,$E$6)</f>
        <v>73.795159861052298</v>
      </c>
      <c r="Y182" cm="1">
        <f t="array" ref="Y182">RhoC(Y$3,$C$4,$H12,$D$4,0,$E$6)</f>
        <v>76.53187239325608</v>
      </c>
    </row>
    <row r="183" spans="7:25" x14ac:dyDescent="0.2">
      <c r="H183">
        <v>1</v>
      </c>
      <c r="I183" cm="1">
        <f t="array" ref="I183">RhoC(I$3,$C$4,$H13,$D$4,0,$E$6)</f>
        <v>3.4081262074599135</v>
      </c>
      <c r="J183" cm="1">
        <f t="array" ref="J183">RhoC(J$3,$C$4,$H13,$D$4,0,$E$6)</f>
        <v>5.9658621895937705</v>
      </c>
      <c r="K183" cm="1">
        <f t="array" ref="K183">RhoC(K$3,$C$4,$H13,$D$4,0,$E$6)</f>
        <v>9.4893482029156058</v>
      </c>
      <c r="L183" cm="1">
        <f t="array" ref="L183">RhoC(L$3,$C$4,$H13,$D$4,0,$E$6)</f>
        <v>13.964806192115638</v>
      </c>
      <c r="M183" cm="1">
        <f t="array" ref="M183">RhoC(M$3,$C$4,$H13,$D$4,0,$E$6)</f>
        <v>19.282474296583743</v>
      </c>
      <c r="N183" cm="1">
        <f t="array" ref="N183">RhoC(N$3,$C$4,$H13,$D$4,0,$E$6)</f>
        <v>25.26030113898759</v>
      </c>
      <c r="O183" cm="1">
        <f t="array" ref="O183">RhoC(O$3,$C$4,$H13,$D$4,0,$E$6)</f>
        <v>31.675590666078804</v>
      </c>
      <c r="P183" cm="1">
        <f t="array" ref="P183">RhoC(P$3,$C$4,$H13,$D$4,0,$E$6)</f>
        <v>38.296069087442106</v>
      </c>
      <c r="Q183" cm="1">
        <f t="array" ref="Q183">RhoC(Q$3,$C$4,$H13,$D$4,0,$E$6)</f>
        <v>44.904908466519977</v>
      </c>
      <c r="R183" cm="1">
        <f t="array" ref="R183">RhoC(R$3,$C$4,$H13,$D$4,0,$E$6)</f>
        <v>51.317432142978923</v>
      </c>
      <c r="S183" cm="1">
        <f t="array" ref="S183">RhoC(S$3,$C$4,$H13,$D$4,0,$E$6)</f>
        <v>57.389622642331112</v>
      </c>
      <c r="T183" cm="1">
        <f t="array" ref="T183">RhoC(T$3,$C$4,$H13,$D$4,0,$E$6)</f>
        <v>63.019923944843072</v>
      </c>
      <c r="U183" cm="1">
        <f t="array" ref="U183">RhoC(U$3,$C$4,$H13,$D$4,0,$E$6)</f>
        <v>68.146336615181539</v>
      </c>
      <c r="V183" cm="1">
        <f t="array" ref="V183">RhoC(V$3,$C$4,$H13,$D$4,0,$E$6)</f>
        <v>72.740739426895161</v>
      </c>
      <c r="W183" cm="1">
        <f t="array" ref="W183">RhoC(W$3,$C$4,$H13,$D$4,0,$E$6)</f>
        <v>76.802012118301121</v>
      </c>
      <c r="X183" cm="1">
        <f t="array" ref="X183">RhoC(X$3,$C$4,$H13,$D$4,0,$E$6)</f>
        <v>80.349082627409643</v>
      </c>
      <c r="Y183" cm="1">
        <f t="array" ref="Y183">RhoC(Y$3,$C$4,$H13,$D$4,0,$E$6)</f>
        <v>83.414598637936621</v>
      </c>
    </row>
    <row r="184" spans="7:25" x14ac:dyDescent="0.2">
      <c r="H184">
        <v>2</v>
      </c>
      <c r="I184" cm="1">
        <f t="array" ref="I184">RhoC(I$3,$C$4,$H14,$D$4,0,$E$6)</f>
        <v>16.760740288014706</v>
      </c>
      <c r="J184" cm="1">
        <f t="array" ref="J184">RhoC(J$3,$C$4,$H14,$D$4,0,$E$6)</f>
        <v>23.314848276281694</v>
      </c>
      <c r="K184" cm="1">
        <f t="array" ref="K184">RhoC(K$3,$C$4,$H14,$D$4,0,$E$6)</f>
        <v>30.833945975697684</v>
      </c>
      <c r="L184" cm="1">
        <f t="array" ref="L184">RhoC(L$3,$C$4,$H14,$D$4,0,$E$6)</f>
        <v>39.12877070729931</v>
      </c>
      <c r="M184" cm="1">
        <f t="array" ref="M184">RhoC(M$3,$C$4,$H14,$D$4,0,$E$6)</f>
        <v>47.990477205189997</v>
      </c>
      <c r="N184" cm="1">
        <f t="array" ref="N184">RhoC(N$3,$C$4,$H14,$D$4,0,$E$6)</f>
        <v>57.209878012749975</v>
      </c>
      <c r="O184" cm="1">
        <f t="array" ref="O184">RhoC(O$3,$C$4,$H14,$D$4,0,$E$6)</f>
        <v>66.591346159028802</v>
      </c>
      <c r="P184" cm="1">
        <f t="array" ref="P184">RhoC(P$3,$C$4,$H14,$D$4,0,$E$6)</f>
        <v>75.961631172955663</v>
      </c>
      <c r="Q184" cm="1">
        <f t="array" ref="Q184">RhoC(Q$3,$C$4,$H14,$D$4,0,$E$6)</f>
        <v>85.174423276303955</v>
      </c>
      <c r="R184" cm="1">
        <f t="array" ref="R184">RhoC(R$3,$C$4,$H14,$D$4,0,$E$6)</f>
        <v>94.111689131219805</v>
      </c>
      <c r="S184" cm="1">
        <f t="array" ref="S184">RhoC(S$3,$C$4,$H14,$D$4,0,$E$6)</f>
        <v>102.68276202708793</v>
      </c>
      <c r="T184" cm="1">
        <f t="array" ref="T184">RhoC(T$3,$C$4,$H14,$D$4,0,$E$6)</f>
        <v>110.8220192638607</v>
      </c>
      <c r="U184" cm="1">
        <f t="array" ref="U184">RhoC(U$3,$C$4,$H14,$D$4,0,$E$6)</f>
        <v>118.48579476912981</v>
      </c>
      <c r="V184" cm="1">
        <f t="array" ref="V184">RhoC(V$3,$C$4,$H14,$D$4,0,$E$6)</f>
        <v>125.64899717066402</v>
      </c>
      <c r="W184" cm="1">
        <f t="array" ref="W184">RhoC(W$3,$C$4,$H14,$D$4,0,$E$6)</f>
        <v>132.30175184925787</v>
      </c>
      <c r="X184" cm="1">
        <f t="array" ref="X184">RhoC(X$3,$C$4,$H14,$D$4,0,$E$6)</f>
        <v>138.44626580586129</v>
      </c>
      <c r="Y184" cm="1">
        <f t="array" ref="Y184">RhoC(Y$3,$C$4,$H14,$D$4,0,$E$6)</f>
        <v>144.09402526215996</v>
      </c>
    </row>
    <row r="185" spans="7:25" x14ac:dyDescent="0.2">
      <c r="H185">
        <v>3</v>
      </c>
      <c r="I185" cm="1">
        <f t="array" ref="I185">RhoC(I$3,$C$4,$H15,$D$4,0,$E$6)</f>
        <v>34.347278354932754</v>
      </c>
      <c r="J185" cm="1">
        <f t="array" ref="J185">RhoC(J$3,$C$4,$H15,$D$4,0,$E$6)</f>
        <v>44.032078635685487</v>
      </c>
      <c r="K185" cm="1">
        <f t="array" ref="K185">RhoC(K$3,$C$4,$H15,$D$4,0,$E$6)</f>
        <v>54.482049449278385</v>
      </c>
      <c r="L185" cm="1">
        <f t="array" ref="L185">RhoC(L$3,$C$4,$H15,$D$4,0,$E$6)</f>
        <v>65.478709737318354</v>
      </c>
      <c r="M185" cm="1">
        <f t="array" ref="M185">RhoC(M$3,$C$4,$H15,$D$4,0,$E$6)</f>
        <v>76.81640811264738</v>
      </c>
      <c r="N185" cm="1">
        <f t="array" ref="N185">RhoC(N$3,$C$4,$H15,$D$4,0,$E$6)</f>
        <v>88.310233648812414</v>
      </c>
      <c r="O185" cm="1">
        <f t="array" ref="O185">RhoC(O$3,$C$4,$H15,$D$4,0,$E$6)</f>
        <v>99.800015811264572</v>
      </c>
      <c r="P185" cm="1">
        <f t="array" ref="P185">RhoC(P$3,$C$4,$H15,$D$4,0,$E$6)</f>
        <v>111.1515180755335</v>
      </c>
      <c r="Q185" cm="1">
        <f t="array" ref="Q185">RhoC(Q$3,$C$4,$H15,$D$4,0,$E$6)</f>
        <v>122.25575387364285</v>
      </c>
      <c r="R185" cm="1">
        <f t="array" ref="R185">RhoC(R$3,$C$4,$H15,$D$4,0,$E$6)</f>
        <v>133.0271469421086</v>
      </c>
      <c r="S185" cm="1">
        <f t="array" ref="S185">RhoC(S$3,$C$4,$H15,$D$4,0,$E$6)</f>
        <v>143.4010659252173</v>
      </c>
      <c r="T185" cm="1">
        <f t="array" ref="T185">RhoC(T$3,$C$4,$H15,$D$4,0,$E$6)</f>
        <v>153.33110283875411</v>
      </c>
      <c r="U185" cm="1">
        <f t="array" ref="U185">RhoC(U$3,$C$4,$H15,$D$4,0,$E$6)</f>
        <v>162.78634009613049</v>
      </c>
      <c r="V185" cm="1">
        <f t="array" ref="V185">RhoC(V$3,$C$4,$H15,$D$4,0,$E$6)</f>
        <v>171.74875805075749</v>
      </c>
      <c r="W185" cm="1">
        <f t="array" ref="W185">RhoC(W$3,$C$4,$H15,$D$4,0,$E$6)</f>
        <v>180.210868841131</v>
      </c>
      <c r="X185" cm="1">
        <f t="array" ref="X185">RhoC(X$3,$C$4,$H15,$D$4,0,$E$6)</f>
        <v>188.17361687331504</v>
      </c>
      <c r="Y185" cm="1">
        <f t="array" ref="Y185">RhoC(Y$3,$C$4,$H15,$D$4,0,$E$6)</f>
        <v>195.64455630771903</v>
      </c>
    </row>
    <row r="186" spans="7:25" x14ac:dyDescent="0.2">
      <c r="H186">
        <v>4</v>
      </c>
      <c r="I186" cm="1">
        <f t="array" ref="I186">RhoC(I$3,$C$4,$H16,$D$4,0,$E$6)</f>
        <v>53.429576659871827</v>
      </c>
      <c r="J186" cm="1">
        <f t="array" ref="J186">RhoC(J$3,$C$4,$H16,$D$4,0,$E$6)</f>
        <v>65.612241719610552</v>
      </c>
      <c r="K186" cm="1">
        <f t="array" ref="K186">RhoC(K$3,$C$4,$H16,$D$4,0,$E$6)</f>
        <v>78.359786030381173</v>
      </c>
      <c r="L186" cm="1">
        <f t="array" ref="L186">RhoC(L$3,$C$4,$H16,$D$4,0,$E$6)</f>
        <v>91.460887943075662</v>
      </c>
      <c r="M186" cm="1">
        <f t="array" ref="M186">RhoC(M$3,$C$4,$H16,$D$4,0,$E$6)</f>
        <v>104.72989940256033</v>
      </c>
      <c r="N186" cm="1">
        <f t="array" ref="N186">RhoC(N$3,$C$4,$H16,$D$4,0,$E$6)</f>
        <v>118.00840446744411</v>
      </c>
      <c r="O186" cm="1">
        <f t="array" ref="O186">RhoC(O$3,$C$4,$H16,$D$4,0,$E$6)</f>
        <v>131.16465975777294</v>
      </c>
      <c r="P186" cm="1">
        <f t="array" ref="P186">RhoC(P$3,$C$4,$H16,$D$4,0,$E$6)</f>
        <v>144.09177804367718</v>
      </c>
      <c r="Q186" cm="1">
        <f t="array" ref="Q186">RhoC(Q$3,$C$4,$H16,$D$4,0,$E$6)</f>
        <v>156.7052526385645</v>
      </c>
      <c r="R186" cm="1">
        <f t="array" ref="R186">RhoC(R$3,$C$4,$H16,$D$4,0,$E$6)</f>
        <v>168.94022005404264</v>
      </c>
      <c r="S186" cm="1">
        <f t="array" ref="S186">RhoC(S$3,$C$4,$H16,$D$4,0,$E$6)</f>
        <v>180.74871324670511</v>
      </c>
      <c r="T186" cm="1">
        <f t="array" ref="T186">RhoC(T$3,$C$4,$H16,$D$4,0,$E$6)</f>
        <v>192.09705624827617</v>
      </c>
      <c r="U186" cm="1">
        <f t="array" ref="U186">RhoC(U$3,$C$4,$H16,$D$4,0,$E$6)</f>
        <v>202.9634820928915</v>
      </c>
      <c r="V186" cm="1">
        <f t="array" ref="V186">RhoC(V$3,$C$4,$H16,$D$4,0,$E$6)</f>
        <v>213.3360106715098</v>
      </c>
      <c r="W186" cm="1">
        <f t="array" ref="W186">RhoC(W$3,$C$4,$H16,$D$4,0,$E$6)</f>
        <v>223.21059443947863</v>
      </c>
      <c r="X186" cm="1">
        <f t="array" ref="X186">RhoC(X$3,$C$4,$H16,$D$4,0,$E$6)</f>
        <v>232.58952257971575</v>
      </c>
      <c r="Y186" cm="1">
        <f t="array" ref="Y186">RhoC(Y$3,$C$4,$H16,$D$4,0,$E$6)</f>
        <v>241.48006453738211</v>
      </c>
    </row>
    <row r="187" spans="7:25" x14ac:dyDescent="0.2">
      <c r="H187">
        <v>5</v>
      </c>
      <c r="I187" cm="1">
        <f t="array" ref="I187">RhoC(I$3,$C$4,$H17,$D$4,0,$E$6)</f>
        <v>72.913289318308614</v>
      </c>
      <c r="J187" cm="1">
        <f t="array" ref="J187">RhoC(J$3,$C$4,$H17,$D$4,0,$E$6)</f>
        <v>87.156514480259176</v>
      </c>
      <c r="K187" cm="1">
        <f t="array" ref="K187">RhoC(K$3,$C$4,$H17,$D$4,0,$E$6)</f>
        <v>101.78771687584245</v>
      </c>
      <c r="L187" cm="1">
        <f t="array" ref="L187">RhoC(L$3,$C$4,$H17,$D$4,0,$E$6)</f>
        <v>116.61280707499485</v>
      </c>
      <c r="M187" cm="1">
        <f t="array" ref="M187">RhoC(M$3,$C$4,$H17,$D$4,0,$E$6)</f>
        <v>131.46822164902673</v>
      </c>
      <c r="N187" cm="1">
        <f t="array" ref="N187">RhoC(N$3,$C$4,$H17,$D$4,0,$E$6)</f>
        <v>146.2190337198065</v>
      </c>
      <c r="O187" cm="1">
        <f t="array" ref="O187">RhoC(O$3,$C$4,$H17,$D$4,0,$E$6)</f>
        <v>160.75618888968964</v>
      </c>
      <c r="P187" cm="1">
        <f t="array" ref="P187">RhoC(P$3,$C$4,$H17,$D$4,0,$E$6)</f>
        <v>174.99340189075156</v>
      </c>
      <c r="Q187" cm="1">
        <f t="array" ref="Q187">RhoC(Q$3,$C$4,$H17,$D$4,0,$E$6)</f>
        <v>188.86403749573628</v>
      </c>
      <c r="R187" cm="1">
        <f t="array" ref="R187">RhoC(R$3,$C$4,$H17,$D$4,0,$E$6)</f>
        <v>202.3181596575734</v>
      </c>
      <c r="S187" cm="1">
        <f t="array" ref="S187">RhoC(S$3,$C$4,$H17,$D$4,0,$E$6)</f>
        <v>215.31984323949447</v>
      </c>
      <c r="T187" cm="1">
        <f t="array" ref="T187">RhoC(T$3,$C$4,$H17,$D$4,0,$E$6)</f>
        <v>227.84478679255173</v>
      </c>
      <c r="U187" cm="1">
        <f t="array" ref="U187">RhoC(U$3,$C$4,$H17,$D$4,0,$E$6)</f>
        <v>239.87823120714447</v>
      </c>
      <c r="V187" cm="1">
        <f t="array" ref="V187">RhoC(V$3,$C$4,$H17,$D$4,0,$E$6)</f>
        <v>251.41316989180638</v>
      </c>
      <c r="W187" cm="1">
        <f t="array" ref="W187">RhoC(W$3,$C$4,$H17,$D$4,0,$E$6)</f>
        <v>262.44882616154143</v>
      </c>
      <c r="X187" cm="1">
        <f t="array" ref="X187">RhoC(X$3,$C$4,$H17,$D$4,0,$E$6)</f>
        <v>272.98936926815594</v>
      </c>
      <c r="Y187" cm="1">
        <f t="array" ref="Y187">RhoC(Y$3,$C$4,$H17,$D$4,0,$E$6)</f>
        <v>283.04283969966366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962F9-6060-0C4C-B167-4D67C3B3C2AF}">
  <sheetPr codeName="Foglio4"/>
  <dimension ref="B3:AS103"/>
  <sheetViews>
    <sheetView topLeftCell="AB50" zoomScale="80" zoomScaleNormal="80" workbookViewId="0">
      <selection activeCell="AK55" sqref="AK55"/>
    </sheetView>
  </sheetViews>
  <sheetFormatPr baseColWidth="10" defaultRowHeight="15" x14ac:dyDescent="0.2"/>
  <sheetData>
    <row r="3" spans="2:45" ht="31" x14ac:dyDescent="0.35">
      <c r="P3" s="9" t="s">
        <v>41</v>
      </c>
      <c r="AJ3" s="9" t="s">
        <v>43</v>
      </c>
    </row>
    <row r="4" spans="2:45" x14ac:dyDescent="0.2">
      <c r="B4" t="s">
        <v>31</v>
      </c>
      <c r="C4" t="s">
        <v>32</v>
      </c>
      <c r="D4" t="s">
        <v>33</v>
      </c>
    </row>
    <row r="5" spans="2:45" x14ac:dyDescent="0.2">
      <c r="B5">
        <v>100</v>
      </c>
      <c r="C5" s="1">
        <v>0.01</v>
      </c>
      <c r="D5">
        <v>0.2</v>
      </c>
      <c r="I5">
        <v>60</v>
      </c>
      <c r="J5">
        <v>65</v>
      </c>
      <c r="K5">
        <v>70</v>
      </c>
      <c r="L5">
        <v>75</v>
      </c>
      <c r="M5">
        <v>80</v>
      </c>
      <c r="N5">
        <v>85</v>
      </c>
      <c r="O5">
        <v>90</v>
      </c>
      <c r="P5">
        <v>95</v>
      </c>
      <c r="Q5">
        <v>100</v>
      </c>
      <c r="R5">
        <v>105</v>
      </c>
      <c r="S5">
        <v>110</v>
      </c>
      <c r="T5">
        <v>115</v>
      </c>
      <c r="U5">
        <v>120</v>
      </c>
      <c r="V5">
        <v>125</v>
      </c>
      <c r="W5">
        <v>130</v>
      </c>
      <c r="X5">
        <v>135</v>
      </c>
      <c r="Y5">
        <v>140</v>
      </c>
      <c r="AC5">
        <v>60</v>
      </c>
      <c r="AD5">
        <v>65</v>
      </c>
      <c r="AE5">
        <v>70</v>
      </c>
      <c r="AF5">
        <v>75</v>
      </c>
      <c r="AG5">
        <v>80</v>
      </c>
      <c r="AH5">
        <v>85</v>
      </c>
      <c r="AI5">
        <v>90</v>
      </c>
      <c r="AJ5">
        <v>95</v>
      </c>
      <c r="AK5">
        <v>100</v>
      </c>
      <c r="AL5">
        <v>105</v>
      </c>
      <c r="AM5">
        <v>110</v>
      </c>
      <c r="AN5">
        <v>115</v>
      </c>
      <c r="AO5">
        <v>120</v>
      </c>
      <c r="AP5">
        <v>125</v>
      </c>
      <c r="AQ5">
        <v>130</v>
      </c>
      <c r="AR5">
        <v>135</v>
      </c>
      <c r="AS5">
        <v>140</v>
      </c>
    </row>
    <row r="6" spans="2:45" x14ac:dyDescent="0.2">
      <c r="D6">
        <v>0.1</v>
      </c>
      <c r="H6">
        <v>0.1</v>
      </c>
      <c r="I6" cm="1">
        <f t="array" ref="I6">DeltaP(I$5,$B$5,$H6,$C$5,0,$D$5)</f>
        <v>-0.99999999999999956</v>
      </c>
      <c r="J6" cm="1">
        <f t="array" ref="J6">DeltaP(J$5,$B$5,$H6,$C$5,0,$D$5)</f>
        <v>-0.99999999999328104</v>
      </c>
      <c r="K6" cm="1">
        <f t="array" ref="K6">DeltaP(K$5,$B$5,$H6,$C$5,0,$D$5)</f>
        <v>-0.99999998878249752</v>
      </c>
      <c r="L6" cm="1">
        <f t="array" ref="L6">DeltaP(L$5,$B$5,$H6,$C$5,0,$D$5)</f>
        <v>-0.99999662175436721</v>
      </c>
      <c r="M6" cm="1">
        <f t="array" ref="M6">DeltaP(M$5,$B$5,$H6,$C$5,0,$D$5)</f>
        <v>-0.99975001751527426</v>
      </c>
      <c r="N6" cm="1">
        <f t="array" ref="N6">DeltaP(N$5,$B$5,$H6,$C$5,0,$D$5)</f>
        <v>-0.99416909186209745</v>
      </c>
      <c r="O6" cm="1">
        <f t="array" ref="O6">DeltaP(O$5,$B$5,$H6,$C$5,0,$D$5)</f>
        <v>-0.94721845000306515</v>
      </c>
      <c r="P6" cm="1">
        <f t="array" ref="P6">DeltaP(P$5,$B$5,$H6,$C$5,0,$D$5)</f>
        <v>-0.77744241537585546</v>
      </c>
      <c r="Q6" cm="1">
        <f t="array" ref="Q6">DeltaP(Q$5,$B$5,$H6,$C$5,0,$D$5)</f>
        <v>-0.48108360000070366</v>
      </c>
      <c r="R6" cm="1">
        <f t="array" ref="R6">DeltaP(R$5,$B$5,$H6,$C$5,0,$D$5)</f>
        <v>-0.20642903973843518</v>
      </c>
      <c r="S6" cm="1">
        <f t="array" ref="S6">DeltaP(S$5,$B$5,$H6,$C$5,0,$D$5)</f>
        <v>-6.004208194535085E-2</v>
      </c>
      <c r="T6" cm="1">
        <f t="array" ref="T6">DeltaP(T$5,$B$5,$H6,$C$5,0,$D$5)</f>
        <v>-1.1995775931455139E-2</v>
      </c>
      <c r="U6" cm="1">
        <f t="array" ref="U6">DeltaP(U$5,$B$5,$H6,$C$5,0,$D$5)</f>
        <v>-1.6937680607602703E-3</v>
      </c>
      <c r="V6" cm="1">
        <f t="array" ref="V6">DeltaP(V$5,$B$5,$H6,$C$5,0,$D$5)</f>
        <v>-1.7468373585424572E-4</v>
      </c>
      <c r="W6" cm="1">
        <f t="array" ref="W6">DeltaP(W$5,$B$5,$H6,$C$5,0,$D$5)</f>
        <v>-1.3596859818608146E-5</v>
      </c>
      <c r="X6" cm="1">
        <f t="array" ref="X6">DeltaP(X$5,$B$5,$H6,$C$5,0,$D$5)</f>
        <v>-8.2356076319273738E-7</v>
      </c>
      <c r="Y6" cm="1">
        <f t="array" ref="Y6">DeltaP(Y$5,$B$5,$H6,$C$5,0,$D$5)</f>
        <v>-3.9911703254285056E-8</v>
      </c>
      <c r="AB6">
        <v>0.1</v>
      </c>
      <c r="AC6" cm="1">
        <f t="array" ref="AC6">DeltaP(AC$5,$B$5,$H6,$C$5,0,$D$6)</f>
        <v>-1</v>
      </c>
      <c r="AD6" cm="1">
        <f t="array" ref="AD6">DeltaP(AD$5,$B$5,$H6,$C$5,0,$D$6)</f>
        <v>-1</v>
      </c>
      <c r="AE6" cm="1">
        <f t="array" ref="AE6">DeltaP(AE$5,$B$5,$H6,$C$5,0,$D$6)</f>
        <v>-1</v>
      </c>
      <c r="AF6" cm="1">
        <f t="array" ref="AF6">DeltaP(AF$5,$B$5,$H6,$C$5,0,$D$6)</f>
        <v>-1</v>
      </c>
      <c r="AG6" cm="1">
        <f t="array" ref="AG6">DeltaP(AG$5,$B$5,$H6,$C$5,0,$D$6)</f>
        <v>-0.99999999999879974</v>
      </c>
      <c r="AH6" cm="1">
        <f t="array" ref="AH6">DeltaP(AH$5,$B$5,$H6,$C$5,0,$D$6)</f>
        <v>-0.99999982272133159</v>
      </c>
      <c r="AI6" cm="1">
        <f t="array" ref="AI6">DeltaP(AI$5,$B$5,$H6,$C$5,0,$D$6)</f>
        <v>-0.99948892482853091</v>
      </c>
      <c r="AJ6" cm="1">
        <f t="array" ref="AJ6">DeltaP(AJ$5,$B$5,$H6,$C$5,0,$D$6)</f>
        <v>-0.94232585548392311</v>
      </c>
      <c r="AK6" cm="1">
        <f t="array" ref="AK6">DeltaP(AK$5,$B$5,$H6,$C$5,0,$D$6)</f>
        <v>-0.48108360000070366</v>
      </c>
      <c r="AL6" cm="1">
        <f t="array" ref="AL6">DeltaP(AL$5,$B$5,$H6,$C$5,0,$D$6)</f>
        <v>-5.5881951625111177E-2</v>
      </c>
      <c r="AM6" cm="1">
        <f t="array" ref="AM6">DeltaP(AM$5,$B$5,$H6,$C$5,0,$D$6)</f>
        <v>-1.1014982272458357E-3</v>
      </c>
      <c r="AN6" cm="1">
        <f t="array" ref="AN6">DeltaP(AN$5,$B$5,$H6,$C$5,0,$D$6)</f>
        <v>-3.9644491274302264E-6</v>
      </c>
      <c r="AO6" cm="1">
        <f t="array" ref="AO6">DeltaP(AO$5,$B$5,$H6,$C$5,0,$D$6)</f>
        <v>-3.0691062048462858E-9</v>
      </c>
      <c r="AP6" cm="1">
        <f t="array" ref="AP6">DeltaP(AP$5,$B$5,$H6,$C$5,0,$D$6)</f>
        <v>-6.066302332328684E-13</v>
      </c>
      <c r="AQ6" cm="1">
        <f t="array" ref="AQ6">DeltaP(AQ$5,$B$5,$H6,$C$5,0,$D$6)</f>
        <v>-3.5872846453988636E-17</v>
      </c>
      <c r="AR6" cm="1">
        <f t="array" ref="AR6">DeltaP(AR$5,$B$5,$H6,$C$5,0,$D$6)</f>
        <v>-7.3105821584724668E-22</v>
      </c>
      <c r="AS6" cm="1">
        <f t="array" ref="AS6">DeltaP(AS$5,$B$5,$H6,$C$5,0,$D$6)</f>
        <v>-5.8158426337253728E-27</v>
      </c>
    </row>
    <row r="7" spans="2:45" x14ac:dyDescent="0.2">
      <c r="D7">
        <v>0.3</v>
      </c>
      <c r="H7">
        <v>0.2</v>
      </c>
      <c r="I7" cm="1">
        <f t="array" ref="I7">DeltaP(I$5,$B$5,$H7,$C$5,0,$D$5)</f>
        <v>-0.99999999169868692</v>
      </c>
      <c r="J7" cm="1">
        <f t="array" ref="J7">DeltaP(J$5,$B$5,$H7,$C$5,0,$D$5)</f>
        <v>-0.99999897897324108</v>
      </c>
      <c r="K7" cm="1">
        <f t="array" ref="K7">DeltaP(K$5,$B$5,$H7,$C$5,0,$D$5)</f>
        <v>-0.99995584753698585</v>
      </c>
      <c r="L7" cm="1">
        <f t="array" ref="L7">DeltaP(L$5,$B$5,$H7,$C$5,0,$D$5)</f>
        <v>-0.99918169321756944</v>
      </c>
      <c r="M7" cm="1">
        <f t="array" ref="M7">DeltaP(M$5,$B$5,$H7,$C$5,0,$D$5)</f>
        <v>-0.99240335756181086</v>
      </c>
      <c r="N7" cm="1">
        <f t="array" ref="N7">DeltaP(N$5,$B$5,$H7,$C$5,0,$D$5)</f>
        <v>-0.95993522017554</v>
      </c>
      <c r="O7" cm="1">
        <f t="array" ref="O7">DeltaP(O$5,$B$5,$H7,$C$5,0,$D$5)</f>
        <v>-0.86669093075219805</v>
      </c>
      <c r="P7" cm="1">
        <f t="array" ref="P7">DeltaP(P$5,$B$5,$H7,$C$5,0,$D$5)</f>
        <v>-0.6937101065655854</v>
      </c>
      <c r="Q7" cm="1">
        <f t="array" ref="Q7">DeltaP(Q$5,$B$5,$H7,$C$5,0,$D$5)</f>
        <v>-0.4732581961130774</v>
      </c>
      <c r="R7" cm="1">
        <f t="array" ref="R7">DeltaP(R$5,$B$5,$H7,$C$5,0,$D$5)</f>
        <v>-0.27007947091758511</v>
      </c>
      <c r="S7" cm="1">
        <f t="array" ref="S7">DeltaP(S$5,$B$5,$H7,$C$5,0,$D$5)</f>
        <v>-0.12867385834263267</v>
      </c>
      <c r="T7" cm="1">
        <f t="array" ref="T7">DeltaP(T$5,$B$5,$H7,$C$5,0,$D$5)</f>
        <v>-5.1585835851565072E-2</v>
      </c>
      <c r="U7" cm="1">
        <f t="array" ref="U7">DeltaP(U$5,$B$5,$H7,$C$5,0,$D$5)</f>
        <v>-1.7623946568294774E-2</v>
      </c>
      <c r="V7" cm="1">
        <f t="array" ref="V7">DeltaP(V$5,$B$5,$H7,$C$5,0,$D$5)</f>
        <v>-5.2050226213751008E-3</v>
      </c>
      <c r="W7" cm="1">
        <f t="array" ref="W7">DeltaP(W$5,$B$5,$H7,$C$5,0,$D$5)</f>
        <v>-1.3481100199207346E-3</v>
      </c>
      <c r="X7" cm="1">
        <f t="array" ref="X7">DeltaP(X$5,$B$5,$H7,$C$5,0,$D$5)</f>
        <v>-3.1040784564703841E-4</v>
      </c>
      <c r="Y7" cm="1">
        <f t="array" ref="Y7">DeltaP(Y$5,$B$5,$H7,$C$5,0,$D$5)</f>
        <v>-6.4344002938558027E-5</v>
      </c>
      <c r="AB7">
        <v>0.2</v>
      </c>
      <c r="AC7" cm="1">
        <f t="array" ref="AC7">DeltaP(AC$5,$B$5,$H7,$C$5,0,$D$6)</f>
        <v>-1</v>
      </c>
      <c r="AD7" cm="1">
        <f t="array" ref="AD7">DeltaP(AD$5,$B$5,$H7,$C$5,0,$D$6)</f>
        <v>-1</v>
      </c>
      <c r="AE7" cm="1">
        <f t="array" ref="AE7">DeltaP(AE$5,$B$5,$H7,$C$5,0,$D$6)</f>
        <v>-0.99999999999999867</v>
      </c>
      <c r="AF7" cm="1">
        <f t="array" ref="AF7">DeltaP(AF$5,$B$5,$H7,$C$5,0,$D$6)</f>
        <v>-0.99999999990278976</v>
      </c>
      <c r="AG7" cm="1">
        <f t="array" ref="AG7">DeltaP(AG$5,$B$5,$H7,$C$5,0,$D$6)</f>
        <v>-0.99999957290199704</v>
      </c>
      <c r="AH7" cm="1">
        <f t="array" ref="AH7">DeltaP(AH$5,$B$5,$H7,$C$5,0,$D$6)</f>
        <v>-0.99981942099236665</v>
      </c>
      <c r="AI7" cm="1">
        <f t="array" ref="AI7">DeltaP(AI$5,$B$5,$H7,$C$5,0,$D$6)</f>
        <v>-0.9889559860924052</v>
      </c>
      <c r="AJ7" cm="1">
        <f t="array" ref="AJ7">DeltaP(AJ$5,$B$5,$H7,$C$5,0,$D$6)</f>
        <v>-0.85990016135422198</v>
      </c>
      <c r="AK7" cm="1">
        <f t="array" ref="AK7">DeltaP(AK$5,$B$5,$H7,$C$5,0,$D$6)</f>
        <v>-0.4732581961130774</v>
      </c>
      <c r="AL7" cm="1">
        <f t="array" ref="AL7">DeltaP(AL$5,$B$5,$H7,$C$5,0,$D$6)</f>
        <v>-0.12341910750431645</v>
      </c>
      <c r="AM7" cm="1">
        <f t="array" ref="AM7">DeltaP(AM$5,$B$5,$H7,$C$5,0,$D$6)</f>
        <v>-1.3964492157249439E-2</v>
      </c>
      <c r="AN7" cm="1">
        <f t="array" ref="AN7">DeltaP(AN$5,$B$5,$H7,$C$5,0,$D$6)</f>
        <v>-7.0583548483334798E-4</v>
      </c>
      <c r="AO7" cm="1">
        <f t="array" ref="AO7">DeltaP(AO$5,$B$5,$H7,$C$5,0,$D$6)</f>
        <v>-1.7071243458432288E-5</v>
      </c>
      <c r="AP7" cm="1">
        <f t="array" ref="AP7">DeltaP(AP$5,$B$5,$H7,$C$5,0,$D$6)</f>
        <v>-2.1326043168336309E-7</v>
      </c>
      <c r="AQ7" cm="1">
        <f t="array" ref="AQ7">DeltaP(AQ$5,$B$5,$H7,$C$5,0,$D$6)</f>
        <v>-1.4806853781082097E-9</v>
      </c>
      <c r="AR7" cm="1">
        <f t="array" ref="AR7">DeltaP(AR$5,$B$5,$H7,$C$5,0,$D$6)</f>
        <v>-6.1083835282147093E-12</v>
      </c>
      <c r="AS7" cm="1">
        <f t="array" ref="AS7">DeltaP(AS$5,$B$5,$H7,$C$5,0,$D$6)</f>
        <v>-1.5893140941023984E-14</v>
      </c>
    </row>
    <row r="8" spans="2:45" x14ac:dyDescent="0.2">
      <c r="H8">
        <v>0.3</v>
      </c>
      <c r="I8" cm="1">
        <f t="array" ref="I8">DeltaP(I$5,$B$5,$H8,$C$5,0,$D$5)</f>
        <v>-0.99999768643466735</v>
      </c>
      <c r="J8" cm="1">
        <f t="array" ref="J8">DeltaP(J$5,$B$5,$H8,$C$5,0,$D$5)</f>
        <v>-0.99994102148184927</v>
      </c>
      <c r="K8" cm="1">
        <f t="array" ref="K8">DeltaP(K$5,$B$5,$H8,$C$5,0,$D$5)</f>
        <v>-0.99924777425081568</v>
      </c>
      <c r="L8" cm="1">
        <f t="array" ref="L8">DeltaP(L$5,$B$5,$H8,$C$5,0,$D$5)</f>
        <v>-0.99452056537245881</v>
      </c>
      <c r="M8" cm="1">
        <f t="array" ref="M8">DeltaP(M$5,$B$5,$H8,$C$5,0,$D$5)</f>
        <v>-0.97469986071626091</v>
      </c>
      <c r="N8" cm="1">
        <f t="array" ref="N8">DeltaP(N$5,$B$5,$H8,$C$5,0,$D$5)</f>
        <v>-0.91945718869685844</v>
      </c>
      <c r="O8" cm="1">
        <f t="array" ref="O8">DeltaP(O$5,$B$5,$H8,$C$5,0,$D$5)</f>
        <v>-0.81047475187222262</v>
      </c>
      <c r="P8" cm="1">
        <f t="array" ref="P8">DeltaP(P$5,$B$5,$H8,$C$5,0,$D$5)</f>
        <v>-0.65028247031978481</v>
      </c>
      <c r="Q8" cm="1">
        <f t="array" ref="Q8">DeltaP(Q$5,$B$5,$H8,$C$5,0,$D$5)</f>
        <v>-0.46726038328732289</v>
      </c>
      <c r="R8" cm="1">
        <f t="array" ref="R8">DeltaP(R$5,$B$5,$H8,$C$5,0,$D$5)</f>
        <v>-0.29890598798456552</v>
      </c>
      <c r="S8" cm="1">
        <f t="array" ref="S8">DeltaP(S$5,$B$5,$H8,$C$5,0,$D$5)</f>
        <v>-0.17049339258313839</v>
      </c>
      <c r="T8" cm="1">
        <f t="array" ref="T8">DeltaP(T$5,$B$5,$H8,$C$5,0,$D$5)</f>
        <v>-8.7231124066456153E-2</v>
      </c>
      <c r="U8" cm="1">
        <f t="array" ref="U8">DeltaP(U$5,$B$5,$H8,$C$5,0,$D$5)</f>
        <v>-4.036041523865138E-2</v>
      </c>
      <c r="V8" cm="1">
        <f t="array" ref="V8">DeltaP(V$5,$B$5,$H8,$C$5,0,$D$5)</f>
        <v>-1.7038009338831386E-2</v>
      </c>
      <c r="W8" cm="1">
        <f t="array" ref="W8">DeltaP(W$5,$B$5,$H8,$C$5,0,$D$5)</f>
        <v>-6.6207821485190976E-3</v>
      </c>
      <c r="X8" cm="1">
        <f t="array" ref="X8">DeltaP(X$5,$B$5,$H8,$C$5,0,$D$5)</f>
        <v>-2.3882986824037885E-3</v>
      </c>
      <c r="Y8" cm="1">
        <f t="array" ref="Y8">DeltaP(Y$5,$B$5,$H8,$C$5,0,$D$5)</f>
        <v>-8.0603046628095721E-4</v>
      </c>
      <c r="AB8">
        <v>0.3</v>
      </c>
      <c r="AC8" cm="1">
        <f t="array" ref="AC8">DeltaP(AC$5,$B$5,$H8,$C$5,0,$D$6)</f>
        <v>-1</v>
      </c>
      <c r="AD8" cm="1">
        <f t="array" ref="AD8">DeltaP(AD$5,$B$5,$H8,$C$5,0,$D$6)</f>
        <v>-0.99999999999999645</v>
      </c>
      <c r="AE8" cm="1">
        <f t="array" ref="AE8">DeltaP(AE$5,$B$5,$H8,$C$5,0,$D$6)</f>
        <v>-0.99999999993611632</v>
      </c>
      <c r="AF8" cm="1">
        <f t="array" ref="AF8">DeltaP(AF$5,$B$5,$H8,$C$5,0,$D$6)</f>
        <v>-0.99999988306170484</v>
      </c>
      <c r="AG8" cm="1">
        <f t="array" ref="AG8">DeltaP(AG$5,$B$5,$H8,$C$5,0,$D$6)</f>
        <v>-0.99996722240854641</v>
      </c>
      <c r="AH8" cm="1">
        <f t="array" ref="AH8">DeltaP(AH$5,$B$5,$H8,$C$5,0,$D$6)</f>
        <v>-0.99804304196816829</v>
      </c>
      <c r="AI8" cm="1">
        <f t="array" ref="AI8">DeltaP(AI$5,$B$5,$H8,$C$5,0,$D$6)</f>
        <v>-0.96722237353959195</v>
      </c>
      <c r="AJ8" cm="1">
        <f t="array" ref="AJ8">DeltaP(AJ$5,$B$5,$H8,$C$5,0,$D$6)</f>
        <v>-0.80353746475916554</v>
      </c>
      <c r="AK8" cm="1">
        <f t="array" ref="AK8">DeltaP(AK$5,$B$5,$H8,$C$5,0,$D$6)</f>
        <v>-0.46726038328732289</v>
      </c>
      <c r="AL8" cm="1">
        <f t="array" ref="AL8">DeltaP(AL$5,$B$5,$H8,$C$5,0,$D$6)</f>
        <v>-0.16529135445498921</v>
      </c>
      <c r="AM8" cm="1">
        <f t="array" ref="AM8">DeltaP(AM$5,$B$5,$H8,$C$5,0,$D$6)</f>
        <v>-3.4206541384868477E-2</v>
      </c>
      <c r="AN8" cm="1">
        <f t="array" ref="AN8">DeltaP(AN$5,$B$5,$H8,$C$5,0,$D$6)</f>
        <v>-4.2211304545770678E-3</v>
      </c>
      <c r="AO8" cm="1">
        <f t="array" ref="AO8">DeltaP(AO$5,$B$5,$H8,$C$5,0,$D$6)</f>
        <v>-3.2376867290068135E-4</v>
      </c>
      <c r="AP8" cm="1">
        <f t="array" ref="AP8">DeltaP(AP$5,$B$5,$H8,$C$5,0,$D$6)</f>
        <v>-1.6180389819517839E-5</v>
      </c>
      <c r="AQ8" cm="1">
        <f t="array" ref="AQ8">DeltaP(AQ$5,$B$5,$H8,$C$5,0,$D$6)</f>
        <v>-5.5166492775026916E-7</v>
      </c>
      <c r="AR8" cm="1">
        <f t="array" ref="AR8">DeltaP(AR$5,$B$5,$H8,$C$5,0,$D$6)</f>
        <v>-1.3389116689844637E-8</v>
      </c>
      <c r="AS8" cm="1">
        <f t="array" ref="AS8">DeltaP(AS$5,$B$5,$H8,$C$5,0,$D$6)</f>
        <v>-2.4035933411246407E-10</v>
      </c>
    </row>
    <row r="9" spans="2:45" x14ac:dyDescent="0.2">
      <c r="G9" t="s">
        <v>47</v>
      </c>
      <c r="H9">
        <v>0.4</v>
      </c>
      <c r="I9" cm="1">
        <f t="array" ref="I9">DeltaP(I$5,$B$5,$H9,$C$5,0,$D$5)</f>
        <v>-0.99995986002457549</v>
      </c>
      <c r="J9" cm="1">
        <f t="array" ref="J9">DeltaP(J$5,$B$5,$H9,$C$5,0,$D$5)</f>
        <v>-0.99953480118587623</v>
      </c>
      <c r="K9" cm="1">
        <f t="array" ref="K9">DeltaP(K$5,$B$5,$H9,$C$5,0,$D$5)</f>
        <v>-0.99678390000441497</v>
      </c>
      <c r="L9" cm="1">
        <f t="array" ref="L9">DeltaP(L$5,$B$5,$H9,$C$5,0,$D$5)</f>
        <v>-0.98535117473071088</v>
      </c>
      <c r="M9" cm="1">
        <f t="array" ref="M9">DeltaP(M$5,$B$5,$H9,$C$5,0,$D$5)</f>
        <v>-0.95246472444071939</v>
      </c>
      <c r="N9" cm="1">
        <f t="array" ref="N9">DeltaP(N$5,$B$5,$H9,$C$5,0,$D$5)</f>
        <v>-0.88296827878765527</v>
      </c>
      <c r="O9" cm="1">
        <f t="array" ref="O9">DeltaP(O$5,$B$5,$H9,$C$5,0,$D$5)</f>
        <v>-0.76976698530142718</v>
      </c>
      <c r="P9" cm="1">
        <f t="array" ref="P9">DeltaP(P$5,$B$5,$H9,$C$5,0,$D$5)</f>
        <v>-0.62196313433435235</v>
      </c>
      <c r="Q9" cm="1">
        <f t="array" ref="Q9">DeltaP(Q$5,$B$5,$H9,$C$5,0,$D$5)</f>
        <v>-0.46220970609333534</v>
      </c>
      <c r="R9" cm="1">
        <f t="array" ref="R9">DeltaP(R$5,$B$5,$H9,$C$5,0,$D$5)</f>
        <v>-0.31540451463442365</v>
      </c>
      <c r="S9" cm="1">
        <f t="array" ref="S9">DeltaP(S$5,$B$5,$H9,$C$5,0,$D$5)</f>
        <v>-0.19811834940327069</v>
      </c>
      <c r="T9" cm="1">
        <f t="array" ref="T9">DeltaP(T$5,$B$5,$H9,$C$5,0,$D$5)</f>
        <v>-0.11511171694608567</v>
      </c>
      <c r="U9" cm="1">
        <f t="array" ref="U9">DeltaP(U$5,$B$5,$H9,$C$5,0,$D$5)</f>
        <v>-6.2238931546006571E-2</v>
      </c>
      <c r="V9" cm="1">
        <f t="array" ref="V9">DeltaP(V$5,$B$5,$H9,$C$5,0,$D$5)</f>
        <v>-3.1515482917612907E-2</v>
      </c>
      <c r="W9" cm="1">
        <f t="array" ref="W9">DeltaP(W$5,$B$5,$H9,$C$5,0,$D$5)</f>
        <v>-1.5039825106780239E-2</v>
      </c>
      <c r="X9" cm="1">
        <f t="array" ref="X9">DeltaP(X$5,$B$5,$H9,$C$5,0,$D$5)</f>
        <v>-6.804845904624054E-3</v>
      </c>
      <c r="Y9" cm="1">
        <f t="array" ref="Y9">DeltaP(Y$5,$B$5,$H9,$C$5,0,$D$5)</f>
        <v>-2.9353699446744148E-3</v>
      </c>
      <c r="AA9" t="s">
        <v>50</v>
      </c>
      <c r="AB9">
        <v>0.4</v>
      </c>
      <c r="AC9" cm="1">
        <f t="array" ref="AC9">DeltaP(AC$5,$B$5,$H9,$C$5,0,$D$6)</f>
        <v>-0.99999999999999933</v>
      </c>
      <c r="AD9" cm="1">
        <f t="array" ref="AD9">DeltaP(AD$5,$B$5,$H9,$C$5,0,$D$6)</f>
        <v>-0.99999999999068701</v>
      </c>
      <c r="AE9" cm="1">
        <f t="array" ref="AE9">DeltaP(AE$5,$B$5,$H9,$C$5,0,$D$6)</f>
        <v>-0.99999998527351153</v>
      </c>
      <c r="AF9" cm="1">
        <f t="array" ref="AF9">DeltaP(AF$5,$B$5,$H9,$C$5,0,$D$6)</f>
        <v>-0.9999957815132362</v>
      </c>
      <c r="AG9" cm="1">
        <f t="array" ref="AG9">DeltaP(AG$5,$B$5,$H9,$C$5,0,$D$6)</f>
        <v>-0.99970190412486359</v>
      </c>
      <c r="AH9" cm="1">
        <f t="array" ref="AH9">DeltaP(AH$5,$B$5,$H9,$C$5,0,$D$6)</f>
        <v>-0.99333411575638086</v>
      </c>
      <c r="AI9" cm="1">
        <f t="array" ref="AI9">DeltaP(AI$5,$B$5,$H9,$C$5,0,$D$6)</f>
        <v>-0.94191189201267966</v>
      </c>
      <c r="AJ9" cm="1">
        <f t="array" ref="AJ9">DeltaP(AJ$5,$B$5,$H9,$C$5,0,$D$6)</f>
        <v>-0.76305059187866298</v>
      </c>
      <c r="AK9" cm="1">
        <f t="array" ref="AK9">DeltaP(AK$5,$B$5,$H9,$C$5,0,$D$6)</f>
        <v>-0.46220970609333534</v>
      </c>
      <c r="AL9" cm="1">
        <f t="array" ref="AL9">DeltaP(AL$5,$B$5,$H9,$C$5,0,$D$6)</f>
        <v>-0.19316048645017739</v>
      </c>
      <c r="AM9" cm="1">
        <f t="array" ref="AM9">DeltaP(AM$5,$B$5,$H9,$C$5,0,$D$6)</f>
        <v>-5.4593883865311249E-2</v>
      </c>
      <c r="AN9" cm="1">
        <f t="array" ref="AN9">DeltaP(AN$5,$B$5,$H9,$C$5,0,$D$6)</f>
        <v>-1.0591727709338082E-2</v>
      </c>
      <c r="AO9" cm="1">
        <f t="array" ref="AO9">DeltaP(AO$5,$B$5,$H9,$C$5,0,$D$6)</f>
        <v>-1.4524545858777794E-3</v>
      </c>
      <c r="AP9" cm="1">
        <f t="array" ref="AP9">DeltaP(AP$5,$B$5,$H9,$C$5,0,$D$6)</f>
        <v>-1.4555918115330885E-4</v>
      </c>
      <c r="AQ9" cm="1">
        <f t="array" ref="AQ9">DeltaP(AQ$5,$B$5,$H9,$C$5,0,$D$6)</f>
        <v>-1.1017174953124101E-5</v>
      </c>
      <c r="AR9" cm="1">
        <f t="array" ref="AR9">DeltaP(AR$5,$B$5,$H9,$C$5,0,$D$6)</f>
        <v>-6.4939633819716792E-7</v>
      </c>
      <c r="AS9" cm="1">
        <f t="array" ref="AS9">DeltaP(AS$5,$B$5,$H9,$C$5,0,$D$6)</f>
        <v>-3.0650944703550691E-8</v>
      </c>
    </row>
    <row r="10" spans="2:45" x14ac:dyDescent="0.2">
      <c r="H10">
        <v>0.5</v>
      </c>
      <c r="I10" cm="1">
        <f t="array" ref="I10">DeltaP(I$5,$B$5,$H10,$C$5,0,$D$5)</f>
        <v>-0.99977256658213121</v>
      </c>
      <c r="J10" cm="1">
        <f t="array" ref="J10">DeltaP(J$5,$B$5,$H10,$C$5,0,$D$5)</f>
        <v>-0.99835909338440354</v>
      </c>
      <c r="K10" cm="1">
        <f t="array" ref="K10">DeltaP(K$5,$B$5,$H10,$C$5,0,$D$5)</f>
        <v>-0.99215411365915518</v>
      </c>
      <c r="L10" cm="1">
        <f t="array" ref="L10">DeltaP(L$5,$B$5,$H10,$C$5,0,$D$5)</f>
        <v>-0.9730819773171373</v>
      </c>
      <c r="M10" cm="1">
        <f t="array" ref="M10">DeltaP(M$5,$B$5,$H10,$C$5,0,$D$5)</f>
        <v>-0.9294621704192243</v>
      </c>
      <c r="N10" cm="1">
        <f t="array" ref="N10">DeltaP(N$5,$B$5,$H10,$C$5,0,$D$5)</f>
        <v>-0.8515527963544558</v>
      </c>
      <c r="O10" cm="1">
        <f t="array" ref="O10">DeltaP(O$5,$B$5,$H10,$C$5,0,$D$5)</f>
        <v>-0.73857075243609782</v>
      </c>
      <c r="P10" cm="1">
        <f t="array" ref="P10">DeltaP(P$5,$B$5,$H10,$C$5,0,$D$5)</f>
        <v>-0.60126869861810672</v>
      </c>
      <c r="Q10" cm="1">
        <f t="array" ref="Q10">DeltaP(Q$5,$B$5,$H10,$C$5,0,$D$5)</f>
        <v>-0.45776498668838594</v>
      </c>
      <c r="R10" cm="1">
        <f t="array" ref="R10">DeltaP(R$5,$B$5,$H10,$C$5,0,$D$5)</f>
        <v>-0.32597150372142969</v>
      </c>
      <c r="S10" cm="1">
        <f t="array" ref="S10">DeltaP(S$5,$B$5,$H10,$C$5,0,$D$5)</f>
        <v>-0.21769227036615266</v>
      </c>
      <c r="T10" cm="1">
        <f t="array" ref="T10">DeltaP(T$5,$B$5,$H10,$C$5,0,$D$5)</f>
        <v>-0.13690465629656193</v>
      </c>
      <c r="U10" cm="1">
        <f t="array" ref="U10">DeltaP(U$5,$B$5,$H10,$C$5,0,$D$5)</f>
        <v>-8.1466598279311589E-2</v>
      </c>
      <c r="V10" cm="1">
        <f t="array" ref="V10">DeltaP(V$5,$B$5,$H10,$C$5,0,$D$5)</f>
        <v>-4.60976761480009E-2</v>
      </c>
      <c r="W10" cm="1">
        <f t="array" ref="W10">DeltaP(W$5,$B$5,$H10,$C$5,0,$D$5)</f>
        <v>-2.492426166352682E-2</v>
      </c>
      <c r="X10" cm="1">
        <f t="array" ref="X10">DeltaP(X$5,$B$5,$H10,$C$5,0,$D$5)</f>
        <v>-1.2936058934507982E-2</v>
      </c>
      <c r="Y10" cm="1">
        <f t="array" ref="Y10">DeltaP(Y$5,$B$5,$H10,$C$5,0,$D$5)</f>
        <v>-6.4724055303691094E-3</v>
      </c>
      <c r="AB10">
        <v>0.5</v>
      </c>
      <c r="AC10" cm="1">
        <f t="array" ref="AC10">DeltaP(AC$5,$B$5,$H10,$C$5,0,$D$6)</f>
        <v>-0.99999999999945288</v>
      </c>
      <c r="AD10" cm="1">
        <f t="array" ref="AD10">DeltaP(AD$5,$B$5,$H10,$C$5,0,$D$6)</f>
        <v>-0.99999999892549984</v>
      </c>
      <c r="AE10" cm="1">
        <f t="array" ref="AE10">DeltaP(AE$5,$B$5,$H10,$C$5,0,$D$6)</f>
        <v>-0.99999960552141942</v>
      </c>
      <c r="AF10" cm="1">
        <f t="array" ref="AF10">DeltaP(AF$5,$B$5,$H10,$C$5,0,$D$6)</f>
        <v>-0.99996289573776764</v>
      </c>
      <c r="AG10" cm="1">
        <f t="array" ref="AG10">DeltaP(AG$5,$B$5,$H10,$C$5,0,$D$6)</f>
        <v>-0.99885449850928076</v>
      </c>
      <c r="AH10" cm="1">
        <f t="array" ref="AH10">DeltaP(AH$5,$B$5,$H10,$C$5,0,$D$6)</f>
        <v>-0.98582102812389361</v>
      </c>
      <c r="AI10" cm="1">
        <f t="array" ref="AI10">DeltaP(AI$5,$B$5,$H10,$C$5,0,$D$6)</f>
        <v>-0.91681414086730562</v>
      </c>
      <c r="AJ10" cm="1">
        <f t="array" ref="AJ10">DeltaP(AJ$5,$B$5,$H10,$C$5,0,$D$6)</f>
        <v>-0.73215074084786935</v>
      </c>
      <c r="AK10" cm="1">
        <f t="array" ref="AK10">DeltaP(AK$5,$B$5,$H10,$C$5,0,$D$6)</f>
        <v>-0.45776498668838594</v>
      </c>
      <c r="AL10" cm="1">
        <f t="array" ref="AL10">DeltaP(AL$5,$B$5,$H10,$C$5,0,$D$6)</f>
        <v>-0.21299766973229939</v>
      </c>
      <c r="AM10" cm="1">
        <f t="array" ref="AM10">DeltaP(AM$5,$B$5,$H10,$C$5,0,$D$6)</f>
        <v>-7.2979321151961679E-2</v>
      </c>
      <c r="AN10" cm="1">
        <f t="array" ref="AN10">DeltaP(AN$5,$B$5,$H10,$C$5,0,$D$6)</f>
        <v>-1.8643924359551426E-2</v>
      </c>
      <c r="AO10" cm="1">
        <f t="array" ref="AO10">DeltaP(AO$5,$B$5,$H10,$C$5,0,$D$6)</f>
        <v>-3.6321125620839552E-3</v>
      </c>
      <c r="AP10" cm="1">
        <f t="array" ref="AP10">DeltaP(AP$5,$B$5,$H10,$C$5,0,$D$6)</f>
        <v>-5.5355097682448055E-4</v>
      </c>
      <c r="AQ10" cm="1">
        <f t="array" ref="AQ10">DeltaP(AQ$5,$B$5,$H10,$C$5,0,$D$6)</f>
        <v>-6.7690820073004374E-5</v>
      </c>
      <c r="AR10" cm="1">
        <f t="array" ref="AR10">DeltaP(AR$5,$B$5,$H10,$C$5,0,$D$6)</f>
        <v>-6.8011094226088402E-6</v>
      </c>
      <c r="AS10" cm="1">
        <f t="array" ref="AS10">DeltaP(AS$5,$B$5,$H10,$C$5,0,$D$6)</f>
        <v>-5.7372667474871963E-7</v>
      </c>
    </row>
    <row r="11" spans="2:45" x14ac:dyDescent="0.2">
      <c r="H11">
        <v>0.6</v>
      </c>
      <c r="I11" cm="1">
        <f t="array" ref="I11">DeltaP(I$5,$B$5,$H11,$C$5,0,$D$5)</f>
        <v>-0.99926660684650404</v>
      </c>
      <c r="J11" cm="1">
        <f t="array" ref="J11">DeltaP(J$5,$B$5,$H11,$C$5,0,$D$5)</f>
        <v>-0.99614488265403034</v>
      </c>
      <c r="K11" cm="1">
        <f t="array" ref="K11">DeltaP(K$5,$B$5,$H11,$C$5,0,$D$5)</f>
        <v>-0.98559722139706984</v>
      </c>
      <c r="L11" cm="1">
        <f t="array" ref="L11">DeltaP(L$5,$B$5,$H11,$C$5,0,$D$5)</f>
        <v>-0.95913982788824037</v>
      </c>
      <c r="M11" cm="1">
        <f t="array" ref="M11">DeltaP(M$5,$B$5,$H11,$C$5,0,$D$5)</f>
        <v>-0.90728100884537732</v>
      </c>
      <c r="N11" cm="1">
        <f t="array" ref="N11">DeltaP(N$5,$B$5,$H11,$C$5,0,$D$5)</f>
        <v>-0.82455533749048882</v>
      </c>
      <c r="O11" cm="1">
        <f t="array" ref="O11">DeltaP(O$5,$B$5,$H11,$C$5,0,$D$5)</f>
        <v>-0.71359220714545868</v>
      </c>
      <c r="P11" cm="1">
        <f t="array" ref="P11">DeltaP(P$5,$B$5,$H11,$C$5,0,$D$5)</f>
        <v>-0.58508019991269511</v>
      </c>
      <c r="Q11" cm="1">
        <f t="array" ref="Q11">DeltaP(Q$5,$B$5,$H11,$C$5,0,$D$5)</f>
        <v>-0.45375117893531974</v>
      </c>
      <c r="R11" cm="1">
        <f t="array" ref="R11">DeltaP(R$5,$B$5,$H11,$C$5,0,$D$5)</f>
        <v>-0.33318741279258823</v>
      </c>
      <c r="S11" cm="1">
        <f t="array" ref="S11">DeltaP(S$5,$B$5,$H11,$C$5,0,$D$5)</f>
        <v>-0.23226313823370343</v>
      </c>
      <c r="T11" cm="1">
        <f t="array" ref="T11">DeltaP(T$5,$B$5,$H11,$C$5,0,$D$5)</f>
        <v>-0.15425607458895979</v>
      </c>
      <c r="U11" cm="1">
        <f t="array" ref="U11">DeltaP(U$5,$B$5,$H11,$C$5,0,$D$5)</f>
        <v>-9.7993409558041228E-2</v>
      </c>
      <c r="V11" cm="1">
        <f t="array" ref="V11">DeltaP(V$5,$B$5,$H11,$C$5,0,$D$5)</f>
        <v>-5.9785719848803091E-2</v>
      </c>
      <c r="W11" cm="1">
        <f t="array" ref="W11">DeltaP(W$5,$B$5,$H11,$C$5,0,$D$5)</f>
        <v>-3.5167783159818146E-2</v>
      </c>
      <c r="X11" cm="1">
        <f t="array" ref="X11">DeltaP(X$5,$B$5,$H11,$C$5,0,$D$5)</f>
        <v>-2.0019016420614592E-2</v>
      </c>
      <c r="Y11" cm="1">
        <f t="array" ref="Y11">DeltaP(Y$5,$B$5,$H11,$C$5,0,$D$5)</f>
        <v>-1.1065603183766152E-2</v>
      </c>
      <c r="AB11">
        <v>0.6</v>
      </c>
      <c r="AC11" cm="1">
        <f t="array" ref="AC11">DeltaP(AC$5,$B$5,$H11,$C$5,0,$D$6)</f>
        <v>-0.99999999995369315</v>
      </c>
      <c r="AD11" cm="1">
        <f t="array" ref="AD11">DeltaP(AD$5,$B$5,$H11,$C$5,0,$D$6)</f>
        <v>-0.99999997412552788</v>
      </c>
      <c r="AE11" cm="1">
        <f t="array" ref="AE11">DeltaP(AE$5,$B$5,$H11,$C$5,0,$D$6)</f>
        <v>-0.99999641307660381</v>
      </c>
      <c r="AF11" cm="1">
        <f t="array" ref="AF11">DeltaP(AF$5,$B$5,$H11,$C$5,0,$D$6)</f>
        <v>-0.99983952143013566</v>
      </c>
      <c r="AG11" cm="1">
        <f t="array" ref="AG11">DeltaP(AG$5,$B$5,$H11,$C$5,0,$D$6)</f>
        <v>-0.99715020541618327</v>
      </c>
      <c r="AH11" cm="1">
        <f t="array" ref="AH11">DeltaP(AH$5,$B$5,$H11,$C$5,0,$D$6)</f>
        <v>-0.97625595044034874</v>
      </c>
      <c r="AI11" cm="1">
        <f t="array" ref="AI11">DeltaP(AI$5,$B$5,$H11,$C$5,0,$D$6)</f>
        <v>-0.89325185776813143</v>
      </c>
      <c r="AJ11" cm="1">
        <f t="array" ref="AJ11">DeltaP(AJ$5,$B$5,$H11,$C$5,0,$D$6)</f>
        <v>-0.70746843461389441</v>
      </c>
      <c r="AK11" cm="1">
        <f t="array" ref="AK11">DeltaP(AK$5,$B$5,$H11,$C$5,0,$D$6)</f>
        <v>-0.45375117893531974</v>
      </c>
      <c r="AL11" cm="1">
        <f t="array" ref="AL11">DeltaP(AL$5,$B$5,$H11,$C$5,0,$D$6)</f>
        <v>-0.22781322631362885</v>
      </c>
      <c r="AM11" cm="1">
        <f t="array" ref="AM11">DeltaP(AM$5,$B$5,$H11,$C$5,0,$D$6)</f>
        <v>-8.9048323051647046E-2</v>
      </c>
      <c r="AN11" cm="1">
        <f t="array" ref="AN11">DeltaP(AN$5,$B$5,$H11,$C$5,0,$D$6)</f>
        <v>-2.7396855446360176E-2</v>
      </c>
      <c r="AO11" cm="1">
        <f t="array" ref="AO11">DeltaP(AO$5,$B$5,$H11,$C$5,0,$D$6)</f>
        <v>-6.756584119206762E-3</v>
      </c>
      <c r="AP11" cm="1">
        <f t="array" ref="AP11">DeltaP(AP$5,$B$5,$H11,$C$5,0,$D$6)</f>
        <v>-1.3634308405563881E-3</v>
      </c>
      <c r="AQ11" cm="1">
        <f t="array" ref="AQ11">DeltaP(AQ$5,$B$5,$H11,$C$5,0,$D$6)</f>
        <v>-2.2976787752918579E-4</v>
      </c>
      <c r="AR11" cm="1">
        <f t="array" ref="AR11">DeltaP(AR$5,$B$5,$H11,$C$5,0,$D$6)</f>
        <v>-3.2963859568694586E-5</v>
      </c>
      <c r="AS11" cm="1">
        <f t="array" ref="AS11">DeltaP(AS$5,$B$5,$H11,$C$5,0,$D$6)</f>
        <v>-4.0974588342291611E-6</v>
      </c>
    </row>
    <row r="12" spans="2:45" x14ac:dyDescent="0.2">
      <c r="H12">
        <v>0.7</v>
      </c>
      <c r="I12" cm="1">
        <f t="array" ref="I12">DeltaP(I$5,$B$5,$H12,$C$5,0,$D$5)</f>
        <v>-0.99829022958946334</v>
      </c>
      <c r="J12" cm="1">
        <f t="array" ref="J12">DeltaP(J$5,$B$5,$H12,$C$5,0,$D$5)</f>
        <v>-0.99283576290387021</v>
      </c>
      <c r="K12" cm="1">
        <f t="array" ref="K12">DeltaP(K$5,$B$5,$H12,$C$5,0,$D$5)</f>
        <v>-0.97757408881603791</v>
      </c>
      <c r="L12" cm="1">
        <f t="array" ref="L12">DeltaP(L$5,$B$5,$H12,$C$5,0,$D$5)</f>
        <v>-0.94450176292646359</v>
      </c>
      <c r="M12" cm="1">
        <f t="array" ref="M12">DeltaP(M$5,$B$5,$H12,$C$5,0,$D$5)</f>
        <v>-0.88648382673497517</v>
      </c>
      <c r="N12" cm="1">
        <f t="array" ref="N12">DeltaP(N$5,$B$5,$H12,$C$5,0,$D$5)</f>
        <v>-0.80115036351573243</v>
      </c>
      <c r="O12" cm="1">
        <f t="array" ref="O12">DeltaP(O$5,$B$5,$H12,$C$5,0,$D$5)</f>
        <v>-0.69292219222946594</v>
      </c>
      <c r="P12" cm="1">
        <f t="array" ref="P12">DeltaP(P$5,$B$5,$H12,$C$5,0,$D$5)</f>
        <v>-0.57183075677667916</v>
      </c>
      <c r="Q12" cm="1">
        <f t="array" ref="Q12">DeltaP(Q$5,$B$5,$H12,$C$5,0,$D$5)</f>
        <v>-0.45006425675703959</v>
      </c>
      <c r="R12" cm="1">
        <f t="array" ref="R12">DeltaP(R$5,$B$5,$H12,$C$5,0,$D$5)</f>
        <v>-0.33831140787767133</v>
      </c>
      <c r="S12" cm="1">
        <f t="array" ref="S12">DeltaP(S$5,$B$5,$H12,$C$5,0,$D$5)</f>
        <v>-0.2435006186136095</v>
      </c>
      <c r="T12" cm="1">
        <f t="array" ref="T12">DeltaP(T$5,$B$5,$H12,$C$5,0,$D$5)</f>
        <v>-0.16834237110652897</v>
      </c>
      <c r="U12" cm="1">
        <f t="array" ref="U12">DeltaP(U$5,$B$5,$H12,$C$5,0,$D$5)</f>
        <v>-0.112168036776263</v>
      </c>
      <c r="V12" cm="1">
        <f t="array" ref="V12">DeltaP(V$5,$B$5,$H12,$C$5,0,$D$5)</f>
        <v>-7.2277491513736039E-2</v>
      </c>
      <c r="W12" cm="1">
        <f t="array" ref="W12">DeltaP(W$5,$B$5,$H12,$C$5,0,$D$5)</f>
        <v>-4.5187263769139709E-2</v>
      </c>
      <c r="X12" cm="1">
        <f t="array" ref="X12">DeltaP(X$5,$B$5,$H12,$C$5,0,$D$5)</f>
        <v>-2.7494256589391357E-2</v>
      </c>
      <c r="Y12" cm="1">
        <f t="array" ref="Y12">DeltaP(Y$5,$B$5,$H12,$C$5,0,$D$5)</f>
        <v>-1.6327271792869819E-2</v>
      </c>
      <c r="AB12">
        <v>0.7</v>
      </c>
      <c r="AC12" cm="1">
        <f t="array" ref="AC12">DeltaP(AC$5,$B$5,$H12,$C$5,0,$D$6)</f>
        <v>-0.9999999988845516</v>
      </c>
      <c r="AD12" cm="1">
        <f t="array" ref="AD12">DeltaP(AD$5,$B$5,$H12,$C$5,0,$D$6)</f>
        <v>-0.99999974609953168</v>
      </c>
      <c r="AE12" cm="1">
        <f t="array" ref="AE12">DeltaP(AE$5,$B$5,$H12,$C$5,0,$D$6)</f>
        <v>-0.9999824507459707</v>
      </c>
      <c r="AF12" cm="1">
        <f t="array" ref="AF12">DeltaP(AF$5,$B$5,$H12,$C$5,0,$D$6)</f>
        <v>-0.99953842815149707</v>
      </c>
      <c r="AG12" cm="1">
        <f t="array" ref="AG12">DeltaP(AG$5,$B$5,$H12,$C$5,0,$D$6)</f>
        <v>-0.99448231126656217</v>
      </c>
      <c r="AH12" cm="1">
        <f t="array" ref="AH12">DeltaP(AH$5,$B$5,$H12,$C$5,0,$D$6)</f>
        <v>-0.96538943258594301</v>
      </c>
      <c r="AI12" cm="1">
        <f t="array" ref="AI12">DeltaP(AI$5,$B$5,$H12,$C$5,0,$D$6)</f>
        <v>-0.8715607791316291</v>
      </c>
      <c r="AJ12" cm="1">
        <f t="array" ref="AJ12">DeltaP(AJ$5,$B$5,$H12,$C$5,0,$D$6)</f>
        <v>-0.68707388235667555</v>
      </c>
      <c r="AK12" cm="1">
        <f t="array" ref="AK12">DeltaP(AK$5,$B$5,$H12,$C$5,0,$D$6)</f>
        <v>-0.45006425675703959</v>
      </c>
      <c r="AL12" cm="1">
        <f t="array" ref="AL12">DeltaP(AL$5,$B$5,$H12,$C$5,0,$D$6)</f>
        <v>-0.23926991749476592</v>
      </c>
      <c r="AM12" cm="1">
        <f t="array" ref="AM12">DeltaP(AM$5,$B$5,$H12,$C$5,0,$D$6)</f>
        <v>-0.10299418934376267</v>
      </c>
      <c r="AN12" cm="1">
        <f t="array" ref="AN12">DeltaP(AN$5,$B$5,$H12,$C$5,0,$D$6)</f>
        <v>-3.6249348015700983E-2</v>
      </c>
      <c r="AO12" cm="1">
        <f t="array" ref="AO12">DeltaP(AO$5,$B$5,$H12,$C$5,0,$D$6)</f>
        <v>-1.0592855898519823E-2</v>
      </c>
      <c r="AP12" cm="1">
        <f t="array" ref="AP12">DeltaP(AP$5,$B$5,$H12,$C$5,0,$D$6)</f>
        <v>-2.614520684864864E-3</v>
      </c>
      <c r="AQ12" cm="1">
        <f t="array" ref="AQ12">DeltaP(AQ$5,$B$5,$H12,$C$5,0,$D$6)</f>
        <v>-5.5441197797974915E-4</v>
      </c>
      <c r="AR12" cm="1">
        <f t="array" ref="AR12">DeltaP(AR$5,$B$5,$H12,$C$5,0,$D$6)</f>
        <v>-1.0263741426164764E-4</v>
      </c>
      <c r="AS12" cm="1">
        <f t="array" ref="AS12">DeltaP(AS$5,$B$5,$H12,$C$5,0,$D$6)</f>
        <v>-1.6834810336487752E-5</v>
      </c>
    </row>
    <row r="13" spans="2:45" x14ac:dyDescent="0.2">
      <c r="H13">
        <v>0.8</v>
      </c>
      <c r="I13" cm="1">
        <f t="array" ref="I13">DeltaP(I$5,$B$5,$H13,$C$5,0,$D$5)</f>
        <v>-0.99675007087750611</v>
      </c>
      <c r="J13" cm="1">
        <f t="array" ref="J13">DeltaP(J$5,$B$5,$H13,$C$5,0,$D$5)</f>
        <v>-0.98851657476804122</v>
      </c>
      <c r="K13" cm="1">
        <f t="array" ref="K13">DeltaP(K$5,$B$5,$H13,$C$5,0,$D$5)</f>
        <v>-0.96853667944616317</v>
      </c>
      <c r="L13" cm="1">
        <f t="array" ref="L13">DeltaP(L$5,$B$5,$H13,$C$5,0,$D$5)</f>
        <v>-0.92976291941623557</v>
      </c>
      <c r="M13" cm="1">
        <f t="array" ref="M13">DeltaP(M$5,$B$5,$H13,$C$5,0,$D$5)</f>
        <v>-0.86719866762994358</v>
      </c>
      <c r="N13" cm="1">
        <f t="array" ref="N13">DeltaP(N$5,$B$5,$H13,$C$5,0,$D$5)</f>
        <v>-0.78063641017552954</v>
      </c>
      <c r="O13" cm="1">
        <f t="array" ref="O13">DeltaP(O$5,$B$5,$H13,$C$5,0,$D$5)</f>
        <v>-0.67538030929215342</v>
      </c>
      <c r="P13" cm="1">
        <f t="array" ref="P13">DeltaP(P$5,$B$5,$H13,$C$5,0,$D$5)</f>
        <v>-0.56063294575822775</v>
      </c>
      <c r="Q13" cm="1">
        <f t="array" ref="Q13">DeltaP(Q$5,$B$5,$H13,$C$5,0,$D$5)</f>
        <v>-0.44663641507110591</v>
      </c>
      <c r="R13" cm="1">
        <f t="array" ref="R13">DeltaP(R$5,$B$5,$H13,$C$5,0,$D$5)</f>
        <v>-0.34203727030691766</v>
      </c>
      <c r="S13" cm="1">
        <f t="array" ref="S13">DeltaP(S$5,$B$5,$H13,$C$5,0,$D$5)</f>
        <v>-0.25239750657251647</v>
      </c>
      <c r="T13" cm="1">
        <f t="array" ref="T13">DeltaP(T$5,$B$5,$H13,$C$5,0,$D$5)</f>
        <v>-0.17997586012231231</v>
      </c>
      <c r="U13" cm="1">
        <f t="array" ref="U13">DeltaP(U$5,$B$5,$H13,$C$5,0,$D$5)</f>
        <v>-0.12437874850463734</v>
      </c>
      <c r="V13" cm="1">
        <f t="array" ref="V13">DeltaP(V$5,$B$5,$H13,$C$5,0,$D$5)</f>
        <v>-8.3551201402274594E-2</v>
      </c>
      <c r="W13" cm="1">
        <f t="array" ref="W13">DeltaP(W$5,$B$5,$H13,$C$5,0,$D$5)</f>
        <v>-5.4707853004439741E-2</v>
      </c>
      <c r="X13" cm="1">
        <f t="array" ref="X13">DeltaP(X$5,$B$5,$H13,$C$5,0,$D$5)</f>
        <v>-3.5008571780824463E-2</v>
      </c>
      <c r="Y13" cm="1">
        <f t="array" ref="Y13">DeltaP(Y$5,$B$5,$H13,$C$5,0,$D$5)</f>
        <v>-2.1947030461860931E-2</v>
      </c>
      <c r="AB13">
        <v>0.8</v>
      </c>
      <c r="AC13" cm="1">
        <f t="array" ref="AC13">DeltaP(AC$5,$B$5,$H13,$C$5,0,$D$6)</f>
        <v>-0.99999998776771981</v>
      </c>
      <c r="AD13" cm="1">
        <f t="array" ref="AD13">DeltaP(AD$5,$B$5,$H13,$C$5,0,$D$6)</f>
        <v>-0.99999858049035051</v>
      </c>
      <c r="AE13" cm="1">
        <f t="array" ref="AE13">DeltaP(AE$5,$B$5,$H13,$C$5,0,$D$6)</f>
        <v>-0.99994179911634218</v>
      </c>
      <c r="AF13" cm="1">
        <f t="array" ref="AF13">DeltaP(AF$5,$B$5,$H13,$C$5,0,$D$6)</f>
        <v>-0.99897268285935592</v>
      </c>
      <c r="AG13" cm="1">
        <f t="array" ref="AG13">DeltaP(AG$5,$B$5,$H13,$C$5,0,$D$6)</f>
        <v>-0.99087869452629052</v>
      </c>
      <c r="AH13" cm="1">
        <f t="array" ref="AH13">DeltaP(AH$5,$B$5,$H13,$C$5,0,$D$6)</f>
        <v>-0.95379820378478741</v>
      </c>
      <c r="AI13" cm="1">
        <f t="array" ref="AI13">DeltaP(AI$5,$B$5,$H13,$C$5,0,$D$6)</f>
        <v>-0.85171156569915274</v>
      </c>
      <c r="AJ13" cm="1">
        <f t="array" ref="AJ13">DeltaP(AJ$5,$B$5,$H13,$C$5,0,$D$6)</f>
        <v>-0.66978239987143284</v>
      </c>
      <c r="AK13" cm="1">
        <f t="array" ref="AK13">DeltaP(AK$5,$B$5,$H13,$C$5,0,$D$6)</f>
        <v>-0.44663641507110591</v>
      </c>
      <c r="AL13" cm="1">
        <f t="array" ref="AL13">DeltaP(AL$5,$B$5,$H13,$C$5,0,$D$6)</f>
        <v>-0.24836156369458307</v>
      </c>
      <c r="AM13" cm="1">
        <f t="array" ref="AM13">DeltaP(AM$5,$B$5,$H13,$C$5,0,$D$6)</f>
        <v>-0.11511544953316066</v>
      </c>
      <c r="AN13" cm="1">
        <f t="array" ref="AN13">DeltaP(AN$5,$B$5,$H13,$C$5,0,$D$6)</f>
        <v>-4.4871958417934975E-2</v>
      </c>
      <c r="AO13" cm="1">
        <f t="array" ref="AO13">DeltaP(AO$5,$B$5,$H13,$C$5,0,$D$6)</f>
        <v>-1.4905931616100921E-2</v>
      </c>
      <c r="AP13" cm="1">
        <f t="array" ref="AP13">DeltaP(AP$5,$B$5,$H13,$C$5,0,$D$6)</f>
        <v>-4.2820091080512518E-3</v>
      </c>
      <c r="AQ13" cm="1">
        <f t="array" ref="AQ13">DeltaP(AQ$5,$B$5,$H13,$C$5,0,$D$6)</f>
        <v>-1.0793388372125441E-3</v>
      </c>
      <c r="AR13" cm="1">
        <f t="array" ref="AR13">DeltaP(AR$5,$B$5,$H13,$C$5,0,$D$6)</f>
        <v>-2.4202099636322556E-4</v>
      </c>
      <c r="AS13" cm="1">
        <f t="array" ref="AS13">DeltaP(AS$5,$B$5,$H13,$C$5,0,$D$6)</f>
        <v>-4.8889517762407925E-5</v>
      </c>
    </row>
    <row r="14" spans="2:45" x14ac:dyDescent="0.2">
      <c r="H14">
        <v>0.9</v>
      </c>
      <c r="I14" cm="1">
        <f t="array" ref="I14">DeltaP(I$5,$B$5,$H14,$C$5,0,$D$5)</f>
        <v>-0.99461362130869291</v>
      </c>
      <c r="J14" cm="1">
        <f t="array" ref="J14">DeltaP(J$5,$B$5,$H14,$C$5,0,$D$5)</f>
        <v>-0.9833365493457592</v>
      </c>
      <c r="K14" cm="1">
        <f t="array" ref="K14">DeltaP(K$5,$B$5,$H14,$C$5,0,$D$5)</f>
        <v>-0.95885400744147464</v>
      </c>
      <c r="L14" cm="1">
        <f t="array" ref="L14">DeltaP(L$5,$B$5,$H14,$C$5,0,$D$5)</f>
        <v>-0.91526598820601524</v>
      </c>
      <c r="M14" cm="1">
        <f t="array" ref="M14">DeltaP(M$5,$B$5,$H14,$C$5,0,$D$5)</f>
        <v>-0.84937751524541449</v>
      </c>
      <c r="N14" cm="1">
        <f t="array" ref="N14">DeltaP(N$5,$B$5,$H14,$C$5,0,$D$5)</f>
        <v>-0.76246291657331255</v>
      </c>
      <c r="O14" cm="1">
        <f t="array" ref="O14">DeltaP(O$5,$B$5,$H14,$C$5,0,$D$5)</f>
        <v>-0.66019529381624775</v>
      </c>
      <c r="P14" cm="1">
        <f t="array" ref="P14">DeltaP(P$5,$B$5,$H14,$C$5,0,$D$5)</f>
        <v>-0.55094011572048185</v>
      </c>
      <c r="Q14" cm="1">
        <f t="array" ref="Q14">DeltaP(Q$5,$B$5,$H14,$C$5,0,$D$5)</f>
        <v>-0.44342053804454024</v>
      </c>
      <c r="R14" cm="1">
        <f t="array" ref="R14">DeltaP(R$5,$B$5,$H14,$C$5,0,$D$5)</f>
        <v>-0.34478110979113252</v>
      </c>
      <c r="S14" cm="1">
        <f t="array" ref="S14">DeltaP(S$5,$B$5,$H14,$C$5,0,$D$5)</f>
        <v>-0.25958308974686217</v>
      </c>
      <c r="T14" cm="1">
        <f t="array" ref="T14">DeltaP(T$5,$B$5,$H14,$C$5,0,$D$5)</f>
        <v>-0.18972433093783714</v>
      </c>
      <c r="U14" cm="1">
        <f t="array" ref="U14">DeltaP(U$5,$B$5,$H14,$C$5,0,$D$5)</f>
        <v>-0.1349654995951988</v>
      </c>
      <c r="V14" cm="1">
        <f t="array" ref="V14">DeltaP(V$5,$B$5,$H14,$C$5,0,$D$5)</f>
        <v>-9.3689528830588606E-2</v>
      </c>
      <c r="W14" cm="1">
        <f t="array" ref="W14">DeltaP(W$5,$B$5,$H14,$C$5,0,$D$5)</f>
        <v>-6.3619125849340444E-2</v>
      </c>
      <c r="X14" cm="1">
        <f t="array" ref="X14">DeltaP(X$5,$B$5,$H14,$C$5,0,$D$5)</f>
        <v>-4.2354591752513729E-2</v>
      </c>
      <c r="Y14" cm="1">
        <f t="array" ref="Y14">DeltaP(Y$5,$B$5,$H14,$C$5,0,$D$5)</f>
        <v>-2.7703754722868301E-2</v>
      </c>
      <c r="AB14">
        <v>0.9</v>
      </c>
      <c r="AC14" cm="1">
        <f t="array" ref="AC14">DeltaP(AC$5,$B$5,$H14,$C$5,0,$D$6)</f>
        <v>-0.99999992069449628</v>
      </c>
      <c r="AD14" cm="1">
        <f t="array" ref="AD14">DeltaP(AD$5,$B$5,$H14,$C$5,0,$D$6)</f>
        <v>-0.99999455112734237</v>
      </c>
      <c r="AE14" cm="1">
        <f t="array" ref="AE14">DeltaP(AE$5,$B$5,$H14,$C$5,0,$D$6)</f>
        <v>-0.99985120076411815</v>
      </c>
      <c r="AF14" cm="1">
        <f t="array" ref="AF14">DeltaP(AF$5,$B$5,$H14,$C$5,0,$D$6)</f>
        <v>-0.99807460447904706</v>
      </c>
      <c r="AG14" cm="1">
        <f t="array" ref="AG14">DeltaP(AG$5,$B$5,$H14,$C$5,0,$D$6)</f>
        <v>-0.98644176377083581</v>
      </c>
      <c r="AH14" cm="1">
        <f t="array" ref="AH14">DeltaP(AH$5,$B$5,$H14,$C$5,0,$D$6)</f>
        <v>-0.94188514642659571</v>
      </c>
      <c r="AI14" cm="1">
        <f t="array" ref="AI14">DeltaP(AI$5,$B$5,$H14,$C$5,0,$D$6)</f>
        <v>-0.83355143322926772</v>
      </c>
      <c r="AJ14" cm="1">
        <f t="array" ref="AJ14">DeltaP(AJ$5,$B$5,$H14,$C$5,0,$D$6)</f>
        <v>-0.65482358809332131</v>
      </c>
      <c r="AK14" cm="1">
        <f t="array" ref="AK14">DeltaP(AK$5,$B$5,$H14,$C$5,0,$D$6)</f>
        <v>-0.44342053804454024</v>
      </c>
      <c r="AL14" cm="1">
        <f t="array" ref="AL14">DeltaP(AL$5,$B$5,$H14,$C$5,0,$D$6)</f>
        <v>-0.25572036656605562</v>
      </c>
      <c r="AM14" cm="1">
        <f t="array" ref="AM14">DeltaP(AM$5,$B$5,$H14,$C$5,0,$D$6)</f>
        <v>-0.12569907598544608</v>
      </c>
      <c r="AN14" cm="1">
        <f t="array" ref="AN14">DeltaP(AN$5,$B$5,$H14,$C$5,0,$D$6)</f>
        <v>-5.3098771928445469E-2</v>
      </c>
      <c r="AO14" cm="1">
        <f t="array" ref="AO14">DeltaP(AO$5,$B$5,$H14,$C$5,0,$D$6)</f>
        <v>-1.9502200944108861E-2</v>
      </c>
      <c r="AP14" cm="1">
        <f t="array" ref="AP14">DeltaP(AP$5,$B$5,$H14,$C$5,0,$D$6)</f>
        <v>-6.3077661675613106E-3</v>
      </c>
      <c r="AQ14" cm="1">
        <f t="array" ref="AQ14">DeltaP(AQ$5,$B$5,$H14,$C$5,0,$D$6)</f>
        <v>-1.8195289047337466E-3</v>
      </c>
      <c r="AR14" cm="1">
        <f t="array" ref="AR14">DeltaP(AR$5,$B$5,$H14,$C$5,0,$D$6)</f>
        <v>-4.7372663960534639E-4</v>
      </c>
      <c r="AS14" cm="1">
        <f t="array" ref="AS14">DeltaP(AS$5,$B$5,$H14,$C$5,0,$D$6)</f>
        <v>-1.1255476989925215E-4</v>
      </c>
    </row>
    <row r="15" spans="2:45" x14ac:dyDescent="0.2">
      <c r="H15">
        <v>1</v>
      </c>
      <c r="I15" cm="1">
        <f t="array" ref="I15">DeltaP(I$5,$B$5,$H15,$C$5,0,$D$5)</f>
        <v>-0.9918944546456071</v>
      </c>
      <c r="J15" cm="1">
        <f t="array" ref="J15">DeltaP(J$5,$B$5,$H15,$C$5,0,$D$5)</f>
        <v>-0.97746039429844445</v>
      </c>
      <c r="K15" cm="1">
        <f t="array" ref="K15">DeltaP(K$5,$B$5,$H15,$C$5,0,$D$5)</f>
        <v>-0.94880489471011198</v>
      </c>
      <c r="L15" cm="1">
        <f t="array" ref="L15">DeltaP(L$5,$B$5,$H15,$C$5,0,$D$5)</f>
        <v>-0.9011984232382525</v>
      </c>
      <c r="M15" cm="1">
        <f t="array" ref="M15">DeltaP(M$5,$B$5,$H15,$C$5,0,$D$5)</f>
        <v>-0.83290728409305781</v>
      </c>
      <c r="N15" cm="1">
        <f t="array" ref="N15">DeltaP(N$5,$B$5,$H15,$C$5,0,$D$5)</f>
        <v>-0.7462049004262935</v>
      </c>
      <c r="O15" cm="1">
        <f t="array" ref="O15">DeltaP(O$5,$B$5,$H15,$C$5,0,$D$5)</f>
        <v>-0.64683983773027076</v>
      </c>
      <c r="P15" cm="1">
        <f t="array" ref="P15">DeltaP(P$5,$B$5,$H15,$C$5,0,$D$5)</f>
        <v>-0.54239387215072843</v>
      </c>
      <c r="Q15" cm="1">
        <f t="array" ref="Q15">DeltaP(Q$5,$B$5,$H15,$C$5,0,$D$5)</f>
        <v>-0.4403823076297575</v>
      </c>
      <c r="R15" cm="1">
        <f t="array" ref="R15">DeltaP(R$5,$B$5,$H15,$C$5,0,$D$5)</f>
        <v>-0.34680867419920269</v>
      </c>
      <c r="S15" cm="1">
        <f t="array" ref="S15">DeltaP(S$5,$B$5,$H15,$C$5,0,$D$5)</f>
        <v>-0.26547683131082922</v>
      </c>
      <c r="T15" cm="1">
        <f t="array" ref="T15">DeltaP(T$5,$B$5,$H15,$C$5,0,$D$5)</f>
        <v>-0.19799359259378047</v>
      </c>
      <c r="U15" cm="1">
        <f t="array" ref="U15">DeltaP(U$5,$B$5,$H15,$C$5,0,$D$5)</f>
        <v>-0.14420688925670169</v>
      </c>
      <c r="V15" cm="1">
        <f t="array" ref="V15">DeltaP(V$5,$B$5,$H15,$C$5,0,$D$5)</f>
        <v>-0.10280707440266669</v>
      </c>
      <c r="W15" cm="1">
        <f t="array" ref="W15">DeltaP(W$5,$B$5,$H15,$C$5,0,$D$5)</f>
        <v>-7.1895089760057235E-2</v>
      </c>
      <c r="X15" cm="1">
        <f t="array" ref="X15">DeltaP(X$5,$B$5,$H15,$C$5,0,$D$5)</f>
        <v>-4.9418010408147452E-2</v>
      </c>
      <c r="Y15" cm="1">
        <f t="array" ref="Y15">DeltaP(Y$5,$B$5,$H15,$C$5,0,$D$5)</f>
        <v>-3.3448813603455405E-2</v>
      </c>
      <c r="AB15">
        <v>1</v>
      </c>
      <c r="AC15" cm="1">
        <f t="array" ref="AC15">DeltaP(AC$5,$B$5,$H15,$C$5,0,$D$6)</f>
        <v>-0.99999964435644462</v>
      </c>
      <c r="AD15" cm="1">
        <f t="array" ref="AD15">DeltaP(AD$5,$B$5,$H15,$C$5,0,$D$6)</f>
        <v>-0.99998393569273369</v>
      </c>
      <c r="AE15" cm="1">
        <f t="array" ref="AE15">DeltaP(AE$5,$B$5,$H15,$C$5,0,$D$6)</f>
        <v>-0.99968313211324389</v>
      </c>
      <c r="AF15" cm="1">
        <f t="array" ref="AF15">DeltaP(AF$5,$B$5,$H15,$C$5,0,$D$6)</f>
        <v>-0.99680261138352733</v>
      </c>
      <c r="AG15" cm="1">
        <f t="array" ref="AG15">DeltaP(AG$5,$B$5,$H15,$C$5,0,$D$6)</f>
        <v>-0.98130296953188956</v>
      </c>
      <c r="AH15" cm="1">
        <f t="array" ref="AH15">DeltaP(AH$5,$B$5,$H15,$C$5,0,$D$6)</f>
        <v>-0.92991917065856655</v>
      </c>
      <c r="AI15" cm="1">
        <f t="array" ref="AI15">DeltaP(AI$5,$B$5,$H15,$C$5,0,$D$6)</f>
        <v>-0.81689759699323372</v>
      </c>
      <c r="AJ15" cm="1">
        <f t="array" ref="AJ15">DeltaP(AJ$5,$B$5,$H15,$C$5,0,$D$6)</f>
        <v>-0.64167251171171547</v>
      </c>
      <c r="AK15" cm="1">
        <f t="array" ref="AK15">DeltaP(AK$5,$B$5,$H15,$C$5,0,$D$6)</f>
        <v>-0.4403823076297575</v>
      </c>
      <c r="AL15" cm="1">
        <f t="array" ref="AL15">DeltaP(AL$5,$B$5,$H15,$C$5,0,$D$6)</f>
        <v>-0.2617688545095187</v>
      </c>
      <c r="AM15" cm="1">
        <f t="array" ref="AM15">DeltaP(AM$5,$B$5,$H15,$C$5,0,$D$6)</f>
        <v>-0.13499148005453793</v>
      </c>
      <c r="AN15" cm="1">
        <f t="array" ref="AN15">DeltaP(AN$5,$B$5,$H15,$C$5,0,$D$6)</f>
        <v>-6.0856976040873652E-2</v>
      </c>
      <c r="AO15" cm="1">
        <f t="array" ref="AO15">DeltaP(AO$5,$B$5,$H15,$C$5,0,$D$6)</f>
        <v>-2.4235503765815371E-2</v>
      </c>
      <c r="AP15" cm="1">
        <f t="array" ref="AP15">DeltaP(AP$5,$B$5,$H15,$C$5,0,$D$6)</f>
        <v>-8.6226549586318653E-3</v>
      </c>
      <c r="AQ15" cm="1">
        <f t="array" ref="AQ15">DeltaP(AQ$5,$B$5,$H15,$C$5,0,$D$6)</f>
        <v>-2.7716266237037455E-3</v>
      </c>
      <c r="AR15" cm="1">
        <f t="array" ref="AR15">DeltaP(AR$5,$B$5,$H15,$C$5,0,$D$6)</f>
        <v>-8.1343453919463407E-4</v>
      </c>
      <c r="AS15" cm="1">
        <f t="array" ref="AS15">DeltaP(AS$5,$B$5,$H15,$C$5,0,$D$6)</f>
        <v>-2.2010697477903014E-4</v>
      </c>
    </row>
    <row r="16" spans="2:45" x14ac:dyDescent="0.2">
      <c r="H16">
        <v>2</v>
      </c>
      <c r="I16" cm="1">
        <f t="array" ref="I16">DeltaP(I$5,$B$5,$H16,$C$5,0,$D$5)</f>
        <v>-0.94452182202059942</v>
      </c>
      <c r="J16" cm="1">
        <f t="array" ref="J16">DeltaP(J$5,$B$5,$H16,$C$5,0,$D$5)</f>
        <v>-0.90505685531529534</v>
      </c>
      <c r="K16" cm="1">
        <f t="array" ref="K16">DeltaP(K$5,$B$5,$H16,$C$5,0,$D$5)</f>
        <v>-0.85288892223498691</v>
      </c>
      <c r="L16" cm="1">
        <f t="array" ref="L16">DeltaP(L$5,$B$5,$H16,$C$5,0,$D$5)</f>
        <v>-0.7895837220241203</v>
      </c>
      <c r="M16" cm="1">
        <f t="array" ref="M16">DeltaP(M$5,$B$5,$H16,$C$5,0,$D$5)</f>
        <v>-0.7179625656379226</v>
      </c>
      <c r="N16" cm="1">
        <f t="array" ref="N16">DeltaP(N$5,$B$5,$H16,$C$5,0,$D$5)</f>
        <v>-0.64149552812518496</v>
      </c>
      <c r="O16" cm="1">
        <f t="array" ref="O16">DeltaP(O$5,$B$5,$H16,$C$5,0,$D$5)</f>
        <v>-0.56370662389654669</v>
      </c>
      <c r="P16" cm="1">
        <f t="array" ref="P16">DeltaP(P$5,$B$5,$H16,$C$5,0,$D$5)</f>
        <v>-0.48772135767095187</v>
      </c>
      <c r="Q16" cm="1">
        <f t="array" ref="Q16">DeltaP(Q$5,$B$5,$H16,$C$5,0,$D$5)</f>
        <v>-0.41600201428631822</v>
      </c>
      <c r="R16" cm="1">
        <f t="array" ref="R16">DeltaP(R$5,$B$5,$H16,$C$5,0,$D$5)</f>
        <v>-0.35025529522042026</v>
      </c>
      <c r="S16" cm="1">
        <f t="array" ref="S16">DeltaP(S$5,$B$5,$H16,$C$5,0,$D$5)</f>
        <v>-0.2914669006454369</v>
      </c>
      <c r="T16" cm="1">
        <f t="array" ref="T16">DeltaP(T$5,$B$5,$H16,$C$5,0,$D$5)</f>
        <v>-0.24001164001031328</v>
      </c>
      <c r="U16" cm="1">
        <f t="array" ref="U16">DeltaP(U$5,$B$5,$H16,$C$5,0,$D$5)</f>
        <v>-0.19579537926180243</v>
      </c>
      <c r="V16" cm="1">
        <f t="array" ref="V16">DeltaP(V$5,$B$5,$H16,$C$5,0,$D$5)</f>
        <v>-0.15839802446828505</v>
      </c>
      <c r="W16" cm="1">
        <f t="array" ref="W16">DeltaP(W$5,$B$5,$H16,$C$5,0,$D$5)</f>
        <v>-0.12719944668745581</v>
      </c>
      <c r="X16" cm="1">
        <f t="array" ref="X16">DeltaP(X$5,$B$5,$H16,$C$5,0,$D$5)</f>
        <v>-0.10148028157804424</v>
      </c>
      <c r="Y16" cm="1">
        <f t="array" ref="Y16">DeltaP(Y$5,$B$5,$H16,$C$5,0,$D$5)</f>
        <v>-8.049629599707385E-2</v>
      </c>
      <c r="AB16">
        <v>2</v>
      </c>
      <c r="AC16" cm="1">
        <f t="array" ref="AC16">DeltaP(AC$5,$B$5,$H16,$C$5,0,$D$6)</f>
        <v>-0.99966300984690104</v>
      </c>
      <c r="AD16" cm="1">
        <f t="array" ref="AD16">DeltaP(AD$5,$B$5,$H16,$C$5,0,$D$6)</f>
        <v>-0.99770126854070174</v>
      </c>
      <c r="AE16" cm="1">
        <f t="array" ref="AE16">DeltaP(AE$5,$B$5,$H16,$C$5,0,$D$6)</f>
        <v>-0.98955428078343977</v>
      </c>
      <c r="AF16" cm="1">
        <f t="array" ref="AF16">DeltaP(AF$5,$B$5,$H16,$C$5,0,$D$6)</f>
        <v>-0.9657791379984273</v>
      </c>
      <c r="AG16" cm="1">
        <f t="array" ref="AG16">DeltaP(AG$5,$B$5,$H16,$C$5,0,$D$6)</f>
        <v>-0.91398831809174907</v>
      </c>
      <c r="AH16" cm="1">
        <f t="array" ref="AH16">DeltaP(AH$5,$B$5,$H16,$C$5,0,$D$6)</f>
        <v>-0.82563366708758723</v>
      </c>
      <c r="AI16" cm="1">
        <f t="array" ref="AI16">DeltaP(AI$5,$B$5,$H16,$C$5,0,$D$6)</f>
        <v>-0.70294143810382681</v>
      </c>
      <c r="AJ16" cm="1">
        <f t="array" ref="AJ16">DeltaP(AJ$5,$B$5,$H16,$C$5,0,$D$6)</f>
        <v>-0.55984108777794528</v>
      </c>
      <c r="AK16" cm="1">
        <f t="array" ref="AK16">DeltaP(AK$5,$B$5,$H16,$C$5,0,$D$6)</f>
        <v>-0.41600201428631822</v>
      </c>
      <c r="AL16" cm="1">
        <f t="array" ref="AL16">DeltaP(AL$5,$B$5,$H16,$C$5,0,$D$6)</f>
        <v>-0.28871910308263193</v>
      </c>
      <c r="AM16" cm="1">
        <f t="array" ref="AM16">DeltaP(AM$5,$B$5,$H16,$C$5,0,$D$6)</f>
        <v>-0.18778807755388888</v>
      </c>
      <c r="AN16" cm="1">
        <f t="array" ref="AN16">DeltaP(AN$5,$B$5,$H16,$C$5,0,$D$6)</f>
        <v>-0.11499236256428205</v>
      </c>
      <c r="AO16" cm="1">
        <f t="array" ref="AO16">DeltaP(AO$5,$B$5,$H16,$C$5,0,$D$6)</f>
        <v>-6.6633805759227741E-2</v>
      </c>
      <c r="AP16" cm="1">
        <f t="array" ref="AP16">DeltaP(AP$5,$B$5,$H16,$C$5,0,$D$6)</f>
        <v>-3.6727340119913243E-2</v>
      </c>
      <c r="AQ16" cm="1">
        <f t="array" ref="AQ16">DeltaP(AQ$5,$B$5,$H16,$C$5,0,$D$6)</f>
        <v>-1.9351650459184317E-2</v>
      </c>
      <c r="AR16" cm="1">
        <f t="array" ref="AR16">DeltaP(AR$5,$B$5,$H16,$C$5,0,$D$6)</f>
        <v>-9.7928364033782224E-3</v>
      </c>
      <c r="AS16" cm="1">
        <f t="array" ref="AS16">DeltaP(AS$5,$B$5,$H16,$C$5,0,$D$6)</f>
        <v>-4.7800098788316602E-3</v>
      </c>
    </row>
    <row r="17" spans="7:45" x14ac:dyDescent="0.2">
      <c r="H17">
        <v>3</v>
      </c>
      <c r="I17" cm="1">
        <f t="array" ref="I17">DeltaP(I$5,$B$5,$H17,$C$5,0,$D$5)</f>
        <v>-0.88778242147662834</v>
      </c>
      <c r="J17" cm="1">
        <f t="array" ref="J17">DeltaP(J$5,$B$5,$H17,$C$5,0,$D$5)</f>
        <v>-0.83738213822355212</v>
      </c>
      <c r="K17" cm="1">
        <f t="array" ref="K17">DeltaP(K$5,$B$5,$H17,$C$5,0,$D$5)</f>
        <v>-0.77929792459466751</v>
      </c>
      <c r="L17" cm="1">
        <f t="array" ref="L17">DeltaP(L$5,$B$5,$H17,$C$5,0,$D$5)</f>
        <v>-0.7158845880678294</v>
      </c>
      <c r="M17" cm="1">
        <f t="array" ref="M17">DeltaP(M$5,$B$5,$H17,$C$5,0,$D$5)</f>
        <v>-0.64964133490352116</v>
      </c>
      <c r="N17" cm="1">
        <f t="array" ref="N17">DeltaP(N$5,$B$5,$H17,$C$5,0,$D$5)</f>
        <v>-0.58291019299022295</v>
      </c>
      <c r="O17" cm="1">
        <f t="array" ref="O17">DeltaP(O$5,$B$5,$H17,$C$5,0,$D$5)</f>
        <v>-0.51768409900435364</v>
      </c>
      <c r="P17" cm="1">
        <f t="array" ref="P17">DeltaP(P$5,$B$5,$H17,$C$5,0,$D$5)</f>
        <v>-0.45551611552615739</v>
      </c>
      <c r="Q17" cm="1">
        <f t="array" ref="Q17">DeltaP(Q$5,$B$5,$H17,$C$5,0,$D$5)</f>
        <v>-0.39750608598211906</v>
      </c>
      <c r="R17" cm="1">
        <f t="array" ref="R17">DeltaP(R$5,$B$5,$H17,$C$5,0,$D$5)</f>
        <v>-0.3443379223573686</v>
      </c>
      <c r="S17" cm="1">
        <f t="array" ref="S17">DeltaP(S$5,$B$5,$H17,$C$5,0,$D$5)</f>
        <v>-0.29634414861059299</v>
      </c>
      <c r="T17" cm="1">
        <f t="array" ref="T17">DeltaP(T$5,$B$5,$H17,$C$5,0,$D$5)</f>
        <v>-0.25358023320856954</v>
      </c>
      <c r="U17" cm="1">
        <f t="array" ref="U17">DeltaP(U$5,$B$5,$H17,$C$5,0,$D$5)</f>
        <v>-0.21589724078774764</v>
      </c>
      <c r="V17" cm="1">
        <f t="array" ref="V17">DeltaP(V$5,$B$5,$H17,$C$5,0,$D$5)</f>
        <v>-0.18300629935642132</v>
      </c>
      <c r="W17" cm="1">
        <f t="array" ref="W17">DeltaP(W$5,$B$5,$H17,$C$5,0,$D$5)</f>
        <v>-0.15453199824934208</v>
      </c>
      <c r="X17" cm="1">
        <f t="array" ref="X17">DeltaP(X$5,$B$5,$H17,$C$5,0,$D$5)</f>
        <v>-0.13005419969363388</v>
      </c>
      <c r="Y17" cm="1">
        <f t="array" ref="Y17">DeltaP(Y$5,$B$5,$H17,$C$5,0,$D$5)</f>
        <v>-0.10913912348794984</v>
      </c>
      <c r="AB17">
        <v>3</v>
      </c>
      <c r="AC17" cm="1">
        <f t="array" ref="AC17">DeltaP(AC$5,$B$5,$H17,$C$5,0,$D$6)</f>
        <v>-0.99642145828700812</v>
      </c>
      <c r="AD17" cm="1">
        <f t="array" ref="AD17">DeltaP(AD$5,$B$5,$H17,$C$5,0,$D$6)</f>
        <v>-0.98703700934248551</v>
      </c>
      <c r="AE17" cm="1">
        <f t="array" ref="AE17">DeltaP(AE$5,$B$5,$H17,$C$5,0,$D$6)</f>
        <v>-0.96402672107027576</v>
      </c>
      <c r="AF17" cm="1">
        <f t="array" ref="AF17">DeltaP(AF$5,$B$5,$H17,$C$5,0,$D$6)</f>
        <v>-0.91941174103204293</v>
      </c>
      <c r="AG17" cm="1">
        <f t="array" ref="AG17">DeltaP(AG$5,$B$5,$H17,$C$5,0,$D$6)</f>
        <v>-0.84814553967118989</v>
      </c>
      <c r="AH17" cm="1">
        <f t="array" ref="AH17">DeltaP(AH$5,$B$5,$H17,$C$5,0,$D$6)</f>
        <v>-0.75127132472481861</v>
      </c>
      <c r="AI17" cm="1">
        <f t="array" ref="AI17">DeltaP(AI$5,$B$5,$H17,$C$5,0,$D$6)</f>
        <v>-0.6362644892772813</v>
      </c>
      <c r="AJ17" cm="1">
        <f t="array" ref="AJ17">DeltaP(AJ$5,$B$5,$H17,$C$5,0,$D$6)</f>
        <v>-0.51449212049483495</v>
      </c>
      <c r="AK17" cm="1">
        <f t="array" ref="AK17">DeltaP(AK$5,$B$5,$H17,$C$5,0,$D$6)</f>
        <v>-0.39750608598211906</v>
      </c>
      <c r="AL17" cm="1">
        <f t="array" ref="AL17">DeltaP(AL$5,$B$5,$H17,$C$5,0,$D$6)</f>
        <v>-0.29408226876632038</v>
      </c>
      <c r="AM17" cm="1">
        <f t="array" ref="AM17">DeltaP(AM$5,$B$5,$H17,$C$5,0,$D$6)</f>
        <v>-0.20894675405446178</v>
      </c>
      <c r="AN17" cm="1">
        <f t="array" ref="AN17">DeltaP(AN$5,$B$5,$H17,$C$5,0,$D$6)</f>
        <v>-0.14304833986221999</v>
      </c>
      <c r="AO17" cm="1">
        <f t="array" ref="AO17">DeltaP(AO$5,$B$5,$H17,$C$5,0,$D$6)</f>
        <v>-9.4685585856037507E-2</v>
      </c>
      <c r="AP17" cm="1">
        <f t="array" ref="AP17">DeltaP(AP$5,$B$5,$H17,$C$5,0,$D$6)</f>
        <v>-6.0795799301524879E-2</v>
      </c>
      <c r="AQ17" cm="1">
        <f t="array" ref="AQ17">DeltaP(AQ$5,$B$5,$H17,$C$5,0,$D$6)</f>
        <v>-3.7984588705097334E-2</v>
      </c>
      <c r="AR17" cm="1">
        <f t="array" ref="AR17">DeltaP(AR$5,$B$5,$H17,$C$5,0,$D$6)</f>
        <v>-2.3160179189138878E-2</v>
      </c>
      <c r="AS17" cm="1">
        <f t="array" ref="AS17">DeltaP(AS$5,$B$5,$H17,$C$5,0,$D$6)</f>
        <v>-1.3817439592029454E-2</v>
      </c>
    </row>
    <row r="18" spans="7:45" x14ac:dyDescent="0.2">
      <c r="H18">
        <v>4</v>
      </c>
      <c r="I18" cm="1">
        <f t="array" ref="I18">DeltaP(I$5,$B$5,$H18,$C$5,0,$D$5)</f>
        <v>-0.83573128027159127</v>
      </c>
      <c r="J18" cm="1">
        <f t="array" ref="J18">DeltaP(J$5,$B$5,$H18,$C$5,0,$D$5)</f>
        <v>-0.78140801553503314</v>
      </c>
      <c r="K18" cm="1">
        <f t="array" ref="K18">DeltaP(K$5,$B$5,$H18,$C$5,0,$D$5)</f>
        <v>-0.72297001881272516</v>
      </c>
      <c r="L18" cm="1">
        <f t="array" ref="L18">DeltaP(L$5,$B$5,$H18,$C$5,0,$D$5)</f>
        <v>-0.66246690705453493</v>
      </c>
      <c r="M18" cm="1">
        <f t="array" ref="M18">DeltaP(M$5,$B$5,$H18,$C$5,0,$D$5)</f>
        <v>-0.60174208889703951</v>
      </c>
      <c r="N18" cm="1">
        <f t="array" ref="N18">DeltaP(N$5,$B$5,$H18,$C$5,0,$D$5)</f>
        <v>-0.54232677254784156</v>
      </c>
      <c r="O18" cm="1">
        <f t="array" ref="O18">DeltaP(O$5,$B$5,$H18,$C$5,0,$D$5)</f>
        <v>-0.48540248571576572</v>
      </c>
      <c r="P18" cm="1">
        <f t="array" ref="P18">DeltaP(P$5,$B$5,$H18,$C$5,0,$D$5)</f>
        <v>-0.43181044779477695</v>
      </c>
      <c r="Q18" cm="1">
        <f t="array" ref="Q18">DeltaP(Q$5,$B$5,$H18,$C$5,0,$D$5)</f>
        <v>-0.38208857781104733</v>
      </c>
      <c r="R18" cm="1">
        <f t="array" ref="R18">DeltaP(R$5,$B$5,$H18,$C$5,0,$D$5)</f>
        <v>-0.33652148286606043</v>
      </c>
      <c r="S18" cm="1">
        <f t="array" ref="S18">DeltaP(S$5,$B$5,$H18,$C$5,0,$D$5)</f>
        <v>-0.29519344894865263</v>
      </c>
      <c r="T18" cm="1">
        <f t="array" ref="T18">DeltaP(T$5,$B$5,$H18,$C$5,0,$D$5)</f>
        <v>-0.25803836305997985</v>
      </c>
      <c r="U18" cm="1">
        <f t="array" ref="U18">DeltaP(U$5,$B$5,$H18,$C$5,0,$D$5)</f>
        <v>-0.22488339146361094</v>
      </c>
      <c r="V18" cm="1">
        <f t="array" ref="V18">DeltaP(V$5,$B$5,$H18,$C$5,0,$D$5)</f>
        <v>-0.19548519667211653</v>
      </c>
      <c r="W18" cm="1">
        <f t="array" ref="W18">DeltaP(W$5,$B$5,$H18,$C$5,0,$D$5)</f>
        <v>-0.16955868613384428</v>
      </c>
      <c r="X18" cm="1">
        <f t="array" ref="X18">DeltaP(X$5,$B$5,$H18,$C$5,0,$D$5)</f>
        <v>-0.14679895478660193</v>
      </c>
      <c r="Y18" cm="1">
        <f t="array" ref="Y18">DeltaP(Y$5,$B$5,$H18,$C$5,0,$D$5)</f>
        <v>-0.12689738962132047</v>
      </c>
      <c r="AB18">
        <v>4</v>
      </c>
      <c r="AC18" cm="1">
        <f t="array" ref="AC18">DeltaP(AC$5,$B$5,$H18,$C$5,0,$D$6)</f>
        <v>-0.98790594541152554</v>
      </c>
      <c r="AD18" cm="1">
        <f t="array" ref="AD18">DeltaP(AD$5,$B$5,$H18,$C$5,0,$D$6)</f>
        <v>-0.96812430920432424</v>
      </c>
      <c r="AE18" cm="1">
        <f t="array" ref="AE18">DeltaP(AE$5,$B$5,$H18,$C$5,0,$D$6)</f>
        <v>-0.93101255988538445</v>
      </c>
      <c r="AF18" cm="1">
        <f t="array" ref="AF18">DeltaP(AF$5,$B$5,$H18,$C$5,0,$D$6)</f>
        <v>-0.87252541543240303</v>
      </c>
      <c r="AG18" cm="1">
        <f t="array" ref="AG18">DeltaP(AG$5,$B$5,$H18,$C$5,0,$D$6)</f>
        <v>-0.79266920954781528</v>
      </c>
      <c r="AH18" cm="1">
        <f t="array" ref="AH18">DeltaP(AH$5,$B$5,$H18,$C$5,0,$D$6)</f>
        <v>-0.69588255094248597</v>
      </c>
      <c r="AI18" cm="1">
        <f t="array" ref="AI18">DeltaP(AI$5,$B$5,$H18,$C$5,0,$D$6)</f>
        <v>-0.58971137061967149</v>
      </c>
      <c r="AJ18" cm="1">
        <f t="array" ref="AJ18">DeltaP(AJ$5,$B$5,$H18,$C$5,0,$D$6)</f>
        <v>-0.48263811916107868</v>
      </c>
      <c r="AK18" cm="1">
        <f t="array" ref="AK18">DeltaP(AK$5,$B$5,$H18,$C$5,0,$D$6)</f>
        <v>-0.38208857781104733</v>
      </c>
      <c r="AL18" cm="1">
        <f t="array" ref="AL18">DeltaP(AL$5,$B$5,$H18,$C$5,0,$D$6)</f>
        <v>-0.29323765778258937</v>
      </c>
      <c r="AM18" cm="1">
        <f t="array" ref="AM18">DeltaP(AM$5,$B$5,$H18,$C$5,0,$D$6)</f>
        <v>-0.21871189000521374</v>
      </c>
      <c r="AN18" cm="1">
        <f t="array" ref="AN18">DeltaP(AN$5,$B$5,$H18,$C$5,0,$D$6)</f>
        <v>-0.1589434402215629</v>
      </c>
      <c r="AO18" cm="1">
        <f t="array" ref="AO18">DeltaP(AO$5,$B$5,$H18,$C$5,0,$D$6)</f>
        <v>-0.11283127675234185</v>
      </c>
      <c r="AP18" cm="1">
        <f t="array" ref="AP18">DeltaP(AP$5,$B$5,$H18,$C$5,0,$D$6)</f>
        <v>-7.8429078701002838E-2</v>
      </c>
      <c r="AQ18" cm="1">
        <f t="array" ref="AQ18">DeltaP(AQ$5,$B$5,$H18,$C$5,0,$D$6)</f>
        <v>-5.3500413442041587E-2</v>
      </c>
      <c r="AR18" cm="1">
        <f t="array" ref="AR18">DeltaP(AR$5,$B$5,$H18,$C$5,0,$D$6)</f>
        <v>-3.5889050588990494E-2</v>
      </c>
      <c r="AS18" cm="1">
        <f t="array" ref="AS18">DeltaP(AS$5,$B$5,$H18,$C$5,0,$D$6)</f>
        <v>-2.3719415395278467E-2</v>
      </c>
    </row>
    <row r="19" spans="7:45" x14ac:dyDescent="0.2">
      <c r="H19">
        <v>5</v>
      </c>
      <c r="I19" cm="1">
        <f t="array" ref="I19">DeltaP(I$5,$B$5,$H19,$C$5,0,$D$5)</f>
        <v>-0.79011796313899829</v>
      </c>
      <c r="J19" cm="1">
        <f t="array" ref="J19">DeltaP(J$5,$B$5,$H19,$C$5,0,$D$5)</f>
        <v>-0.73494879354496201</v>
      </c>
      <c r="K19" cm="1">
        <f t="array" ref="K19">DeltaP(K$5,$B$5,$H19,$C$5,0,$D$5)</f>
        <v>-0.67800925822604985</v>
      </c>
      <c r="L19" cm="1">
        <f t="array" ref="L19">DeltaP(L$5,$B$5,$H19,$C$5,0,$D$5)</f>
        <v>-0.62090803102434033</v>
      </c>
      <c r="M19" cm="1">
        <f t="array" ref="M19">DeltaP(M$5,$B$5,$H19,$C$5,0,$D$5)</f>
        <v>-0.5649588516263524</v>
      </c>
      <c r="N19" cm="1">
        <f t="array" ref="N19">DeltaP(N$5,$B$5,$H19,$C$5,0,$D$5)</f>
        <v>-0.51116620365399934</v>
      </c>
      <c r="O19" cm="1">
        <f t="array" ref="O19">DeltaP(O$5,$B$5,$H19,$C$5,0,$D$5)</f>
        <v>-0.46024483687683243</v>
      </c>
      <c r="P19" cm="1">
        <f t="array" ref="P19">DeltaP(P$5,$B$5,$H19,$C$5,0,$D$5)</f>
        <v>-0.41265721312345899</v>
      </c>
      <c r="Q19" cm="1">
        <f t="array" ref="Q19">DeltaP(Q$5,$B$5,$H19,$C$5,0,$D$5)</f>
        <v>-0.36865783860820911</v>
      </c>
      <c r="R19" cm="1">
        <f t="array" ref="R19">DeltaP(R$5,$B$5,$H19,$C$5,0,$D$5)</f>
        <v>-0.32833755733835912</v>
      </c>
      <c r="S19" cm="1">
        <f t="array" ref="S19">DeltaP(S$5,$B$5,$H19,$C$5,0,$D$5)</f>
        <v>-0.29166393636753718</v>
      </c>
      <c r="T19" cm="1">
        <f t="array" ref="T19">DeltaP(T$5,$B$5,$H19,$C$5,0,$D$5)</f>
        <v>-0.25851595379743586</v>
      </c>
      <c r="U19" cm="1">
        <f t="array" ref="U19">DeltaP(U$5,$B$5,$H19,$C$5,0,$D$5)</f>
        <v>-0.22871250967264009</v>
      </c>
      <c r="V19" cm="1">
        <f t="array" ref="V19">DeltaP(V$5,$B$5,$H19,$C$5,0,$D$5)</f>
        <v>-0.20203503441308623</v>
      </c>
      <c r="W19" cm="1">
        <f t="array" ref="W19">DeltaP(W$5,$B$5,$H19,$C$5,0,$D$5)</f>
        <v>-0.17824485149296018</v>
      </c>
      <c r="X19" cm="1">
        <f t="array" ref="X19">DeltaP(X$5,$B$5,$H19,$C$5,0,$D$5)</f>
        <v>-0.15709609834194857</v>
      </c>
      <c r="Y19" cm="1">
        <f t="array" ref="Y19">DeltaP(Y$5,$B$5,$H19,$C$5,0,$D$5)</f>
        <v>-0.13834501863406243</v>
      </c>
      <c r="AB19">
        <v>5</v>
      </c>
      <c r="AC19" cm="1">
        <f t="array" ref="AC19">DeltaP(AC$5,$B$5,$H19,$C$5,0,$D$6)</f>
        <v>-0.974356553225038</v>
      </c>
      <c r="AD19" cm="1">
        <f t="array" ref="AD19">DeltaP(AD$5,$B$5,$H19,$C$5,0,$D$6)</f>
        <v>-0.94420754055435308</v>
      </c>
      <c r="AE19" cm="1">
        <f t="array" ref="AE19">DeltaP(AE$5,$B$5,$H19,$C$5,0,$D$6)</f>
        <v>-0.89610914829245725</v>
      </c>
      <c r="AF19" cm="1">
        <f t="array" ref="AF19">DeltaP(AF$5,$B$5,$H19,$C$5,0,$D$6)</f>
        <v>-0.82923414186780242</v>
      </c>
      <c r="AG19" cm="1">
        <f t="array" ref="AG19">DeltaP(AG$5,$B$5,$H19,$C$5,0,$D$6)</f>
        <v>-0.74618038134057052</v>
      </c>
      <c r="AH19" cm="1">
        <f t="array" ref="AH19">DeltaP(AH$5,$B$5,$H19,$C$5,0,$D$6)</f>
        <v>-0.65224792947554422</v>
      </c>
      <c r="AI19" cm="1">
        <f t="array" ref="AI19">DeltaP(AI$5,$B$5,$H19,$C$5,0,$D$6)</f>
        <v>-0.55400095752449929</v>
      </c>
      <c r="AJ19" cm="1">
        <f t="array" ref="AJ19">DeltaP(AJ$5,$B$5,$H19,$C$5,0,$D$6)</f>
        <v>-0.45778339645558364</v>
      </c>
      <c r="AK19" cm="1">
        <f t="array" ref="AK19">DeltaP(AK$5,$B$5,$H19,$C$5,0,$D$6)</f>
        <v>-0.36865783860820911</v>
      </c>
      <c r="AL19" cm="1">
        <f t="array" ref="AL19">DeltaP(AL$5,$B$5,$H19,$C$5,0,$D$6)</f>
        <v>-0.28992410745836317</v>
      </c>
      <c r="AM19" cm="1">
        <f t="array" ref="AM19">DeltaP(AM$5,$B$5,$H19,$C$5,0,$D$6)</f>
        <v>-0.22313437909788209</v>
      </c>
      <c r="AN19" cm="1">
        <f t="array" ref="AN19">DeltaP(AN$5,$B$5,$H19,$C$5,0,$D$6)</f>
        <v>-0.16841574919746677</v>
      </c>
      <c r="AO19" cm="1">
        <f t="array" ref="AO19">DeltaP(AO$5,$B$5,$H19,$C$5,0,$D$6)</f>
        <v>-0.12491199749354726</v>
      </c>
      <c r="AP19" cm="1">
        <f t="array" ref="AP19">DeltaP(AP$5,$B$5,$H19,$C$5,0,$D$6)</f>
        <v>-9.1210373067739839E-2</v>
      </c>
      <c r="AQ19" cm="1">
        <f t="array" ref="AQ19">DeltaP(AQ$5,$B$5,$H19,$C$5,0,$D$6)</f>
        <v>-6.5682765684590111E-2</v>
      </c>
      <c r="AR19" cm="1">
        <f t="array" ref="AR19">DeltaP(AR$5,$B$5,$H19,$C$5,0,$D$6)</f>
        <v>-4.6720544532052058E-2</v>
      </c>
      <c r="AS19" cm="1">
        <f t="array" ref="AS19">DeltaP(AS$5,$B$5,$H19,$C$5,0,$D$6)</f>
        <v>-3.2872391158081847E-2</v>
      </c>
    </row>
    <row r="21" spans="7:45" x14ac:dyDescent="0.2">
      <c r="I21">
        <v>60</v>
      </c>
      <c r="J21">
        <v>65</v>
      </c>
      <c r="K21">
        <v>70</v>
      </c>
      <c r="L21">
        <v>75</v>
      </c>
      <c r="M21">
        <v>80</v>
      </c>
      <c r="N21">
        <v>85</v>
      </c>
      <c r="O21">
        <v>90</v>
      </c>
      <c r="P21">
        <v>95</v>
      </c>
      <c r="Q21">
        <v>100</v>
      </c>
      <c r="R21">
        <v>105</v>
      </c>
      <c r="S21">
        <v>110</v>
      </c>
      <c r="T21">
        <v>115</v>
      </c>
      <c r="U21">
        <v>120</v>
      </c>
      <c r="V21">
        <v>125</v>
      </c>
      <c r="W21">
        <v>130</v>
      </c>
      <c r="X21">
        <v>135</v>
      </c>
      <c r="Y21">
        <v>140</v>
      </c>
      <c r="AC21">
        <v>60</v>
      </c>
      <c r="AD21">
        <v>65</v>
      </c>
      <c r="AE21">
        <v>70</v>
      </c>
      <c r="AF21">
        <v>75</v>
      </c>
      <c r="AG21">
        <v>80</v>
      </c>
      <c r="AH21">
        <v>85</v>
      </c>
      <c r="AI21">
        <v>90</v>
      </c>
      <c r="AJ21">
        <v>95</v>
      </c>
      <c r="AK21">
        <v>100</v>
      </c>
      <c r="AL21">
        <v>105</v>
      </c>
      <c r="AM21">
        <v>110</v>
      </c>
      <c r="AN21">
        <v>115</v>
      </c>
      <c r="AO21">
        <v>120</v>
      </c>
      <c r="AP21">
        <v>125</v>
      </c>
      <c r="AQ21">
        <v>130</v>
      </c>
      <c r="AR21">
        <v>135</v>
      </c>
      <c r="AS21">
        <v>140</v>
      </c>
    </row>
    <row r="22" spans="7:45" x14ac:dyDescent="0.2">
      <c r="H22">
        <v>0.1</v>
      </c>
      <c r="I22" cm="1">
        <f t="array" ref="I22">ThetaP(I$5,$B$5,$H22,$C$5,0,$D$5)</f>
        <v>0.99900049983329897</v>
      </c>
      <c r="J22" cm="1">
        <f t="array" ref="J22">ThetaP(J$5,$B$5,$H22,$C$5,0,$D$5)</f>
        <v>0.99900049887529874</v>
      </c>
      <c r="K22" cm="1">
        <f t="array" ref="K22">ThetaP(K$5,$B$5,$H22,$C$5,0,$D$5)</f>
        <v>0.99899906155706086</v>
      </c>
      <c r="L22" cm="1">
        <f t="array" ref="L22">ThetaP(L$5,$B$5,$H22,$C$5,0,$D$5)</f>
        <v>0.99862098448971548</v>
      </c>
      <c r="M22" cm="1">
        <f t="array" ref="M22">ThetaP(M$5,$B$5,$H22,$C$5,0,$D$5)</f>
        <v>0.97519407081019494</v>
      </c>
      <c r="N22" cm="1">
        <f t="array" ref="N22">ThetaP(N$5,$B$5,$H22,$C$5,0,$D$5)</f>
        <v>0.54855733129317441</v>
      </c>
      <c r="O22" cm="1">
        <f t="array" ref="O22">ThetaP(O$5,$B$5,$H22,$C$5,0,$D$5)</f>
        <v>-2.1117193364442013</v>
      </c>
      <c r="P22" cm="1">
        <f t="array" ref="P22">ThetaP(P$5,$B$5,$H22,$C$5,0,$D$5)</f>
        <v>-8.1590980692675572</v>
      </c>
      <c r="Q22" cm="1">
        <f t="array" ref="Q22">ThetaP(Q$5,$B$5,$H22,$C$5,0,$D$5)</f>
        <v>-12.095676456030986</v>
      </c>
      <c r="R22" cm="1">
        <f t="array" ref="R22">ThetaP(R$5,$B$5,$H22,$C$5,0,$D$5)</f>
        <v>-9.2483456450263439</v>
      </c>
      <c r="S22" cm="1">
        <f t="array" ref="S22">ThetaP(S$5,$B$5,$H22,$C$5,0,$D$5)</f>
        <v>-4.0780845920081221</v>
      </c>
      <c r="T22" cm="1">
        <f t="array" ref="T22">ThetaP(T$5,$B$5,$H22,$C$5,0,$D$5)</f>
        <v>-1.1214044016288782</v>
      </c>
      <c r="U22" cm="1">
        <f t="array" ref="U22">ThetaP(U$5,$B$5,$H22,$C$5,0,$D$5)</f>
        <v>-0.20478230719207197</v>
      </c>
      <c r="V22" cm="1">
        <f t="array" ref="V22">ThetaP(V$5,$B$5,$H22,$C$5,0,$D$5)</f>
        <v>-2.617450344361846E-2</v>
      </c>
      <c r="W22" cm="1">
        <f t="array" ref="W22">ThetaP(W$5,$B$5,$H22,$C$5,0,$D$5)</f>
        <v>-2.4485400061622599E-3</v>
      </c>
      <c r="X22" cm="1">
        <f t="array" ref="X22">ThetaP(X$5,$B$5,$H22,$C$5,0,$D$5)</f>
        <v>-1.7417551172711686E-4</v>
      </c>
      <c r="Y22" cm="1">
        <f t="array" ref="Y22">ThetaP(Y$5,$B$5,$H22,$C$5,0,$D$5)</f>
        <v>-9.737272718525768E-6</v>
      </c>
      <c r="AB22">
        <v>0.1</v>
      </c>
      <c r="AC22" cm="1">
        <f t="array" ref="AC22">ThetaP(AC$5,$B$5,$H22,$C$5,0,$D$6)</f>
        <v>0.99900049983337502</v>
      </c>
      <c r="AD22" cm="1">
        <f t="array" ref="AD22">ThetaP(AD$5,$B$5,$H22,$C$5,0,$D$6)</f>
        <v>0.99900049983337502</v>
      </c>
      <c r="AE22" cm="1">
        <f t="array" ref="AE22">ThetaP(AE$5,$B$5,$H22,$C$5,0,$D$6)</f>
        <v>0.99900049983337502</v>
      </c>
      <c r="AF22" cm="1">
        <f t="array" ref="AF22">ThetaP(AF$5,$B$5,$H22,$C$5,0,$D$6)</f>
        <v>0.99900049983337502</v>
      </c>
      <c r="AG22" cm="1">
        <f t="array" ref="AG22">ThetaP(AG$5,$B$5,$H22,$C$5,0,$D$6)</f>
        <v>0.99900049972392035</v>
      </c>
      <c r="AH22" cm="1">
        <f t="array" ref="AH22">ThetaP(AH$5,$B$5,$H22,$C$5,0,$D$6)</f>
        <v>0.99898778098780616</v>
      </c>
      <c r="AI22" cm="1">
        <f t="array" ref="AI22">ThetaP(AI$5,$B$5,$H22,$C$5,0,$D$6)</f>
        <v>0.97273637615297315</v>
      </c>
      <c r="AJ22" cm="1">
        <f t="array" ref="AJ22">ThetaP(AJ$5,$B$5,$H22,$C$5,0,$D$6)</f>
        <v>-0.7897195980655598</v>
      </c>
      <c r="AK22" cm="1">
        <f t="array" ref="AK22">ThetaP(AK$5,$B$5,$H22,$C$5,0,$D$6)</f>
        <v>-5.8075399991664192</v>
      </c>
      <c r="AL22" cm="1">
        <f t="array" ref="AL22">ThetaP(AL$5,$B$5,$H22,$C$5,0,$D$6)</f>
        <v>-1.810699417230762</v>
      </c>
      <c r="AM22" cm="1">
        <f t="array" ref="AM22">ThetaP(AM$5,$B$5,$H22,$C$5,0,$D$6)</f>
        <v>-6.2769185786992573E-2</v>
      </c>
      <c r="AN22" cm="1">
        <f t="array" ref="AN22">ThetaP(AN$5,$B$5,$H22,$C$5,0,$D$6)</f>
        <v>-3.3224708077408651E-4</v>
      </c>
      <c r="AO22" cm="1">
        <f t="array" ref="AO22">ThetaP(AO$5,$B$5,$H22,$C$5,0,$D$6)</f>
        <v>-3.4429605682443005E-7</v>
      </c>
      <c r="AP22" cm="1">
        <f t="array" ref="AP22">ThetaP(AP$5,$B$5,$H22,$C$5,0,$D$6)</f>
        <v>-8.6037351213146437E-11</v>
      </c>
      <c r="AQ22" cm="1">
        <f t="array" ref="AQ22">ThetaP(AQ$5,$B$5,$H22,$C$5,0,$D$6)</f>
        <v>-6.1918036313055312E-15</v>
      </c>
      <c r="AR22" cm="1">
        <f t="array" ref="AR22">ThetaP(AR$5,$B$5,$H22,$C$5,0,$D$6)</f>
        <v>-1.4944294362165515E-19</v>
      </c>
      <c r="AS22" cm="1">
        <f t="array" ref="AS22">ThetaP(AS$5,$B$5,$H22,$C$5,0,$D$6)</f>
        <v>-1.3795928081529724E-24</v>
      </c>
    </row>
    <row r="23" spans="7:45" x14ac:dyDescent="0.2">
      <c r="H23">
        <v>0.2</v>
      </c>
      <c r="I23" cm="1">
        <f t="array" ref="I23">ThetaP(I$5,$B$5,$H23,$C$5,0,$D$5)</f>
        <v>0.99800134649959127</v>
      </c>
      <c r="J23" cm="1">
        <f t="array" ref="J23">ThetaP(J$5,$B$5,$H23,$C$5,0,$D$5)</f>
        <v>0.99792797307267822</v>
      </c>
      <c r="K23" cm="1">
        <f t="array" ref="K23">ThetaP(K$5,$B$5,$H23,$C$5,0,$D$5)</f>
        <v>0.99510364592377509</v>
      </c>
      <c r="L23" cm="1">
        <f t="array" ref="L23">ThetaP(L$5,$B$5,$H23,$C$5,0,$D$5)</f>
        <v>0.95043853596614603</v>
      </c>
      <c r="M23" cm="1">
        <f t="array" ref="M23">ThetaP(M$5,$B$5,$H23,$C$5,0,$D$5)</f>
        <v>0.61743866769273981</v>
      </c>
      <c r="N23" cm="1">
        <f t="array" ref="N23">ThetaP(N$5,$B$5,$H23,$C$5,0,$D$5)</f>
        <v>-0.67488564249014793</v>
      </c>
      <c r="O23" cm="1">
        <f t="array" ref="O23">ThetaP(O$5,$B$5,$H23,$C$5,0,$D$5)</f>
        <v>-3.448530363019926</v>
      </c>
      <c r="P23" cm="1">
        <f t="array" ref="P23">ThetaP(P$5,$B$5,$H23,$C$5,0,$D$5)</f>
        <v>-6.7318627731180696</v>
      </c>
      <c r="Q23" cm="1">
        <f t="array" ref="Q23">ThetaP(Q$5,$B$5,$H23,$C$5,0,$D$5)</f>
        <v>-8.3926686931937677</v>
      </c>
      <c r="R23" cm="1">
        <f t="array" ref="R23">ThetaP(R$5,$B$5,$H23,$C$5,0,$D$5)</f>
        <v>-7.4644330953714304</v>
      </c>
      <c r="S23" cm="1">
        <f t="array" ref="S23">ThetaP(S$5,$B$5,$H23,$C$5,0,$D$5)</f>
        <v>-5.018355566021703</v>
      </c>
      <c r="T23" cm="1">
        <f t="array" ref="T23">ThetaP(T$5,$B$5,$H23,$C$5,0,$D$5)</f>
        <v>-2.6572464154554019</v>
      </c>
      <c r="U23" cm="1">
        <f t="array" ref="U23">ThetaP(U$5,$B$5,$H23,$C$5,0,$D$5)</f>
        <v>-1.144782276154872</v>
      </c>
      <c r="V23" cm="1">
        <f t="array" ref="V23">ThetaP(V$5,$B$5,$H23,$C$5,0,$D$5)</f>
        <v>-0.41218696842047664</v>
      </c>
      <c r="W23" cm="1">
        <f t="array" ref="W23">ThetaP(W$5,$B$5,$H23,$C$5,0,$D$5)</f>
        <v>-0.12687495357070297</v>
      </c>
      <c r="X23" cm="1">
        <f t="array" ref="X23">ThetaP(X$5,$B$5,$H23,$C$5,0,$D$5)</f>
        <v>-3.4037170429394172E-2</v>
      </c>
      <c r="Y23" cm="1">
        <f t="array" ref="Y23">ThetaP(Y$5,$B$5,$H23,$C$5,0,$D$5)</f>
        <v>-8.0916679745358117E-3</v>
      </c>
      <c r="AB23">
        <v>0.2</v>
      </c>
      <c r="AC23" cm="1">
        <f t="array" ref="AC23">ThetaP(AC$5,$B$5,$H23,$C$5,0,$D$6)</f>
        <v>0.99800199866733308</v>
      </c>
      <c r="AD23" cm="1">
        <f t="array" ref="AD23">ThetaP(AD$5,$B$5,$H23,$C$5,0,$D$6)</f>
        <v>0.99800199866733308</v>
      </c>
      <c r="AE23" cm="1">
        <f t="array" ref="AE23">ThetaP(AE$5,$B$5,$H23,$C$5,0,$D$6)</f>
        <v>0.99800199866725026</v>
      </c>
      <c r="AF23" cm="1">
        <f t="array" ref="AF23">ThetaP(AF$5,$B$5,$H23,$C$5,0,$D$6)</f>
        <v>0.99800199328363903</v>
      </c>
      <c r="AG23" cm="1">
        <f t="array" ref="AG23">ThetaP(AG$5,$B$5,$H23,$C$5,0,$D$6)</f>
        <v>0.99798213302196503</v>
      </c>
      <c r="AH23" cm="1">
        <f t="array" ref="AH23">ThetaP(AH$5,$B$5,$H23,$C$5,0,$D$6)</f>
        <v>0.99130400341108649</v>
      </c>
      <c r="AI23" cm="1">
        <f t="array" ref="AI23">ThetaP(AI$5,$B$5,$H23,$C$5,0,$D$6)</f>
        <v>0.69579159642014521</v>
      </c>
      <c r="AJ23" cm="1">
        <f t="array" ref="AJ23">ThetaP(AJ$5,$B$5,$H23,$C$5,0,$D$6)</f>
        <v>-1.4973228889204435</v>
      </c>
      <c r="AK23" cm="1">
        <f t="array" ref="AK23">ThetaP(AK$5,$B$5,$H23,$C$5,0,$D$6)</f>
        <v>-3.9601869299172963</v>
      </c>
      <c r="AL23" cm="1">
        <f t="array" ref="AL23">ThetaP(AL$5,$B$5,$H23,$C$5,0,$D$6)</f>
        <v>-2.2626521291589863</v>
      </c>
      <c r="AM23" cm="1">
        <f t="array" ref="AM23">ThetaP(AM$5,$B$5,$H23,$C$5,0,$D$6)</f>
        <v>-0.42232474959508837</v>
      </c>
      <c r="AN23" cm="1">
        <f t="array" ref="AN23">ThetaP(AN$5,$B$5,$H23,$C$5,0,$D$6)</f>
        <v>-3.0599875820822964E-2</v>
      </c>
      <c r="AO23" cm="1">
        <f t="array" ref="AO23">ThetaP(AO$5,$B$5,$H23,$C$5,0,$D$6)</f>
        <v>-9.7858748358038857E-4</v>
      </c>
      <c r="AP23" cm="1">
        <f t="array" ref="AP23">ThetaP(AP$5,$B$5,$H23,$C$5,0,$D$6)</f>
        <v>-1.5352671158520953E-5</v>
      </c>
      <c r="AQ23" cm="1">
        <f t="array" ref="AQ23">ThetaP(AQ$5,$B$5,$H23,$C$5,0,$D$6)</f>
        <v>-1.2920579052956619E-7</v>
      </c>
      <c r="AR23" cm="1">
        <f t="array" ref="AR23">ThetaP(AR$5,$B$5,$H23,$C$5,0,$D$6)</f>
        <v>-6.2964192905547412E-10</v>
      </c>
      <c r="AS23" cm="1">
        <f t="array" ref="AS23">ThetaP(AS$5,$B$5,$H23,$C$5,0,$D$6)</f>
        <v>-1.8976923522066318E-12</v>
      </c>
    </row>
    <row r="24" spans="7:45" x14ac:dyDescent="0.2">
      <c r="H24">
        <v>0.3</v>
      </c>
      <c r="I24" cm="1">
        <f t="array" ref="I24">ThetaP(I$5,$B$5,$H24,$C$5,0,$D$5)</f>
        <v>0.99688193700553596</v>
      </c>
      <c r="J24" cm="1">
        <f t="array" ref="J24">ThetaP(J$5,$B$5,$H24,$C$5,0,$D$5)</f>
        <v>0.99410926032576319</v>
      </c>
      <c r="K24" cm="1">
        <f t="array" ref="K24">ThetaP(K$5,$B$5,$H24,$C$5,0,$D$5)</f>
        <v>0.9633732184006929</v>
      </c>
      <c r="L24" cm="1">
        <f t="array" ref="L24">ThetaP(L$5,$B$5,$H24,$C$5,0,$D$5)</f>
        <v>0.77823150093341042</v>
      </c>
      <c r="M24" cm="1">
        <f t="array" ref="M24">ThetaP(M$5,$B$5,$H24,$C$5,0,$D$5)</f>
        <v>0.11534713150987852</v>
      </c>
      <c r="N24" cm="1">
        <f t="array" ref="N24">ThetaP(N$5,$B$5,$H24,$C$5,0,$D$5)</f>
        <v>-1.3871400791380164</v>
      </c>
      <c r="O24" cm="1">
        <f t="array" ref="O24">ThetaP(O$5,$B$5,$H24,$C$5,0,$D$5)</f>
        <v>-3.6159282798071679</v>
      </c>
      <c r="P24" cm="1">
        <f t="array" ref="P24">ThetaP(P$5,$B$5,$H24,$C$5,0,$D$5)</f>
        <v>-5.7346587216980254</v>
      </c>
      <c r="Q24" cm="1">
        <f t="array" ref="Q24">ThetaP(Q$5,$B$5,$H24,$C$5,0,$D$5)</f>
        <v>-6.7497216570496255</v>
      </c>
      <c r="R24" cm="1">
        <f t="array" ref="R24">ThetaP(R$5,$B$5,$H24,$C$5,0,$D$5)</f>
        <v>-6.3173777590245752</v>
      </c>
      <c r="S24" cm="1">
        <f t="array" ref="S24">ThetaP(S$5,$B$5,$H24,$C$5,0,$D$5)</f>
        <v>-4.8924523562509412</v>
      </c>
      <c r="T24" cm="1">
        <f t="array" ref="T24">ThetaP(T$5,$B$5,$H24,$C$5,0,$D$5)</f>
        <v>-3.2254999161462918</v>
      </c>
      <c r="U24" cm="1">
        <f t="array" ref="U24">ThetaP(U$5,$B$5,$H24,$C$5,0,$D$5)</f>
        <v>-1.8511145815624972</v>
      </c>
      <c r="V24" cm="1">
        <f t="array" ref="V24">ThetaP(V$5,$B$5,$H24,$C$5,0,$D$5)</f>
        <v>-0.94182896968364127</v>
      </c>
      <c r="W24" cm="1">
        <f t="array" ref="W24">ThetaP(W$5,$B$5,$H24,$C$5,0,$D$5)</f>
        <v>-0.431386336782075</v>
      </c>
      <c r="X24" cm="1">
        <f t="array" ref="X24">ThetaP(X$5,$B$5,$H24,$C$5,0,$D$5)</f>
        <v>-0.18020635060670276</v>
      </c>
      <c r="Y24" cm="1">
        <f t="array" ref="Y24">ThetaP(Y$5,$B$5,$H24,$C$5,0,$D$5)</f>
        <v>-6.9427651434640525E-2</v>
      </c>
      <c r="AB24">
        <v>0.3</v>
      </c>
      <c r="AC24" cm="1">
        <f t="array" ref="AC24">ThetaP(AC$5,$B$5,$H24,$C$5,0,$D$6)</f>
        <v>0.997004495503373</v>
      </c>
      <c r="AD24" cm="1">
        <f t="array" ref="AD24">ThetaP(AD$5,$B$5,$H24,$C$5,0,$D$6)</f>
        <v>0.99700449550320425</v>
      </c>
      <c r="AE24" cm="1">
        <f t="array" ref="AE24">ThetaP(AE$5,$B$5,$H24,$C$5,0,$D$6)</f>
        <v>0.9970044927734858</v>
      </c>
      <c r="AF24" cm="1">
        <f t="array" ref="AF24">ThetaP(AF$5,$B$5,$H24,$C$5,0,$D$6)</f>
        <v>0.99700012432101248</v>
      </c>
      <c r="AG24" cm="1">
        <f t="array" ref="AG24">ThetaP(AG$5,$B$5,$H24,$C$5,0,$D$6)</f>
        <v>0.99596895090905213</v>
      </c>
      <c r="AH24" cm="1">
        <f t="array" ref="AH24">ThetaP(AH$5,$B$5,$H24,$C$5,0,$D$6)</f>
        <v>0.94713351649706823</v>
      </c>
      <c r="AI24" cm="1">
        <f t="array" ref="AI24">ThetaP(AI$5,$B$5,$H24,$C$5,0,$D$6)</f>
        <v>0.36663809142084636</v>
      </c>
      <c r="AJ24" cm="1">
        <f t="array" ref="AJ24">ThetaP(AJ$5,$B$5,$H24,$C$5,0,$D$6)</f>
        <v>-1.5859936162182988</v>
      </c>
      <c r="AK24" cm="1">
        <f t="array" ref="AK24">ThetaP(AK$5,$B$5,$H24,$C$5,0,$D$6)</f>
        <v>-3.1419467979396183</v>
      </c>
      <c r="AL24" cm="1">
        <f t="array" ref="AL24">ThetaP(AL$5,$B$5,$H24,$C$5,0,$D$6)</f>
        <v>-2.203339669260274</v>
      </c>
      <c r="AM24" cm="1">
        <f t="array" ref="AM24">ThetaP(AM$5,$B$5,$H24,$C$5,0,$D$6)</f>
        <v>-0.72297944599120456</v>
      </c>
      <c r="AN24" cm="1">
        <f t="array" ref="AN24">ThetaP(AN$5,$B$5,$H24,$C$5,0,$D$6)</f>
        <v>-0.12556750902794736</v>
      </c>
      <c r="AO24" cm="1">
        <f t="array" ref="AO24">ThetaP(AO$5,$B$5,$H24,$C$5,0,$D$6)</f>
        <v>-1.2613281465951991E-2</v>
      </c>
      <c r="AP24" cm="1">
        <f t="array" ref="AP24">ThetaP(AP$5,$B$5,$H24,$C$5,0,$D$6)</f>
        <v>-7.8724424144587175E-4</v>
      </c>
      <c r="AQ24" cm="1">
        <f t="array" ref="AQ24">ThetaP(AQ$5,$B$5,$H24,$C$5,0,$D$6)</f>
        <v>-3.2421794040907543E-5</v>
      </c>
      <c r="AR24" cm="1">
        <f t="array" ref="AR24">ThetaP(AR$5,$B$5,$H24,$C$5,0,$D$6)</f>
        <v>-9.2739636673389884E-7</v>
      </c>
      <c r="AS24" cm="1">
        <f t="array" ref="AS24">ThetaP(AS$5,$B$5,$H24,$C$5,0,$D$6)</f>
        <v>-1.9254441945968837E-8</v>
      </c>
    </row>
    <row r="25" spans="7:45" x14ac:dyDescent="0.2">
      <c r="H25">
        <v>0.4</v>
      </c>
      <c r="I25" cm="1">
        <f t="array" ref="I25">ThetaP(I$5,$B$5,$H25,$C$5,0,$D$5)</f>
        <v>0.99439594292923583</v>
      </c>
      <c r="J25" cm="1">
        <f t="array" ref="J25">ThetaP(J$5,$B$5,$H25,$C$5,0,$D$5)</f>
        <v>0.97863093576913784</v>
      </c>
      <c r="K25" cm="1">
        <f t="array" ref="K25">ThetaP(K$5,$B$5,$H25,$C$5,0,$D$5)</f>
        <v>0.88603277559454785</v>
      </c>
      <c r="L25" cm="1">
        <f t="array" ref="L25">ThetaP(L$5,$B$5,$H25,$C$5,0,$D$5)</f>
        <v>0.54546193818387234</v>
      </c>
      <c r="M25" cm="1">
        <f t="array" ref="M25">ThetaP(M$5,$B$5,$H25,$C$5,0,$D$5)</f>
        <v>-0.29303186504296386</v>
      </c>
      <c r="N25" cm="1">
        <f t="array" ref="N25">ThetaP(N$5,$B$5,$H25,$C$5,0,$D$5)</f>
        <v>-1.7389375921458454</v>
      </c>
      <c r="O25" cm="1">
        <f t="array" ref="O25">ThetaP(O$5,$B$5,$H25,$C$5,0,$D$5)</f>
        <v>-3.5202928401114129</v>
      </c>
      <c r="P25" cm="1">
        <f t="array" ref="P25">ThetaP(P$5,$B$5,$H25,$C$5,0,$D$5)</f>
        <v>-5.0438541477012961</v>
      </c>
      <c r="Q25" cm="1">
        <f t="array" ref="Q25">ThetaP(Q$5,$B$5,$H25,$C$5,0,$D$5)</f>
        <v>-5.7689426337573009</v>
      </c>
      <c r="R25" cm="1">
        <f t="array" ref="R25">ThetaP(R$5,$B$5,$H25,$C$5,0,$D$5)</f>
        <v>-5.5406786998340793</v>
      </c>
      <c r="S25" cm="1">
        <f t="array" ref="S25">ThetaP(S$5,$B$5,$H25,$C$5,0,$D$5)</f>
        <v>-4.6073434319866857</v>
      </c>
      <c r="T25" cm="1">
        <f t="array" ref="T25">ThetaP(T$5,$B$5,$H25,$C$5,0,$D$5)</f>
        <v>-3.3908163258512509</v>
      </c>
      <c r="U25" cm="1">
        <f t="array" ref="U25">ThetaP(U$5,$B$5,$H25,$C$5,0,$D$5)</f>
        <v>-2.2468625601689474</v>
      </c>
      <c r="V25" cm="1">
        <f t="array" ref="V25">ThetaP(V$5,$B$5,$H25,$C$5,0,$D$5)</f>
        <v>-1.3593744850014768</v>
      </c>
      <c r="W25" cm="1">
        <f t="array" ref="W25">ThetaP(W$5,$B$5,$H25,$C$5,0,$D$5)</f>
        <v>-0.75972878694261858</v>
      </c>
      <c r="X25" cm="1">
        <f t="array" ref="X25">ThetaP(X$5,$B$5,$H25,$C$5,0,$D$5)</f>
        <v>-0.3961192161942334</v>
      </c>
      <c r="Y25" cm="1">
        <f t="array" ref="Y25">ThetaP(Y$5,$B$5,$H25,$C$5,0,$D$5)</f>
        <v>-0.19431783077569245</v>
      </c>
      <c r="AB25">
        <v>0.4</v>
      </c>
      <c r="AC25" cm="1">
        <f t="array" ref="AC25">ThetaP(AC$5,$B$5,$H25,$C$5,0,$D$6)</f>
        <v>0.9960079893439634</v>
      </c>
      <c r="AD25" cm="1">
        <f t="array" ref="AD25">ThetaP(AD$5,$B$5,$H25,$C$5,0,$D$6)</f>
        <v>0.99600798900972876</v>
      </c>
      <c r="AE25" cm="1">
        <f t="array" ref="AE25">ThetaP(AE$5,$B$5,$H25,$C$5,0,$D$6)</f>
        <v>0.996007513408245</v>
      </c>
      <c r="AF25" cm="1">
        <f t="array" ref="AF25">ThetaP(AF$5,$B$5,$H25,$C$5,0,$D$6)</f>
        <v>0.9958883099048409</v>
      </c>
      <c r="AG25" cm="1">
        <f t="array" ref="AG25">ThetaP(AG$5,$B$5,$H25,$C$5,0,$D$6)</f>
        <v>0.98881913585549774</v>
      </c>
      <c r="AH25" cm="1">
        <f t="array" ref="AH25">ThetaP(AH$5,$B$5,$H25,$C$5,0,$D$6)</f>
        <v>0.86504366324168969</v>
      </c>
      <c r="AI25" cm="1">
        <f t="array" ref="AI25">ThetaP(AI$5,$B$5,$H25,$C$5,0,$D$6)</f>
        <v>0.11879670036705237</v>
      </c>
      <c r="AJ25" cm="1">
        <f t="array" ref="AJ25">ThetaP(AJ$5,$B$5,$H25,$C$5,0,$D$6)</f>
        <v>-1.5394857255132948</v>
      </c>
      <c r="AK25" cm="1">
        <f t="array" ref="AK25">ThetaP(AK$5,$B$5,$H25,$C$5,0,$D$6)</f>
        <v>-2.6543141298144004</v>
      </c>
      <c r="AL25" cm="1">
        <f t="array" ref="AL25">ThetaP(AL$5,$B$5,$H25,$C$5,0,$D$6)</f>
        <v>-2.0653499125399302</v>
      </c>
      <c r="AM25" cm="1">
        <f t="array" ref="AM25">ThetaP(AM$5,$B$5,$H25,$C$5,0,$D$6)</f>
        <v>-0.9000345279036136</v>
      </c>
      <c r="AN25" cm="1">
        <f t="array" ref="AN25">ThetaP(AN$5,$B$5,$H25,$C$5,0,$D$6)</f>
        <v>-0.24231714422734396</v>
      </c>
      <c r="AO25" cm="1">
        <f t="array" ref="AO25">ThetaP(AO$5,$B$5,$H25,$C$5,0,$D$6)</f>
        <v>-4.3177143501940407E-2</v>
      </c>
      <c r="AP25" cm="1">
        <f t="array" ref="AP25">ThetaP(AP$5,$B$5,$H25,$C$5,0,$D$6)</f>
        <v>-5.3785293790866761E-3</v>
      </c>
      <c r="AQ25" cm="1">
        <f t="array" ref="AQ25">ThetaP(AQ$5,$B$5,$H25,$C$5,0,$D$6)</f>
        <v>-4.9024772665198768E-4</v>
      </c>
      <c r="AR25" cm="1">
        <f t="array" ref="AR25">ThetaP(AR$5,$B$5,$H25,$C$5,0,$D$6)</f>
        <v>-3.398709484486626E-5</v>
      </c>
      <c r="AS25" cm="1">
        <f t="array" ref="AS25">ThetaP(AS$5,$B$5,$H25,$C$5,0,$D$6)</f>
        <v>-1.8525683084748398E-6</v>
      </c>
    </row>
    <row r="26" spans="7:45" x14ac:dyDescent="0.2">
      <c r="H26">
        <v>0.5</v>
      </c>
      <c r="I26" cm="1">
        <f t="array" ref="I26">ThetaP(I$5,$B$5,$H26,$C$5,0,$D$5)</f>
        <v>0.98763018280073334</v>
      </c>
      <c r="J26" cm="1">
        <f t="array" ref="J26">ThetaP(J$5,$B$5,$H26,$C$5,0,$D$5)</f>
        <v>0.94530577283212869</v>
      </c>
      <c r="K26" cm="1">
        <f t="array" ref="K26">ThetaP(K$5,$B$5,$H26,$C$5,0,$D$5)</f>
        <v>0.7764542178207362</v>
      </c>
      <c r="L26" cm="1">
        <f t="array" ref="L26">ThetaP(L$5,$B$5,$H26,$C$5,0,$D$5)</f>
        <v>0.31641278326434052</v>
      </c>
      <c r="M26" cm="1">
        <f t="array" ref="M26">ThetaP(M$5,$B$5,$H26,$C$5,0,$D$5)</f>
        <v>-0.58610581035956533</v>
      </c>
      <c r="N26" cm="1">
        <f t="array" ref="N26">ThetaP(N$5,$B$5,$H26,$C$5,0,$D$5)</f>
        <v>-1.9058489622857424</v>
      </c>
      <c r="O26" cm="1">
        <f t="array" ref="O26">ThetaP(O$5,$B$5,$H26,$C$5,0,$D$5)</f>
        <v>-3.3616483018610697</v>
      </c>
      <c r="P26" cm="1">
        <f t="array" ref="P26">ThetaP(P$5,$B$5,$H26,$C$5,0,$D$5)</f>
        <v>-4.53473743782118</v>
      </c>
      <c r="Q26" cm="1">
        <f t="array" ref="Q26">ThetaP(Q$5,$B$5,$H26,$C$5,0,$D$5)</f>
        <v>-5.0987115526179076</v>
      </c>
      <c r="R26" cm="1">
        <f t="array" ref="R26">ThetaP(R$5,$B$5,$H26,$C$5,0,$D$5)</f>
        <v>-4.9744563869553877</v>
      </c>
      <c r="S26" cm="1">
        <f t="array" ref="S26">ThetaP(S$5,$B$5,$H26,$C$5,0,$D$5)</f>
        <v>-4.3180328031525823</v>
      </c>
      <c r="T26" cm="1">
        <f t="array" ref="T26">ThetaP(T$5,$B$5,$H26,$C$5,0,$D$5)</f>
        <v>-3.3956622059527843</v>
      </c>
      <c r="U26" cm="1">
        <f t="array" ref="U26">ThetaP(U$5,$B$5,$H26,$C$5,0,$D$5)</f>
        <v>-2.4533738053717551</v>
      </c>
      <c r="V26" cm="1">
        <f t="array" ref="V26">ThetaP(V$5,$B$5,$H26,$C$5,0,$D$5)</f>
        <v>-1.6472275036765844</v>
      </c>
      <c r="W26" cm="1">
        <f t="array" ref="W26">ThetaP(W$5,$B$5,$H26,$C$5,0,$D$5)</f>
        <v>-1.0375493692715774</v>
      </c>
      <c r="X26" cm="1">
        <f t="array" ref="X26">ThetaP(X$5,$B$5,$H26,$C$5,0,$D$5)</f>
        <v>-0.61802198227587024</v>
      </c>
      <c r="Y26" cm="1">
        <f t="array" ref="Y26">ThetaP(Y$5,$B$5,$H26,$C$5,0,$D$5)</f>
        <v>-0.35051410552760109</v>
      </c>
      <c r="AB26">
        <v>0.5</v>
      </c>
      <c r="AC26" cm="1">
        <f t="array" ref="AC26">ThetaP(AC$5,$B$5,$H26,$C$5,0,$D$6)</f>
        <v>0.99501247917551994</v>
      </c>
      <c r="AD26" cm="1">
        <f t="array" ref="AD26">ThetaP(AD$5,$B$5,$H26,$C$5,0,$D$6)</f>
        <v>0.99501244815454448</v>
      </c>
      <c r="AE26" cm="1">
        <f t="array" ref="AE26">ThetaP(AE$5,$B$5,$H26,$C$5,0,$D$6)</f>
        <v>0.99500219659371658</v>
      </c>
      <c r="AF26" cm="1">
        <f t="array" ref="AF26">ThetaP(AF$5,$B$5,$H26,$C$5,0,$D$6)</f>
        <v>0.99416065350905569</v>
      </c>
      <c r="AG26" cm="1">
        <f t="array" ref="AG26">ThetaP(AG$5,$B$5,$H26,$C$5,0,$D$6)</f>
        <v>0.97254026167264629</v>
      </c>
      <c r="AH26" cm="1">
        <f t="array" ref="AH26">ThetaP(AH$5,$B$5,$H26,$C$5,0,$D$6)</f>
        <v>0.76640026527330196</v>
      </c>
      <c r="AI26" cm="1">
        <f t="array" ref="AI26">ThetaP(AI$5,$B$5,$H26,$C$5,0,$D$6)</f>
        <v>-5.1883065329306532E-2</v>
      </c>
      <c r="AJ26" cm="1">
        <f t="array" ref="AJ26">ThetaP(AJ$5,$B$5,$H26,$C$5,0,$D$6)</f>
        <v>-1.461064539710867</v>
      </c>
      <c r="AK26" cm="1">
        <f t="array" ref="AK26">ThetaP(AK$5,$B$5,$H26,$C$5,0,$D$6)</f>
        <v>-2.3216498594452881</v>
      </c>
      <c r="AL26" cm="1">
        <f t="array" ref="AL26">ThetaP(AL$5,$B$5,$H26,$C$5,0,$D$6)</f>
        <v>-1.9246678386781297</v>
      </c>
      <c r="AM26" cm="1">
        <f t="array" ref="AM26">ThetaP(AM$5,$B$5,$H26,$C$5,0,$D$6)</f>
        <v>-0.99542496826192928</v>
      </c>
      <c r="AN26" cm="1">
        <f t="array" ref="AN26">ThetaP(AN$5,$B$5,$H26,$C$5,0,$D$6)</f>
        <v>-0.34891286314387721</v>
      </c>
      <c r="AO26" cm="1">
        <f t="array" ref="AO26">ThetaP(AO$5,$B$5,$H26,$C$5,0,$D$6)</f>
        <v>-8.7741874543301929E-2</v>
      </c>
      <c r="AP26" cm="1">
        <f t="array" ref="AP26">ThetaP(AP$5,$B$5,$H26,$C$5,0,$D$6)</f>
        <v>-1.6553712702115954E-2</v>
      </c>
      <c r="AQ26" cm="1">
        <f t="array" ref="AQ26">ThetaP(AQ$5,$B$5,$H26,$C$5,0,$D$6)</f>
        <v>-2.4311784336870619E-3</v>
      </c>
      <c r="AR26" cm="1">
        <f t="array" ref="AR26">ThetaP(AR$5,$B$5,$H26,$C$5,0,$D$6)</f>
        <v>-2.8675996175023705E-4</v>
      </c>
      <c r="AS26" cm="1">
        <f t="array" ref="AS26">ThetaP(AS$5,$B$5,$H26,$C$5,0,$D$6)</f>
        <v>-2.7899243174128561E-5</v>
      </c>
    </row>
    <row r="27" spans="7:45" x14ac:dyDescent="0.2">
      <c r="G27" t="s">
        <v>48</v>
      </c>
      <c r="H27">
        <v>0.6</v>
      </c>
      <c r="I27" cm="1">
        <f t="array" ref="I27">ThetaP(I$5,$B$5,$H27,$C$5,0,$D$5)</f>
        <v>0.97398549070168927</v>
      </c>
      <c r="J27" cm="1">
        <f t="array" ref="J27">ThetaP(J$5,$B$5,$H27,$C$5,0,$D$5)</f>
        <v>0.89544451841254857</v>
      </c>
      <c r="K27" cm="1">
        <f t="array" ref="K27">ThetaP(K$5,$B$5,$H27,$C$5,0,$D$5)</f>
        <v>0.65398241583599981</v>
      </c>
      <c r="L27" cm="1">
        <f t="array" ref="L27">ThetaP(L$5,$B$5,$H27,$C$5,0,$D$5)</f>
        <v>0.11627883078417733</v>
      </c>
      <c r="M27" cm="1">
        <f t="array" ref="M27">ThetaP(M$5,$B$5,$H27,$C$5,0,$D$5)</f>
        <v>-0.78970111995132997</v>
      </c>
      <c r="N27" cm="1">
        <f t="array" ref="N27">ThetaP(N$5,$B$5,$H27,$C$5,0,$D$5)</f>
        <v>-1.9767403769005272</v>
      </c>
      <c r="O27" cm="1">
        <f t="array" ref="O27">ThetaP(O$5,$B$5,$H27,$C$5,0,$D$5)</f>
        <v>-3.1945900827283848</v>
      </c>
      <c r="P27" cm="1">
        <f t="array" ref="P27">ThetaP(P$5,$B$5,$H27,$C$5,0,$D$5)</f>
        <v>-4.1407234027349515</v>
      </c>
      <c r="Q27" cm="1">
        <f t="array" ref="Q27">ThetaP(Q$5,$B$5,$H27,$C$5,0,$D$5)</f>
        <v>-4.6033113996096819</v>
      </c>
      <c r="R27" cm="1">
        <f t="array" ref="R27">ThetaP(R$5,$B$5,$H27,$C$5,0,$D$5)</f>
        <v>-4.5390496546010546</v>
      </c>
      <c r="S27" cm="1">
        <f t="array" ref="S27">ThetaP(S$5,$B$5,$H27,$C$5,0,$D$5)</f>
        <v>-4.0552612780136332</v>
      </c>
      <c r="T27" cm="1">
        <f t="array" ref="T27">ThetaP(T$5,$B$5,$H27,$C$5,0,$D$5)</f>
        <v>-3.3337029947099115</v>
      </c>
      <c r="U27" cm="1">
        <f t="array" ref="U27">ThetaP(U$5,$B$5,$H27,$C$5,0,$D$5)</f>
        <v>-2.552025722865932</v>
      </c>
      <c r="V27" cm="1">
        <f t="array" ref="V27">ThetaP(V$5,$B$5,$H27,$C$5,0,$D$5)</f>
        <v>-1.8369317218040848</v>
      </c>
      <c r="W27" cm="1">
        <f t="array" ref="W27">ThetaP(W$5,$B$5,$H27,$C$5,0,$D$5)</f>
        <v>-1.2532299104224689</v>
      </c>
      <c r="X27" cm="1">
        <f t="array" ref="X27">ThetaP(X$5,$B$5,$H27,$C$5,0,$D$5)</f>
        <v>-0.81588558083778606</v>
      </c>
      <c r="Y27" cm="1">
        <f t="array" ref="Y27">ThetaP(Y$5,$B$5,$H27,$C$5,0,$D$5)</f>
        <v>-0.5097835159348818</v>
      </c>
      <c r="AA27" t="s">
        <v>48</v>
      </c>
      <c r="AB27">
        <v>0.6</v>
      </c>
      <c r="AC27" cm="1">
        <f t="array" ref="AC27">ThetaP(AC$5,$B$5,$H27,$C$5,0,$D$6)</f>
        <v>0.99401796283806776</v>
      </c>
      <c r="AD27" cm="1">
        <f t="array" ref="AD27">ThetaP(AD$5,$B$5,$H27,$C$5,0,$D$6)</f>
        <v>0.9940173375389828</v>
      </c>
      <c r="AE27" cm="1">
        <f t="array" ref="AE27">ThetaP(AE$5,$B$5,$H27,$C$5,0,$D$6)</f>
        <v>0.99393942712703431</v>
      </c>
      <c r="AF27" cm="1">
        <f t="array" ref="AF27">ThetaP(AF$5,$B$5,$H27,$C$5,0,$D$6)</f>
        <v>0.99091363042718184</v>
      </c>
      <c r="AG27" cm="1">
        <f t="array" ref="AG27">ThetaP(AG$5,$B$5,$H27,$C$5,0,$D$6)</f>
        <v>0.94668166780809726</v>
      </c>
      <c r="AH27" cm="1">
        <f t="array" ref="AH27">ThetaP(AH$5,$B$5,$H27,$C$5,0,$D$6)</f>
        <v>0.66731630504920492</v>
      </c>
      <c r="AI27" cm="1">
        <f t="array" ref="AI27">ThetaP(AI$5,$B$5,$H27,$C$5,0,$D$6)</f>
        <v>-0.16764960277222407</v>
      </c>
      <c r="AJ27" cm="1">
        <f t="array" ref="AJ27">ThetaP(AJ$5,$B$5,$H27,$C$5,0,$D$6)</f>
        <v>-1.3784963563176982</v>
      </c>
      <c r="AK27" cm="1">
        <f t="array" ref="AK27">ThetaP(AK$5,$B$5,$H27,$C$5,0,$D$6)</f>
        <v>-2.0761832603862636</v>
      </c>
      <c r="AL27" cm="1">
        <f t="array" ref="AL27">ThetaP(AL$5,$B$5,$H27,$C$5,0,$D$6)</f>
        <v>-1.7966717598432358</v>
      </c>
      <c r="AM27" cm="1">
        <f t="array" ref="AM27">ThetaP(AM$5,$B$5,$H27,$C$5,0,$D$6)</f>
        <v>-1.0423925619359131</v>
      </c>
      <c r="AN27" cm="1">
        <f t="array" ref="AN27">ThetaP(AN$5,$B$5,$H27,$C$5,0,$D$6)</f>
        <v>-0.43590187473800573</v>
      </c>
      <c r="AO27" cm="1">
        <f t="array" ref="AO27">ThetaP(AO$5,$B$5,$H27,$C$5,0,$D$6)</f>
        <v>-0.1379830599291339</v>
      </c>
      <c r="AP27" cm="1">
        <f t="array" ref="AP27">ThetaP(AP$5,$B$5,$H27,$C$5,0,$D$6)</f>
        <v>-3.4344257269802107E-2</v>
      </c>
      <c r="AQ27" cm="1">
        <f t="array" ref="AQ27">ThetaP(AQ$5,$B$5,$H27,$C$5,0,$D$6)</f>
        <v>-6.9343922087800663E-3</v>
      </c>
      <c r="AR27" cm="1">
        <f t="array" ref="AR27">ThetaP(AR$5,$B$5,$H27,$C$5,0,$D$6)</f>
        <v>-1.1659341947907059E-3</v>
      </c>
      <c r="AS27" cm="1">
        <f t="array" ref="AS27">ThetaP(AS$5,$B$5,$H27,$C$5,0,$D$6)</f>
        <v>-1.6694264521460039E-4</v>
      </c>
    </row>
    <row r="28" spans="7:45" x14ac:dyDescent="0.2">
      <c r="H28">
        <v>0.7</v>
      </c>
      <c r="I28" cm="1">
        <f t="array" ref="I28">ThetaP(I$5,$B$5,$H28,$C$5,0,$D$5)</f>
        <v>0.95261837741734356</v>
      </c>
      <c r="J28" cm="1">
        <f t="array" ref="J28">ThetaP(J$5,$B$5,$H28,$C$5,0,$D$5)</f>
        <v>0.83408655321859149</v>
      </c>
      <c r="K28" cm="1">
        <f t="array" ref="K28">ThetaP(K$5,$B$5,$H28,$C$5,0,$D$5)</f>
        <v>0.53196469670471536</v>
      </c>
      <c r="L28" cm="1">
        <f t="array" ref="L28">ThetaP(L$5,$B$5,$H28,$C$5,0,$D$5)</f>
        <v>-5.0139933999313602E-2</v>
      </c>
      <c r="M28" cm="1">
        <f t="array" ref="M28">ThetaP(M$5,$B$5,$H28,$C$5,0,$D$5)</f>
        <v>-0.9297834181549437</v>
      </c>
      <c r="N28" cm="1">
        <f t="array" ref="N28">ThetaP(N$5,$B$5,$H28,$C$5,0,$D$5)</f>
        <v>-1.9958013891681015</v>
      </c>
      <c r="O28" cm="1">
        <f t="array" ref="O28">ThetaP(O$5,$B$5,$H28,$C$5,0,$D$5)</f>
        <v>-3.0354847705334365</v>
      </c>
      <c r="P28" cm="1">
        <f t="array" ref="P28">ThetaP(P$5,$B$5,$H28,$C$5,0,$D$5)</f>
        <v>-3.824451328151206</v>
      </c>
      <c r="Q28" cm="1">
        <f t="array" ref="Q28">ThetaP(Q$5,$B$5,$H28,$C$5,0,$D$5)</f>
        <v>-4.2177896650216011</v>
      </c>
      <c r="R28" cm="1">
        <f t="array" ref="R28">ThetaP(R$5,$B$5,$H28,$C$5,0,$D$5)</f>
        <v>-4.1910307939781939</v>
      </c>
      <c r="S28" cm="1">
        <f t="array" ref="S28">ThetaP(S$5,$B$5,$H28,$C$5,0,$D$5)</f>
        <v>-3.8227081956167788</v>
      </c>
      <c r="T28" cm="1">
        <f t="array" ref="T28">ThetaP(T$5,$B$5,$H28,$C$5,0,$D$5)</f>
        <v>-3.244158778023162</v>
      </c>
      <c r="U28" cm="1">
        <f t="array" ref="U28">ThetaP(U$5,$B$5,$H28,$C$5,0,$D$5)</f>
        <v>-2.5885574442131309</v>
      </c>
      <c r="V28" cm="1">
        <f t="array" ref="V28">ThetaP(V$5,$B$5,$H28,$C$5,0,$D$5)</f>
        <v>-1.9583960131368869</v>
      </c>
      <c r="W28" cm="1">
        <f t="array" ref="W28">ThetaP(W$5,$B$5,$H28,$C$5,0,$D$5)</f>
        <v>-1.4146742944284101</v>
      </c>
      <c r="X28" cm="1">
        <f t="array" ref="X28">ThetaP(X$5,$B$5,$H28,$C$5,0,$D$5)</f>
        <v>-0.98145098172735612</v>
      </c>
      <c r="Y28" cm="1">
        <f t="array" ref="Y28">ThetaP(Y$5,$B$5,$H28,$C$5,0,$D$5)</f>
        <v>-0.65720308983875908</v>
      </c>
      <c r="AB28">
        <v>0.7</v>
      </c>
      <c r="AC28" cm="1">
        <f t="array" ref="AC28">ThetaP(AC$5,$B$5,$H28,$C$5,0,$D$6)</f>
        <v>0.99302441771892436</v>
      </c>
      <c r="AD28" cm="1">
        <f t="array" ref="AD28">ThetaP(AD$5,$B$5,$H28,$C$5,0,$D$6)</f>
        <v>0.99301914283601833</v>
      </c>
      <c r="AE28" cm="1">
        <f t="array" ref="AE28">ThetaP(AE$5,$B$5,$H28,$C$5,0,$D$6)</f>
        <v>0.99269252102128758</v>
      </c>
      <c r="AF28" cm="1">
        <f t="array" ref="AF28">ThetaP(AF$5,$B$5,$H28,$C$5,0,$D$6)</f>
        <v>0.98528881856758976</v>
      </c>
      <c r="AG28" cm="1">
        <f t="array" ref="AG28">ThetaP(AG$5,$B$5,$H28,$C$5,0,$D$6)</f>
        <v>0.91326224949398871</v>
      </c>
      <c r="AH28" cm="1">
        <f t="array" ref="AH28">ThetaP(AH$5,$B$5,$H28,$C$5,0,$D$6)</f>
        <v>0.57562878518581251</v>
      </c>
      <c r="AI28" cm="1">
        <f t="array" ref="AI28">ThetaP(AI$5,$B$5,$H28,$C$5,0,$D$6)</f>
        <v>-0.24622445638101331</v>
      </c>
      <c r="AJ28" cm="1">
        <f t="array" ref="AJ28">ThetaP(AJ$5,$B$5,$H28,$C$5,0,$D$6)</f>
        <v>-1.3000097108217659</v>
      </c>
      <c r="AK28" cm="1">
        <f t="array" ref="AK28">ThetaP(AK$5,$B$5,$H28,$C$5,0,$D$6)</f>
        <v>-1.8854902804973697</v>
      </c>
      <c r="AL28" cm="1">
        <f t="array" ref="AL28">ThetaP(AL$5,$B$5,$H28,$C$5,0,$D$6)</f>
        <v>-1.6833383211190209</v>
      </c>
      <c r="AM28" cm="1">
        <f t="array" ref="AM28">ThetaP(AM$5,$B$5,$H28,$C$5,0,$D$6)</f>
        <v>-1.0607704545172447</v>
      </c>
      <c r="AN28" cm="1">
        <f t="array" ref="AN28">ThetaP(AN$5,$B$5,$H28,$C$5,0,$D$6)</f>
        <v>-0.5034151117305079</v>
      </c>
      <c r="AO28" cm="1">
        <f t="array" ref="AO28">ThetaP(AO$5,$B$5,$H28,$C$5,0,$D$6)</f>
        <v>-0.18789277157795028</v>
      </c>
      <c r="AP28" cm="1">
        <f t="array" ref="AP28">ThetaP(AP$5,$B$5,$H28,$C$5,0,$D$6)</f>
        <v>-5.7018721405866037E-2</v>
      </c>
      <c r="AQ28" cm="1">
        <f t="array" ref="AQ28">ThetaP(AQ$5,$B$5,$H28,$C$5,0,$D$6)</f>
        <v>-1.4454592984464852E-2</v>
      </c>
      <c r="AR28" cm="1">
        <f t="array" ref="AR28">ThetaP(AR$5,$B$5,$H28,$C$5,0,$D$6)</f>
        <v>-3.1312880949857982E-3</v>
      </c>
      <c r="AS28" cm="1">
        <f t="array" ref="AS28">ThetaP(AS$5,$B$5,$H28,$C$5,0,$D$6)</f>
        <v>-5.9094923619857113E-4</v>
      </c>
    </row>
    <row r="29" spans="7:45" x14ac:dyDescent="0.2">
      <c r="H29">
        <v>0.8</v>
      </c>
      <c r="I29" cm="1">
        <f t="array" ref="I29">ThetaP(I$5,$B$5,$H29,$C$5,0,$D$5)</f>
        <v>0.9242237228825162</v>
      </c>
      <c r="J29" cm="1">
        <f t="array" ref="J29">ThetaP(J$5,$B$5,$H29,$C$5,0,$D$5)</f>
        <v>0.76652430998065957</v>
      </c>
      <c r="K29" cm="1">
        <f t="array" ref="K29">ThetaP(K$5,$B$5,$H29,$C$5,0,$D$5)</f>
        <v>0.41752159886720908</v>
      </c>
      <c r="L29" cm="1">
        <f t="array" ref="L29">ThetaP(L$5,$B$5,$H29,$C$5,0,$D$5)</f>
        <v>-0.18555332408299896</v>
      </c>
      <c r="M29" cm="1">
        <f t="array" ref="M29">ThetaP(M$5,$B$5,$H29,$C$5,0,$D$5)</f>
        <v>-1.0255163510733165</v>
      </c>
      <c r="N29" cm="1">
        <f t="array" ref="N29">ThetaP(N$5,$B$5,$H29,$C$5,0,$D$5)</f>
        <v>-1.9860345998435154</v>
      </c>
      <c r="O29" cm="1">
        <f t="array" ref="O29">ThetaP(O$5,$B$5,$H29,$C$5,0,$D$5)</f>
        <v>-2.8888401907880086</v>
      </c>
      <c r="P29" cm="1">
        <f t="array" ref="P29">ThetaP(P$5,$B$5,$H29,$C$5,0,$D$5)</f>
        <v>-3.5634283581480108</v>
      </c>
      <c r="Q29" cm="1">
        <f t="array" ref="Q29">ThetaP(Q$5,$B$5,$H29,$C$5,0,$D$5)</f>
        <v>-3.9066384594976848</v>
      </c>
      <c r="R29" cm="1">
        <f t="array" ref="R29">ThetaP(R$5,$B$5,$H29,$C$5,0,$D$5)</f>
        <v>-3.9046713959218864</v>
      </c>
      <c r="S29" cm="1">
        <f t="array" ref="S29">ThetaP(S$5,$B$5,$H29,$C$5,0,$D$5)</f>
        <v>-3.6176566425247332</v>
      </c>
      <c r="T29" cm="1">
        <f t="array" ref="T29">ThetaP(T$5,$B$5,$H29,$C$5,0,$D$5)</f>
        <v>-3.1446421967134497</v>
      </c>
      <c r="U29" cm="1">
        <f t="array" ref="U29">ThetaP(U$5,$B$5,$H29,$C$5,0,$D$5)</f>
        <v>-2.5886208415488028</v>
      </c>
      <c r="V29" cm="1">
        <f t="array" ref="V29">ThetaP(V$5,$B$5,$H29,$C$5,0,$D$5)</f>
        <v>-2.0331848719140764</v>
      </c>
      <c r="W29" cm="1">
        <f t="array" ref="W29">ThetaP(W$5,$B$5,$H29,$C$5,0,$D$5)</f>
        <v>-1.533141246126773</v>
      </c>
      <c r="X29" cm="1">
        <f t="array" ref="X29">ThetaP(X$5,$B$5,$H29,$C$5,0,$D$5)</f>
        <v>-1.1156717388963</v>
      </c>
      <c r="Y29" cm="1">
        <f t="array" ref="Y29">ThetaP(Y$5,$B$5,$H29,$C$5,0,$D$5)</f>
        <v>-0.78695816956668962</v>
      </c>
      <c r="AB29">
        <v>0.8</v>
      </c>
      <c r="AC29" cm="1">
        <f t="array" ref="AC29">ThetaP(AC$5,$B$5,$H29,$C$5,0,$D$6)</f>
        <v>0.99203167184500241</v>
      </c>
      <c r="AD29" cm="1">
        <f t="array" ref="AD29">ThetaP(AD$5,$B$5,$H29,$C$5,0,$D$6)</f>
        <v>0.99200583942947096</v>
      </c>
      <c r="AE29" cm="1">
        <f t="array" ref="AE29">ThetaP(AE$5,$B$5,$H29,$C$5,0,$D$6)</f>
        <v>0.99106138103316499</v>
      </c>
      <c r="AF29" cm="1">
        <f t="array" ref="AF29">ThetaP(AF$5,$B$5,$H29,$C$5,0,$D$6)</f>
        <v>0.97680968718653949</v>
      </c>
      <c r="AG29" cm="1">
        <f t="array" ref="AG29">ThetaP(AG$5,$B$5,$H29,$C$5,0,$D$6)</f>
        <v>0.87496419115403512</v>
      </c>
      <c r="AH29" cm="1">
        <f t="array" ref="AH29">ThetaP(AH$5,$B$5,$H29,$C$5,0,$D$6)</f>
        <v>0.49412456102661312</v>
      </c>
      <c r="AI29" cm="1">
        <f t="array" ref="AI29">ThetaP(AI$5,$B$5,$H29,$C$5,0,$D$6)</f>
        <v>-0.29960032063341668</v>
      </c>
      <c r="AJ29" cm="1">
        <f t="array" ref="AJ29">ThetaP(AJ$5,$B$5,$H29,$C$5,0,$D$6)</f>
        <v>-1.2278346307364079</v>
      </c>
      <c r="AK29" cm="1">
        <f t="array" ref="AK29">ThetaP(AK$5,$B$5,$H29,$C$5,0,$D$6)</f>
        <v>-1.7318510251023014</v>
      </c>
      <c r="AL29" cm="1">
        <f t="array" ref="AL29">ThetaP(AL$5,$B$5,$H29,$C$5,0,$D$6)</f>
        <v>-1.5834219104976213</v>
      </c>
      <c r="AM29" cm="1">
        <f t="array" ref="AM29">ThetaP(AM$5,$B$5,$H29,$C$5,0,$D$6)</f>
        <v>-1.0620570679619261</v>
      </c>
      <c r="AN29" cm="1">
        <f t="array" ref="AN29">ThetaP(AN$5,$B$5,$H29,$C$5,0,$D$6)</f>
        <v>-0.55439604044371293</v>
      </c>
      <c r="AO29" cm="1">
        <f t="array" ref="AO29">ThetaP(AO$5,$B$5,$H29,$C$5,0,$D$6)</f>
        <v>-0.23420144912901975</v>
      </c>
      <c r="AP29" cm="1">
        <f t="array" ref="AP29">ThetaP(AP$5,$B$5,$H29,$C$5,0,$D$6)</f>
        <v>-8.2481364281792882E-2</v>
      </c>
      <c r="AQ29" cm="1">
        <f t="array" ref="AQ29">ThetaP(AQ$5,$B$5,$H29,$C$5,0,$D$6)</f>
        <v>-2.4805578636037308E-2</v>
      </c>
      <c r="AR29" cm="1">
        <f t="array" ref="AR29">ThetaP(AR$5,$B$5,$H29,$C$5,0,$D$6)</f>
        <v>-6.4993438732126102E-3</v>
      </c>
      <c r="AS29" cm="1">
        <f t="array" ref="AS29">ThetaP(AS$5,$B$5,$H29,$C$5,0,$D$6)</f>
        <v>-1.5090369874446205E-3</v>
      </c>
    </row>
    <row r="30" spans="7:45" x14ac:dyDescent="0.2">
      <c r="H30">
        <v>0.9</v>
      </c>
      <c r="I30" cm="1">
        <f t="array" ref="I30">ThetaP(I$5,$B$5,$H30,$C$5,0,$D$5)</f>
        <v>0.89027935922789825</v>
      </c>
      <c r="J30" cm="1">
        <f t="array" ref="J30">ThetaP(J$5,$B$5,$H30,$C$5,0,$D$5)</f>
        <v>0.69694001641180225</v>
      </c>
      <c r="K30" cm="1">
        <f t="array" ref="K30">ThetaP(K$5,$B$5,$H30,$C$5,0,$D$5)</f>
        <v>0.31371570987703024</v>
      </c>
      <c r="L30" cm="1">
        <f t="array" ref="L30">ThetaP(L$5,$B$5,$H30,$C$5,0,$D$5)</f>
        <v>-0.29468933407055564</v>
      </c>
      <c r="M30" cm="1">
        <f t="array" ref="M30">ThetaP(M$5,$B$5,$H30,$C$5,0,$D$5)</f>
        <v>-1.0901395959728193</v>
      </c>
      <c r="N30" cm="1">
        <f t="array" ref="N30">ThetaP(N$5,$B$5,$H30,$C$5,0,$D$5)</f>
        <v>-1.9600057022074142</v>
      </c>
      <c r="O30" cm="1">
        <f t="array" ref="O30">ThetaP(O$5,$B$5,$H30,$C$5,0,$D$5)</f>
        <v>-2.755162728226666</v>
      </c>
      <c r="P30" cm="1">
        <f t="array" ref="P30">ThetaP(P$5,$B$5,$H30,$C$5,0,$D$5)</f>
        <v>-3.3432732535821739</v>
      </c>
      <c r="Q30" cm="1">
        <f t="array" ref="Q30">ThetaP(Q$5,$B$5,$H30,$C$5,0,$D$5)</f>
        <v>-3.6485907278956651</v>
      </c>
      <c r="R30" cm="1">
        <f t="array" ref="R30">ThetaP(R$5,$B$5,$H30,$C$5,0,$D$5)</f>
        <v>-3.6636906492556416</v>
      </c>
      <c r="S30" cm="1">
        <f t="array" ref="S30">ThetaP(S$5,$B$5,$H30,$C$5,0,$D$5)</f>
        <v>-3.4362231413133464</v>
      </c>
      <c r="T30" cm="1">
        <f t="array" ref="T30">ThetaP(T$5,$B$5,$H30,$C$5,0,$D$5)</f>
        <v>-3.0434140150986746</v>
      </c>
      <c r="U30" cm="1">
        <f t="array" ref="U30">ThetaP(U$5,$B$5,$H30,$C$5,0,$D$5)</f>
        <v>-2.5669977468434055</v>
      </c>
      <c r="V30" cm="1">
        <f t="array" ref="V30">ThetaP(V$5,$B$5,$H30,$C$5,0,$D$5)</f>
        <v>-2.0759515633751735</v>
      </c>
      <c r="W30" cm="1">
        <f t="array" ref="W30">ThetaP(W$5,$B$5,$H30,$C$5,0,$D$5)</f>
        <v>-1.618664064948816</v>
      </c>
      <c r="X30" cm="1">
        <f t="array" ref="X30">ThetaP(X$5,$B$5,$H30,$C$5,0,$D$5)</f>
        <v>-1.2225593548673563</v>
      </c>
      <c r="Y30" cm="1">
        <f t="array" ref="Y30">ThetaP(Y$5,$B$5,$H30,$C$5,0,$D$5)</f>
        <v>-0.89799551866508476</v>
      </c>
      <c r="AB30">
        <v>0.9</v>
      </c>
      <c r="AC30" cm="1">
        <f t="array" ref="AC30">ThetaP(AC$5,$B$5,$H30,$C$5,0,$D$6)</f>
        <v>0.99103897243260231</v>
      </c>
      <c r="AD30" cm="1">
        <f t="array" ref="AD30">ThetaP(AD$5,$B$5,$H30,$C$5,0,$D$6)</f>
        <v>0.99095091024580262</v>
      </c>
      <c r="AE30" cm="1">
        <f t="array" ref="AE30">ThetaP(AE$5,$B$5,$H30,$C$5,0,$D$6)</f>
        <v>0.9888183335431755</v>
      </c>
      <c r="AF30" cm="1">
        <f t="array" ref="AF30">ThetaP(AF$5,$B$5,$H30,$C$5,0,$D$6)</f>
        <v>0.96542390700017167</v>
      </c>
      <c r="AG30" cm="1">
        <f t="array" ref="AG30">ThetaP(AG$5,$B$5,$H30,$C$5,0,$D$6)</f>
        <v>0.8341790371082759</v>
      </c>
      <c r="AH30" cm="1">
        <f t="array" ref="AH30">ThetaP(AH$5,$B$5,$H30,$C$5,0,$D$6)</f>
        <v>0.4231191131345392</v>
      </c>
      <c r="AI30" cm="1">
        <f t="array" ref="AI30">ThetaP(AI$5,$B$5,$H30,$C$5,0,$D$6)</f>
        <v>-0.33567050653347108</v>
      </c>
      <c r="AJ30" cm="1">
        <f t="array" ref="AJ30">ThetaP(AJ$5,$B$5,$H30,$C$5,0,$D$6)</f>
        <v>-1.1621956649021579</v>
      </c>
      <c r="AK30" cm="1">
        <f t="array" ref="AK30">ThetaP(AK$5,$B$5,$H30,$C$5,0,$D$6)</f>
        <v>-1.6046556435850945</v>
      </c>
      <c r="AL30" cm="1">
        <f t="array" ref="AL30">ThetaP(AL$5,$B$5,$H30,$C$5,0,$D$6)</f>
        <v>-1.4950611886964151</v>
      </c>
      <c r="AM30" cm="1">
        <f t="array" ref="AM30">ThetaP(AM$5,$B$5,$H30,$C$5,0,$D$6)</f>
        <v>-1.0530258322190678</v>
      </c>
      <c r="AN30" cm="1">
        <f t="array" ref="AN30">ThetaP(AN$5,$B$5,$H30,$C$5,0,$D$6)</f>
        <v>-0.59212571130662894</v>
      </c>
      <c r="AO30" cm="1">
        <f t="array" ref="AO30">ThetaP(AO$5,$B$5,$H30,$C$5,0,$D$6)</f>
        <v>-0.27549917800127072</v>
      </c>
      <c r="AP30" cm="1">
        <f t="array" ref="AP30">ThetaP(AP$5,$B$5,$H30,$C$5,0,$D$6)</f>
        <v>-0.10895820411299993</v>
      </c>
      <c r="AQ30" cm="1">
        <f t="array" ref="AQ30">ThetaP(AQ$5,$B$5,$H30,$C$5,0,$D$6)</f>
        <v>-3.7431361261242288E-2</v>
      </c>
      <c r="AR30" cm="1">
        <f t="array" ref="AR30">ThetaP(AR$5,$B$5,$H30,$C$5,0,$D$6)</f>
        <v>-1.1372533247324826E-2</v>
      </c>
      <c r="AS30" cm="1">
        <f t="array" ref="AS30">ThetaP(AS$5,$B$5,$H30,$C$5,0,$D$6)</f>
        <v>-3.1026673862978625E-3</v>
      </c>
    </row>
    <row r="31" spans="7:45" x14ac:dyDescent="0.2">
      <c r="H31">
        <v>1</v>
      </c>
      <c r="I31" cm="1">
        <f t="array" ref="I31">ThetaP(I$5,$B$5,$H31,$C$5,0,$D$5)</f>
        <v>0.85244886229525396</v>
      </c>
      <c r="J31" cm="1">
        <f t="array" ref="J31">ThetaP(J$5,$B$5,$H31,$C$5,0,$D$5)</f>
        <v>0.62821985733041252</v>
      </c>
      <c r="K31" cm="1">
        <f t="array" ref="K31">ThetaP(K$5,$B$5,$H31,$C$5,0,$D$5)</f>
        <v>0.22134674251952235</v>
      </c>
      <c r="L31" cm="1">
        <f t="array" ref="L31">ThetaP(L$5,$B$5,$H31,$C$5,0,$D$5)</f>
        <v>-0.38227961209596462</v>
      </c>
      <c r="M31" cm="1">
        <f t="array" ref="M31">ThetaP(M$5,$B$5,$H31,$C$5,0,$D$5)</f>
        <v>-1.1327038598637502</v>
      </c>
      <c r="N31" cm="1">
        <f t="array" ref="N31">ThetaP(N$5,$B$5,$H31,$C$5,0,$D$5)</f>
        <v>-1.9248649075907465</v>
      </c>
      <c r="O31" cm="1">
        <f t="array" ref="O31">ThetaP(O$5,$B$5,$H31,$C$5,0,$D$5)</f>
        <v>-2.633609191143869</v>
      </c>
      <c r="P31" cm="1">
        <f t="array" ref="P31">ThetaP(P$5,$B$5,$H31,$C$5,0,$D$5)</f>
        <v>-3.1543302478579198</v>
      </c>
      <c r="Q31" cm="1">
        <f t="array" ref="Q31">ThetaP(Q$5,$B$5,$H31,$C$5,0,$D$5)</f>
        <v>-3.4300279807988678</v>
      </c>
      <c r="R31" cm="1">
        <f t="array" ref="R31">ThetaP(R$5,$B$5,$H31,$C$5,0,$D$5)</f>
        <v>-3.4572361492598778</v>
      </c>
      <c r="S31" cm="1">
        <f t="array" ref="S31">ThetaP(S$5,$B$5,$H31,$C$5,0,$D$5)</f>
        <v>-3.2747476302181653</v>
      </c>
      <c r="T31" cm="1">
        <f t="array" ref="T31">ThetaP(T$5,$B$5,$H31,$C$5,0,$D$5)</f>
        <v>-2.9443986816110765</v>
      </c>
      <c r="U31" cm="1">
        <f t="array" ref="U31">ThetaP(U$5,$B$5,$H31,$C$5,0,$D$5)</f>
        <v>-2.5324671787170567</v>
      </c>
      <c r="V31" cm="1">
        <f t="array" ref="V31">ThetaP(V$5,$B$5,$H31,$C$5,0,$D$5)</f>
        <v>-2.0965680482792943</v>
      </c>
      <c r="W31" cm="1">
        <f t="array" ref="W31">ThetaP(W$5,$B$5,$H31,$C$5,0,$D$5)</f>
        <v>-1.6791914183778347</v>
      </c>
      <c r="X31" cm="1">
        <f t="array" ref="X31">ThetaP(X$5,$B$5,$H31,$C$5,0,$D$5)</f>
        <v>-1.3066600570953375</v>
      </c>
      <c r="Y31" cm="1">
        <f t="array" ref="Y31">ThetaP(Y$5,$B$5,$H31,$C$5,0,$D$5)</f>
        <v>-0.99142040201851112</v>
      </c>
      <c r="AB31">
        <v>1</v>
      </c>
      <c r="AC31" cm="1">
        <f t="array" ref="AC31">ThetaP(AC$5,$B$5,$H31,$C$5,0,$D$6)</f>
        <v>0.99004413373154987</v>
      </c>
      <c r="AD31" cm="1">
        <f t="array" ref="AD31">ThetaP(AD$5,$B$5,$H31,$C$5,0,$D$6)</f>
        <v>0.98981113384047348</v>
      </c>
      <c r="AE31" cm="1">
        <f t="array" ref="AE31">ThetaP(AE$5,$B$5,$H31,$C$5,0,$D$6)</f>
        <v>0.98576011996693769</v>
      </c>
      <c r="AF31" cm="1">
        <f t="array" ref="AF31">ThetaP(AF$5,$B$5,$H31,$C$5,0,$D$6)</f>
        <v>0.95138702812979092</v>
      </c>
      <c r="AG31" cm="1">
        <f t="array" ref="AG31">ThetaP(AG$5,$B$5,$H31,$C$5,0,$D$6)</f>
        <v>0.79272206062207407</v>
      </c>
      <c r="AH31" cm="1">
        <f t="array" ref="AH31">ThetaP(AH$5,$B$5,$H31,$C$5,0,$D$6)</f>
        <v>0.36187114385946628</v>
      </c>
      <c r="AI31" cm="1">
        <f t="array" ref="AI31">ThetaP(AI$5,$B$5,$H31,$C$5,0,$D$6)</f>
        <v>-0.35966175306116177</v>
      </c>
      <c r="AJ31" cm="1">
        <f t="array" ref="AJ31">ThetaP(AJ$5,$B$5,$H31,$C$5,0,$D$6)</f>
        <v>-1.1026487999819095</v>
      </c>
      <c r="AK31" cm="1">
        <f t="array" ref="AK31">ThetaP(AK$5,$B$5,$H31,$C$5,0,$D$6)</f>
        <v>-1.4971121490702983</v>
      </c>
      <c r="AL31" cm="1">
        <f t="array" ref="AL31">ThetaP(AL$5,$B$5,$H31,$C$5,0,$D$6)</f>
        <v>-1.4164825404023962</v>
      </c>
      <c r="AM31" cm="1">
        <f t="array" ref="AM31">ThetaP(AM$5,$B$5,$H31,$C$5,0,$D$6)</f>
        <v>-1.0377653244888736</v>
      </c>
      <c r="AN31" cm="1">
        <f t="array" ref="AN31">ThetaP(AN$5,$B$5,$H31,$C$5,0,$D$6)</f>
        <v>-0.61947389099939321</v>
      </c>
      <c r="AO31" cm="1">
        <f t="array" ref="AO31">ThetaP(AO$5,$B$5,$H31,$C$5,0,$D$6)</f>
        <v>-0.31143420848599807</v>
      </c>
      <c r="AP31" cm="1">
        <f t="array" ref="AP31">ThetaP(AP$5,$B$5,$H31,$C$5,0,$D$6)</f>
        <v>-0.13516846251618272</v>
      </c>
      <c r="AQ31" cm="1">
        <f t="array" ref="AQ31">ThetaP(AQ$5,$B$5,$H31,$C$5,0,$D$6)</f>
        <v>-5.1657606733707132E-2</v>
      </c>
      <c r="AR31" cm="1">
        <f t="array" ref="AR31">ThetaP(AR$5,$B$5,$H31,$C$5,0,$D$6)</f>
        <v>-1.7670311849951229E-2</v>
      </c>
      <c r="AS31" cm="1">
        <f t="array" ref="AS31">ThetaP(AS$5,$B$5,$H31,$C$5,0,$D$6)</f>
        <v>-5.4852887942586515E-3</v>
      </c>
    </row>
    <row r="32" spans="7:45" x14ac:dyDescent="0.2">
      <c r="H32">
        <v>2</v>
      </c>
      <c r="I32" cm="1">
        <f t="array" ref="I32">ThetaP(I$5,$B$5,$H32,$C$5,0,$D$5)</f>
        <v>0.47532523911629476</v>
      </c>
      <c r="J32" cm="1">
        <f t="array" ref="J32">ThetaP(J$5,$B$5,$H32,$C$5,0,$D$5)</f>
        <v>0.14930333358430248</v>
      </c>
      <c r="K32" cm="1">
        <f t="array" ref="K32">ThetaP(K$5,$B$5,$H32,$C$5,0,$D$5)</f>
        <v>-0.24862940479647644</v>
      </c>
      <c r="L32" cm="1">
        <f t="array" ref="L32">ThetaP(L$5,$B$5,$H32,$C$5,0,$D$5)</f>
        <v>-0.68559607414316626</v>
      </c>
      <c r="M32" cm="1">
        <f t="array" ref="M32">ThetaP(M$5,$B$5,$H32,$C$5,0,$D$5)</f>
        <v>-1.1218452200277156</v>
      </c>
      <c r="N32" cm="1">
        <f t="array" ref="N32">ThetaP(N$5,$B$5,$H32,$C$5,0,$D$5)</f>
        <v>-1.5193910117842142</v>
      </c>
      <c r="O32" cm="1">
        <f t="array" ref="O32">ThetaP(O$5,$B$5,$H32,$C$5,0,$D$5)</f>
        <v>-1.8485080694895224</v>
      </c>
      <c r="P32" cm="1">
        <f t="array" ref="P32">ThetaP(P$5,$B$5,$H32,$C$5,0,$D$5)</f>
        <v>-2.0909994519036212</v>
      </c>
      <c r="Q32" cm="1">
        <f t="array" ref="Q32">ThetaP(Q$5,$B$5,$H32,$C$5,0,$D$5)</f>
        <v>-2.2404581110495254</v>
      </c>
      <c r="R32" cm="1">
        <f t="array" ref="R32">ThetaP(R$5,$B$5,$H32,$C$5,0,$D$5)</f>
        <v>-2.3004377369831159</v>
      </c>
      <c r="S32" cm="1">
        <f t="array" ref="S32">ThetaP(S$5,$B$5,$H32,$C$5,0,$D$5)</f>
        <v>-2.2815934304338281</v>
      </c>
      <c r="T32" cm="1">
        <f t="array" ref="T32">ThetaP(T$5,$B$5,$H32,$C$5,0,$D$5)</f>
        <v>-2.1986626665836213</v>
      </c>
      <c r="U32" cm="1">
        <f t="array" ref="U32">ThetaP(U$5,$B$5,$H32,$C$5,0,$D$5)</f>
        <v>-2.067843957764234</v>
      </c>
      <c r="V32" cm="1">
        <f t="array" ref="V32">ThetaP(V$5,$B$5,$H32,$C$5,0,$D$5)</f>
        <v>-1.9048331541007608</v>
      </c>
      <c r="W32" cm="1">
        <f t="array" ref="W32">ThetaP(W$5,$B$5,$H32,$C$5,0,$D$5)</f>
        <v>-1.7235584707971729</v>
      </c>
      <c r="X32" cm="1">
        <f t="array" ref="X32">ThetaP(X$5,$B$5,$H32,$C$5,0,$D$5)</f>
        <v>-1.5355257845878785</v>
      </c>
      <c r="Y32" cm="1">
        <f t="array" ref="Y32">ThetaP(Y$5,$B$5,$H32,$C$5,0,$D$5)</f>
        <v>-1.3496295268921832</v>
      </c>
      <c r="AB32">
        <v>2</v>
      </c>
      <c r="AC32" cm="1">
        <f t="array" ref="AC32">ThetaP(AC$5,$B$5,$H32,$C$5,0,$D$6)</f>
        <v>0.97738921753994157</v>
      </c>
      <c r="AD32" cm="1">
        <f t="array" ref="AD32">ThetaP(AD$5,$B$5,$H32,$C$5,0,$D$6)</f>
        <v>0.96223375058594995</v>
      </c>
      <c r="AE32" cm="1">
        <f t="array" ref="AE32">ThetaP(AE$5,$B$5,$H32,$C$5,0,$D$6)</f>
        <v>0.90470596828760952</v>
      </c>
      <c r="AF32" cm="1">
        <f t="array" ref="AF32">ThetaP(AF$5,$B$5,$H32,$C$5,0,$D$6)</f>
        <v>0.75475676856853813</v>
      </c>
      <c r="AG32" cm="1">
        <f t="array" ref="AG32">ThetaP(AG$5,$B$5,$H32,$C$5,0,$D$6)</f>
        <v>0.47157214843739087</v>
      </c>
      <c r="AH32" cm="1">
        <f t="array" ref="AH32">ThetaP(AH$5,$B$5,$H32,$C$5,0,$D$6)</f>
        <v>6.9682198025730058E-2</v>
      </c>
      <c r="AI32" cm="1">
        <f t="array" ref="AI32">ThetaP(AI$5,$B$5,$H32,$C$5,0,$D$6)</f>
        <v>-0.3663131892731204</v>
      </c>
      <c r="AJ32" cm="1">
        <f t="array" ref="AJ32">ThetaP(AJ$5,$B$5,$H32,$C$5,0,$D$6)</f>
        <v>-0.7221704399535217</v>
      </c>
      <c r="AK32" cm="1">
        <f t="array" ref="AK32">ThetaP(AK$5,$B$5,$H32,$C$5,0,$D$6)</f>
        <v>-0.91662119058430913</v>
      </c>
      <c r="AL32" cm="1">
        <f t="array" ref="AL32">ThetaP(AL$5,$B$5,$H32,$C$5,0,$D$6)</f>
        <v>-0.93599623950909105</v>
      </c>
      <c r="AM32" cm="1">
        <f t="array" ref="AM32">ThetaP(AM$5,$B$5,$H32,$C$5,0,$D$6)</f>
        <v>-0.8240555510390013</v>
      </c>
      <c r="AN32" cm="1">
        <f t="array" ref="AN32">ThetaP(AN$5,$B$5,$H32,$C$5,0,$D$6)</f>
        <v>-0.64721901210581179</v>
      </c>
      <c r="AO32" cm="1">
        <f t="array" ref="AO32">ThetaP(AO$5,$B$5,$H32,$C$5,0,$D$6)</f>
        <v>-0.46318611681068206</v>
      </c>
      <c r="AP32" cm="1">
        <f t="array" ref="AP32">ThetaP(AP$5,$B$5,$H32,$C$5,0,$D$6)</f>
        <v>-0.30660130053985107</v>
      </c>
      <c r="AQ32" cm="1">
        <f t="array" ref="AQ32">ThetaP(AQ$5,$B$5,$H32,$C$5,0,$D$6)</f>
        <v>-0.18987670337199358</v>
      </c>
      <c r="AR32" cm="1">
        <f t="array" ref="AR32">ThetaP(AR$5,$B$5,$H32,$C$5,0,$D$6)</f>
        <v>-0.11102423979752507</v>
      </c>
      <c r="AS32" cm="1">
        <f t="array" ref="AS32">ThetaP(AS$5,$B$5,$H32,$C$5,0,$D$6)</f>
        <v>-6.1756113118706171E-2</v>
      </c>
    </row>
    <row r="33" spans="7:45" x14ac:dyDescent="0.2">
      <c r="H33">
        <v>3</v>
      </c>
      <c r="I33" cm="1">
        <f t="array" ref="I33">ThetaP(I$5,$B$5,$H33,$C$5,0,$D$5)</f>
        <v>0.25221001767753259</v>
      </c>
      <c r="J33" cm="1">
        <f t="array" ref="J33">ThetaP(J$5,$B$5,$H33,$C$5,0,$D$5)</f>
        <v>-4.1387005023650558E-2</v>
      </c>
      <c r="K33" cm="1">
        <f t="array" ref="K33">ThetaP(K$5,$B$5,$H33,$C$5,0,$D$5)</f>
        <v>-0.35664505919895861</v>
      </c>
      <c r="L33" cm="1">
        <f t="array" ref="L33">ThetaP(L$5,$B$5,$H33,$C$5,0,$D$5)</f>
        <v>-0.6717006214065111</v>
      </c>
      <c r="M33" cm="1">
        <f t="array" ref="M33">ThetaP(M$5,$B$5,$H33,$C$5,0,$D$5)</f>
        <v>-0.96658353292164878</v>
      </c>
      <c r="N33" cm="1">
        <f t="array" ref="N33">ThetaP(N$5,$B$5,$H33,$C$5,0,$D$5)</f>
        <v>-1.2255635845622739</v>
      </c>
      <c r="O33" cm="1">
        <f t="array" ref="O33">ThetaP(O$5,$B$5,$H33,$C$5,0,$D$5)</f>
        <v>-1.4381879784034763</v>
      </c>
      <c r="P33" cm="1">
        <f t="array" ref="P33">ThetaP(P$5,$B$5,$H33,$C$5,0,$D$5)</f>
        <v>-1.5992627156509882</v>
      </c>
      <c r="Q33" cm="1">
        <f t="array" ref="Q33">ThetaP(Q$5,$B$5,$H33,$C$5,0,$D$5)</f>
        <v>-1.7081460813337803</v>
      </c>
      <c r="R33" cm="1">
        <f t="array" ref="R33">ThetaP(R$5,$B$5,$H33,$C$5,0,$D$5)</f>
        <v>-1.7677028504876755</v>
      </c>
      <c r="S33" cm="1">
        <f t="array" ref="S33">ThetaP(S$5,$B$5,$H33,$C$5,0,$D$5)</f>
        <v>-1.7831854459688503</v>
      </c>
      <c r="T33" cm="1">
        <f t="array" ref="T33">ThetaP(T$5,$B$5,$H33,$C$5,0,$D$5)</f>
        <v>-1.7612125197555835</v>
      </c>
      <c r="U33" cm="1">
        <f t="array" ref="U33">ThetaP(U$5,$B$5,$H33,$C$5,0,$D$5)</f>
        <v>-1.7089326209516491</v>
      </c>
      <c r="V33" cm="1">
        <f t="array" ref="V33">ThetaP(V$5,$B$5,$H33,$C$5,0,$D$5)</f>
        <v>-1.6334003107331505</v>
      </c>
      <c r="W33" cm="1">
        <f t="array" ref="W33">ThetaP(W$5,$B$5,$H33,$C$5,0,$D$5)</f>
        <v>-1.5411542013179587</v>
      </c>
      <c r="X33" cm="1">
        <f t="array" ref="X33">ThetaP(X$5,$B$5,$H33,$C$5,0,$D$5)</f>
        <v>-1.4379665576874723</v>
      </c>
      <c r="Y33" cm="1">
        <f t="array" ref="Y33">ThetaP(Y$5,$B$5,$H33,$C$5,0,$D$5)</f>
        <v>-1.3287268941687371</v>
      </c>
      <c r="AB33">
        <v>3</v>
      </c>
      <c r="AC33" cm="1">
        <f t="array" ref="AC33">ThetaP(AC$5,$B$5,$H33,$C$5,0,$D$6)</f>
        <v>0.94983673133389301</v>
      </c>
      <c r="AD33" cm="1">
        <f t="array" ref="AD33">ThetaP(AD$5,$B$5,$H33,$C$5,0,$D$6)</f>
        <v>0.89984365221008122</v>
      </c>
      <c r="AE33" cm="1">
        <f t="array" ref="AE33">ThetaP(AE$5,$B$5,$H33,$C$5,0,$D$6)</f>
        <v>0.78720277976011055</v>
      </c>
      <c r="AF33" cm="1">
        <f t="array" ref="AF33">ThetaP(AF$5,$B$5,$H33,$C$5,0,$D$6)</f>
        <v>0.59078664790318269</v>
      </c>
      <c r="AG33" cm="1">
        <f t="array" ref="AG33">ThetaP(AG$5,$B$5,$H33,$C$5,0,$D$6)</f>
        <v>0.31622111544541098</v>
      </c>
      <c r="AH33" cm="1">
        <f t="array" ref="AH33">ThetaP(AH$5,$B$5,$H33,$C$5,0,$D$6)</f>
        <v>1.4529888983265682E-3</v>
      </c>
      <c r="AI33" cm="1">
        <f t="array" ref="AI33">ThetaP(AI$5,$B$5,$H33,$C$5,0,$D$6)</f>
        <v>-0.29701782629730855</v>
      </c>
      <c r="AJ33" cm="1">
        <f t="array" ref="AJ33">ThetaP(AJ$5,$B$5,$H33,$C$5,0,$D$6)</f>
        <v>-0.52758629136169244</v>
      </c>
      <c r="AK33" cm="1">
        <f t="array" ref="AK33">ThetaP(AK$5,$B$5,$H33,$C$5,0,$D$6)</f>
        <v>-0.66169135046354755</v>
      </c>
      <c r="AL33" cm="1">
        <f t="array" ref="AL33">ThetaP(AL$5,$B$5,$H33,$C$5,0,$D$6)</f>
        <v>-0.69853142783353883</v>
      </c>
      <c r="AM33" cm="1">
        <f t="array" ref="AM33">ThetaP(AM$5,$B$5,$H33,$C$5,0,$D$6)</f>
        <v>-0.65810232358975274</v>
      </c>
      <c r="AN33" cm="1">
        <f t="array" ref="AN33">ThetaP(AN$5,$B$5,$H33,$C$5,0,$D$6)</f>
        <v>-0.56946691284109274</v>
      </c>
      <c r="AO33" cm="1">
        <f t="array" ref="AO33">ThetaP(AO$5,$B$5,$H33,$C$5,0,$D$6)</f>
        <v>-0.46052876918444907</v>
      </c>
      <c r="AP33" cm="1">
        <f t="array" ref="AP33">ThetaP(AP$5,$B$5,$H33,$C$5,0,$D$6)</f>
        <v>-0.35222499746341107</v>
      </c>
      <c r="AQ33" cm="1">
        <f t="array" ref="AQ33">ThetaP(AQ$5,$B$5,$H33,$C$5,0,$D$6)</f>
        <v>-0.25702699866569745</v>
      </c>
      <c r="AR33" cm="1">
        <f t="array" ref="AR33">ThetaP(AR$5,$B$5,$H33,$C$5,0,$D$6)</f>
        <v>-0.18018057439041107</v>
      </c>
      <c r="AS33" cm="1">
        <f t="array" ref="AS33">ThetaP(AS$5,$B$5,$H33,$C$5,0,$D$6)</f>
        <v>-0.12201315784151728</v>
      </c>
    </row>
    <row r="34" spans="7:45" x14ac:dyDescent="0.2">
      <c r="H34">
        <v>4</v>
      </c>
      <c r="I34" cm="1">
        <f t="array" ref="I34">ThetaP(I$5,$B$5,$H34,$C$5,0,$D$5)</f>
        <v>0.13728784309584552</v>
      </c>
      <c r="J34" cm="1">
        <f t="array" ref="J34">ThetaP(J$5,$B$5,$H34,$C$5,0,$D$5)</f>
        <v>-0.11288666698419914</v>
      </c>
      <c r="K34" cm="1">
        <f t="array" ref="K34">ThetaP(K$5,$B$5,$H34,$C$5,0,$D$5)</f>
        <v>-0.36566252693639556</v>
      </c>
      <c r="L34" cm="1">
        <f t="array" ref="L34">ThetaP(L$5,$B$5,$H34,$C$5,0,$D$5)</f>
        <v>-0.60764665820119157</v>
      </c>
      <c r="M34" cm="1">
        <f t="array" ref="M34">ThetaP(M$5,$B$5,$H34,$C$5,0,$D$5)</f>
        <v>-0.82810295243972853</v>
      </c>
      <c r="N34" cm="1">
        <f t="array" ref="N34">ThetaP(N$5,$B$5,$H34,$C$5,0,$D$5)</f>
        <v>-1.0194762395201455</v>
      </c>
      <c r="O34" cm="1">
        <f t="array" ref="O34">ThetaP(O$5,$B$5,$H34,$C$5,0,$D$5)</f>
        <v>-1.1773581002019138</v>
      </c>
      <c r="P34" cm="1">
        <f t="array" ref="P34">ThetaP(P$5,$B$5,$H34,$C$5,0,$D$5)</f>
        <v>-1.3001036824118126</v>
      </c>
      <c r="Q34" cm="1">
        <f t="array" ref="Q34">ThetaP(Q$5,$B$5,$H34,$C$5,0,$D$5)</f>
        <v>-1.3882781922864125</v>
      </c>
      <c r="R34" cm="1">
        <f t="array" ref="R34">ThetaP(R$5,$B$5,$H34,$C$5,0,$D$5)</f>
        <v>-1.4440627158334571</v>
      </c>
      <c r="S34" cm="1">
        <f t="array" ref="S34">ThetaP(S$5,$B$5,$H34,$C$5,0,$D$5)</f>
        <v>-1.4707009175968688</v>
      </c>
      <c r="T34" cm="1">
        <f t="array" ref="T34">ThetaP(T$5,$B$5,$H34,$C$5,0,$D$5)</f>
        <v>-1.4720294412267305</v>
      </c>
      <c r="U34" cm="1">
        <f t="array" ref="U34">ThetaP(U$5,$B$5,$H34,$C$5,0,$D$5)</f>
        <v>-1.4521074746623475</v>
      </c>
      <c r="V34" cm="1">
        <f t="array" ref="V34">ThetaP(V$5,$B$5,$H34,$C$5,0,$D$5)</f>
        <v>-1.4149437274944565</v>
      </c>
      <c r="W34" cm="1">
        <f t="array" ref="W34">ThetaP(W$5,$B$5,$H34,$C$5,0,$D$5)</f>
        <v>-1.3643096541599706</v>
      </c>
      <c r="X34" cm="1">
        <f t="array" ref="X34">ThetaP(X$5,$B$5,$H34,$C$5,0,$D$5)</f>
        <v>-1.3036237392808587</v>
      </c>
      <c r="Y34" cm="1">
        <f t="array" ref="Y34">ThetaP(Y$5,$B$5,$H34,$C$5,0,$D$5)</f>
        <v>-1.2358910348383674</v>
      </c>
      <c r="AB34">
        <v>4</v>
      </c>
      <c r="AC34" cm="1">
        <f t="array" ref="AC34">ThetaP(AC$5,$B$5,$H34,$C$5,0,$D$6)</f>
        <v>0.90683607161527391</v>
      </c>
      <c r="AD34" cm="1">
        <f t="array" ref="AD34">ThetaP(AD$5,$B$5,$H34,$C$5,0,$D$6)</f>
        <v>0.82532183687115879</v>
      </c>
      <c r="AE34" cm="1">
        <f t="array" ref="AE34">ThetaP(AE$5,$B$5,$H34,$C$5,0,$D$6)</f>
        <v>0.68410069790790984</v>
      </c>
      <c r="AF34" cm="1">
        <f t="array" ref="AF34">ThetaP(AF$5,$B$5,$H34,$C$5,0,$D$6)</f>
        <v>0.48266693877182837</v>
      </c>
      <c r="AG34" cm="1">
        <f t="array" ref="AG34">ThetaP(AG$5,$B$5,$H34,$C$5,0,$D$6)</f>
        <v>0.2399077742487864</v>
      </c>
      <c r="AH34" cm="1">
        <f t="array" ref="AH34">ThetaP(AH$5,$B$5,$H34,$C$5,0,$D$6)</f>
        <v>-1.1308253577771987E-2</v>
      </c>
      <c r="AI34" cm="1">
        <f t="array" ref="AI34">ThetaP(AI$5,$B$5,$H34,$C$5,0,$D$6)</f>
        <v>-0.23567390279903866</v>
      </c>
      <c r="AJ34" cm="1">
        <f t="array" ref="AJ34">ThetaP(AJ$5,$B$5,$H34,$C$5,0,$D$6)</f>
        <v>-0.40646608559303121</v>
      </c>
      <c r="AK34" cm="1">
        <f t="array" ref="AK34">ThetaP(AK$5,$B$5,$H34,$C$5,0,$D$6)</f>
        <v>-0.5113409845151955</v>
      </c>
      <c r="AL34" cm="1">
        <f t="array" ref="AL34">ThetaP(AL$5,$B$5,$H34,$C$5,0,$D$6)</f>
        <v>-0.55209871862671811</v>
      </c>
      <c r="AM34" cm="1">
        <f t="array" ref="AM34">ThetaP(AM$5,$B$5,$H34,$C$5,0,$D$6)</f>
        <v>-0.54045500119824175</v>
      </c>
      <c r="AN34" cm="1">
        <f t="array" ref="AN34">ThetaP(AN$5,$B$5,$H34,$C$5,0,$D$6)</f>
        <v>-0.49261399211768886</v>
      </c>
      <c r="AO34" cm="1">
        <f t="array" ref="AO34">ThetaP(AO$5,$B$5,$H34,$C$5,0,$D$6)</f>
        <v>-0.42470972212763064</v>
      </c>
      <c r="AP34" cm="1">
        <f t="array" ref="AP34">ThetaP(AP$5,$B$5,$H34,$C$5,0,$D$6)</f>
        <v>-0.35000537971685786</v>
      </c>
      <c r="AQ34" cm="1">
        <f t="array" ref="AQ34">ThetaP(AQ$5,$B$5,$H34,$C$5,0,$D$6)</f>
        <v>-0.2778100693042666</v>
      </c>
      <c r="AR34" cm="1">
        <f t="array" ref="AR34">ThetaP(AR$5,$B$5,$H34,$C$5,0,$D$6)</f>
        <v>-0.21361117042434308</v>
      </c>
      <c r="AS34" cm="1">
        <f t="array" ref="AS34">ThetaP(AS$5,$B$5,$H34,$C$5,0,$D$6)</f>
        <v>-0.15984242167890017</v>
      </c>
    </row>
    <row r="35" spans="7:45" x14ac:dyDescent="0.2">
      <c r="H35">
        <v>5</v>
      </c>
      <c r="I35" cm="1">
        <f t="array" ref="I35">ThetaP(I$5,$B$5,$H35,$C$5,0,$D$5)</f>
        <v>7.8363253974811697E-2</v>
      </c>
      <c r="J35" cm="1">
        <f t="array" ref="J35">ThetaP(J$5,$B$5,$H35,$C$5,0,$D$5)</f>
        <v>-0.13528462811588704</v>
      </c>
      <c r="K35" cm="1">
        <f t="array" ref="K35">ThetaP(K$5,$B$5,$H35,$C$5,0,$D$5)</f>
        <v>-0.34389339892551396</v>
      </c>
      <c r="L35" cm="1">
        <f t="array" ref="L35">ThetaP(L$5,$B$5,$H35,$C$5,0,$D$5)</f>
        <v>-0.53905159200098718</v>
      </c>
      <c r="M35" cm="1">
        <f t="array" ref="M35">ThetaP(M$5,$B$5,$H35,$C$5,0,$D$5)</f>
        <v>-0.71458259156817694</v>
      </c>
      <c r="N35" cm="1">
        <f t="array" ref="N35">ThetaP(N$5,$B$5,$H35,$C$5,0,$D$5)</f>
        <v>-0.8665259409199304</v>
      </c>
      <c r="O35" cm="1">
        <f t="array" ref="O35">ThetaP(O$5,$B$5,$H35,$C$5,0,$D$5)</f>
        <v>-0.99289000688844886</v>
      </c>
      <c r="P35" cm="1">
        <f t="array" ref="P35">ThetaP(P$5,$B$5,$H35,$C$5,0,$D$5)</f>
        <v>-1.0932942086410344</v>
      </c>
      <c r="Q35" cm="1">
        <f t="array" ref="Q35">ThetaP(Q$5,$B$5,$H35,$C$5,0,$D$5)</f>
        <v>-1.1685832176003776</v>
      </c>
      <c r="R35" cm="1">
        <f t="array" ref="R35">ThetaP(R$5,$B$5,$H35,$C$5,0,$D$5)</f>
        <v>-1.2204638220290958</v>
      </c>
      <c r="S35" cm="1">
        <f t="array" ref="S35">ThetaP(S$5,$B$5,$H35,$C$5,0,$D$5)</f>
        <v>-1.251191015209157</v>
      </c>
      <c r="T35" cm="1">
        <f t="array" ref="T35">ThetaP(T$5,$B$5,$H35,$C$5,0,$D$5)</f>
        <v>-1.2633133607965903</v>
      </c>
      <c r="U35" cm="1">
        <f t="array" ref="U35">ThetaP(U$5,$B$5,$H35,$C$5,0,$D$5)</f>
        <v>-1.2594774634354782</v>
      </c>
      <c r="V35" cm="1">
        <f t="array" ref="V35">ThetaP(V$5,$B$5,$H35,$C$5,0,$D$5)</f>
        <v>-1.242285758425508</v>
      </c>
      <c r="W35" cm="1">
        <f t="array" ref="W35">ThetaP(W$5,$B$5,$H35,$C$5,0,$D$5)</f>
        <v>-1.2141993291012283</v>
      </c>
      <c r="X35" cm="1">
        <f t="array" ref="X35">ThetaP(X$5,$B$5,$H35,$C$5,0,$D$5)</f>
        <v>-1.1774768906535864</v>
      </c>
      <c r="Y35" cm="1">
        <f t="array" ref="Y35">ThetaP(Y$5,$B$5,$H35,$C$5,0,$D$5)</f>
        <v>-1.1341416048046611</v>
      </c>
      <c r="AB35">
        <v>5</v>
      </c>
      <c r="AC35" cm="1">
        <f t="array" ref="AC35">ThetaP(AC$5,$B$5,$H35,$C$5,0,$D$6)</f>
        <v>0.85695438761075526</v>
      </c>
      <c r="AD35" cm="1">
        <f t="array" ref="AD35">ThetaP(AD$5,$B$5,$H35,$C$5,0,$D$6)</f>
        <v>0.75462166158520771</v>
      </c>
      <c r="AE35" cm="1">
        <f t="array" ref="AE35">ThetaP(AE$5,$B$5,$H35,$C$5,0,$D$6)</f>
        <v>0.60316023451469636</v>
      </c>
      <c r="AF35" cm="1">
        <f t="array" ref="AF35">ThetaP(AF$5,$B$5,$H35,$C$5,0,$D$6)</f>
        <v>0.41142956078514548</v>
      </c>
      <c r="AG35" cm="1">
        <f t="array" ref="AG35">ThetaP(AG$5,$B$5,$H35,$C$5,0,$D$6)</f>
        <v>0.19958853698609491</v>
      </c>
      <c r="AH35" cm="1">
        <f t="array" ref="AH35">ThetaP(AH$5,$B$5,$H35,$C$5,0,$D$6)</f>
        <v>-7.2565477175294824E-3</v>
      </c>
      <c r="AI35" cm="1">
        <f t="array" ref="AI35">ThetaP(AI$5,$B$5,$H35,$C$5,0,$D$6)</f>
        <v>-0.18637371324727181</v>
      </c>
      <c r="AJ35" cm="1">
        <f t="array" ref="AJ35">ThetaP(AJ$5,$B$5,$H35,$C$5,0,$D$6)</f>
        <v>-0.32257478488966851</v>
      </c>
      <c r="AK35" cm="1">
        <f t="array" ref="AK35">ThetaP(AK$5,$B$5,$H35,$C$5,0,$D$6)</f>
        <v>-0.40999358994032742</v>
      </c>
      <c r="AL35" cm="1">
        <f t="array" ref="AL35">ThetaP(AL$5,$B$5,$H35,$C$5,0,$D$6)</f>
        <v>-0.45096643503321798</v>
      </c>
      <c r="AM35" cm="1">
        <f t="array" ref="AM35">ThetaP(AM$5,$B$5,$H35,$C$5,0,$D$6)</f>
        <v>-0.45333363231731488</v>
      </c>
      <c r="AN35" cm="1">
        <f t="array" ref="AN35">ThetaP(AN$5,$B$5,$H35,$C$5,0,$D$6)</f>
        <v>-0.42745824338021499</v>
      </c>
      <c r="AO35" cm="1">
        <f t="array" ref="AO35">ThetaP(AO$5,$B$5,$H35,$C$5,0,$D$6)</f>
        <v>-0.38380065196544166</v>
      </c>
      <c r="AP35" cm="1">
        <f t="array" ref="AP35">ThetaP(AP$5,$B$5,$H35,$C$5,0,$D$6)</f>
        <v>-0.33137527773943098</v>
      </c>
      <c r="AQ35" cm="1">
        <f t="array" ref="AQ35">ThetaP(AQ$5,$B$5,$H35,$C$5,0,$D$6)</f>
        <v>-0.27704944060311887</v>
      </c>
      <c r="AR35" cm="1">
        <f t="array" ref="AR35">ThetaP(AR$5,$B$5,$H35,$C$5,0,$D$6)</f>
        <v>-0.22546516046155152</v>
      </c>
      <c r="AS35" cm="1">
        <f t="array" ref="AS35">ThetaP(AS$5,$B$5,$H35,$C$5,0,$D$6)</f>
        <v>-0.17932894005829006</v>
      </c>
    </row>
    <row r="37" spans="7:45" x14ac:dyDescent="0.2">
      <c r="I37">
        <v>60</v>
      </c>
      <c r="J37">
        <v>65</v>
      </c>
      <c r="K37">
        <v>70</v>
      </c>
      <c r="L37">
        <v>75</v>
      </c>
      <c r="M37">
        <v>80</v>
      </c>
      <c r="N37">
        <v>85</v>
      </c>
      <c r="O37">
        <v>90</v>
      </c>
      <c r="P37">
        <v>95</v>
      </c>
      <c r="Q37">
        <v>100</v>
      </c>
      <c r="R37">
        <v>105</v>
      </c>
      <c r="S37">
        <v>110</v>
      </c>
      <c r="T37">
        <v>115</v>
      </c>
      <c r="U37">
        <v>120</v>
      </c>
      <c r="V37">
        <v>125</v>
      </c>
      <c r="W37">
        <v>130</v>
      </c>
      <c r="X37">
        <v>135</v>
      </c>
      <c r="Y37">
        <v>140</v>
      </c>
      <c r="AC37">
        <v>60</v>
      </c>
      <c r="AD37">
        <v>65</v>
      </c>
      <c r="AE37">
        <v>70</v>
      </c>
      <c r="AF37">
        <v>75</v>
      </c>
      <c r="AG37">
        <v>80</v>
      </c>
      <c r="AH37">
        <v>85</v>
      </c>
      <c r="AI37">
        <v>90</v>
      </c>
      <c r="AJ37">
        <v>95</v>
      </c>
      <c r="AK37">
        <v>100</v>
      </c>
      <c r="AL37">
        <v>105</v>
      </c>
      <c r="AM37">
        <v>110</v>
      </c>
      <c r="AN37">
        <v>115</v>
      </c>
      <c r="AO37">
        <v>120</v>
      </c>
      <c r="AP37">
        <v>125</v>
      </c>
      <c r="AQ37">
        <v>130</v>
      </c>
      <c r="AR37">
        <v>135</v>
      </c>
      <c r="AS37">
        <v>140</v>
      </c>
    </row>
    <row r="38" spans="7:45" x14ac:dyDescent="0.2">
      <c r="H38">
        <v>0.1</v>
      </c>
      <c r="I38" cm="1">
        <f t="array" ref="I38">RhoP(I$5,$B$5,$H38,$C$5,0,$D$5)</f>
        <v>-9.9900049983337471</v>
      </c>
      <c r="J38" cm="1">
        <f t="array" ref="J38">RhoP(J$5,$B$5,$H38,$C$5,0,$D$5)</f>
        <v>-9.9900049982904662</v>
      </c>
      <c r="K38" cm="1">
        <f t="array" ref="K38">RhoP(K$5,$B$5,$H38,$C$5,0,$D$5)</f>
        <v>-9.9900049206412831</v>
      </c>
      <c r="L38" cm="1">
        <f t="array" ref="L38">RhoP(L$5,$B$5,$H38,$C$5,0,$D$5)</f>
        <v>-9.9899799847947275</v>
      </c>
      <c r="M38" cm="1">
        <f t="array" ref="M38">RhoP(M$5,$B$5,$H38,$C$5,0,$D$5)</f>
        <v>-9.988036596386106</v>
      </c>
      <c r="N38" cm="1">
        <f t="array" ref="N38">RhoP(N$5,$B$5,$H38,$C$5,0,$D$5)</f>
        <v>-9.9414292021761064</v>
      </c>
      <c r="O38" cm="1">
        <f t="array" ref="O38">RhoP(O$5,$B$5,$H38,$C$5,0,$D$5)</f>
        <v>-9.527339945423174</v>
      </c>
      <c r="P38" cm="1">
        <f t="array" ref="P38">RhoP(P$5,$B$5,$H38,$C$5,0,$D$5)</f>
        <v>-7.9503773466041583</v>
      </c>
      <c r="Q38" cm="1">
        <f t="array" ref="Q38">RhoP(Q$5,$B$5,$H38,$C$5,0,$D$5)</f>
        <v>-5.058015139895339</v>
      </c>
      <c r="R38" cm="1">
        <f t="array" ref="R38">RhoP(R$5,$B$5,$H38,$C$5,0,$D$5)</f>
        <v>-2.2471105555124318</v>
      </c>
      <c r="S38" cm="1">
        <f t="array" ref="S38">RhoP(S$5,$B$5,$H38,$C$5,0,$D$5)</f>
        <v>-0.67889870502825878</v>
      </c>
      <c r="T38" cm="1">
        <f t="array" ref="T38">RhoP(T$5,$B$5,$H38,$C$5,0,$D$5)</f>
        <v>-0.14102913577582118</v>
      </c>
      <c r="U38" cm="1">
        <f t="array" ref="U38">RhoP(U$5,$B$5,$H38,$C$5,0,$D$5)</f>
        <v>-2.070200380496456E-2</v>
      </c>
      <c r="V38" cm="1">
        <f t="array" ref="V38">RhoP(V$5,$B$5,$H38,$C$5,0,$D$5)</f>
        <v>-2.218193269599746E-3</v>
      </c>
      <c r="W38" cm="1">
        <f t="array" ref="W38">RhoP(W$5,$B$5,$H38,$C$5,0,$D$5)</f>
        <v>-1.7921519198907078E-4</v>
      </c>
      <c r="X38" cm="1">
        <f t="array" ref="X38">RhoP(X$5,$B$5,$H38,$C$5,0,$D$5)</f>
        <v>-1.1255785043335699E-5</v>
      </c>
      <c r="Y38" cm="1">
        <f t="array" ref="Y38">RhoP(Y$5,$B$5,$H38,$C$5,0,$D$5)</f>
        <v>-5.6502198506100904E-7</v>
      </c>
      <c r="AB38">
        <v>0.1</v>
      </c>
      <c r="AC38" cm="1">
        <f t="array" ref="AC38">RhoP(AC$5,$B$5,$H38,$C$5,0,$D$6)</f>
        <v>-9.9900049983337507</v>
      </c>
      <c r="AD38" cm="1">
        <f t="array" ref="AD38">RhoP(AD$5,$B$5,$H38,$C$5,0,$D$6)</f>
        <v>-9.9900049983337507</v>
      </c>
      <c r="AE38" cm="1">
        <f t="array" ref="AE38">RhoP(AE$5,$B$5,$H38,$C$5,0,$D$6)</f>
        <v>-9.9900049983337507</v>
      </c>
      <c r="AF38" cm="1">
        <f t="array" ref="AF38">RhoP(AF$5,$B$5,$H38,$C$5,0,$D$6)</f>
        <v>-9.9900049983337507</v>
      </c>
      <c r="AG38" cm="1">
        <f t="array" ref="AG38">RhoP(AG$5,$B$5,$H38,$C$5,0,$D$6)</f>
        <v>-9.9900049983241903</v>
      </c>
      <c r="AH38" cm="1">
        <f t="array" ref="AH38">RhoP(AH$5,$B$5,$H38,$C$5,0,$D$6)</f>
        <v>-9.9900035001622403</v>
      </c>
      <c r="AI38" cm="1">
        <f t="array" ref="AI38">RhoP(AI$5,$B$5,$H38,$C$5,0,$D$6)</f>
        <v>-9.9854434547536055</v>
      </c>
      <c r="AJ38" cm="1">
        <f t="array" ref="AJ38">RhoP(AJ$5,$B$5,$H38,$C$5,0,$D$6)</f>
        <v>-9.4494234402450239</v>
      </c>
      <c r="AK38" cm="1">
        <f t="array" ref="AK38">RhoP(AK$5,$B$5,$H38,$C$5,0,$D$6)</f>
        <v>-4.9319898584384116</v>
      </c>
      <c r="AL38" cm="1">
        <f t="array" ref="AL38">RhoP(AL$5,$B$5,$H38,$C$5,0,$D$6)</f>
        <v>-0.59475160906577318</v>
      </c>
      <c r="AM38" cm="1">
        <f t="array" ref="AM38">RhoP(AM$5,$B$5,$H38,$C$5,0,$D$6)</f>
        <v>-1.2224207973859987E-2</v>
      </c>
      <c r="AN38" cm="1">
        <f t="array" ref="AN38">RhoP(AN$5,$B$5,$H38,$C$5,0,$D$6)</f>
        <v>-4.5889459193277377E-5</v>
      </c>
      <c r="AO38" cm="1">
        <f t="array" ref="AO38">RhoP(AO$5,$B$5,$H38,$C$5,0,$D$6)</f>
        <v>-3.7020182591963376E-8</v>
      </c>
      <c r="AP38" cm="1">
        <f t="array" ref="AP38">RhoP(AP$5,$B$5,$H38,$C$5,0,$D$6)</f>
        <v>-7.615549204354104E-12</v>
      </c>
      <c r="AQ38" cm="1">
        <f t="array" ref="AQ38">RhoP(AQ$5,$B$5,$H38,$C$5,0,$D$6)</f>
        <v>-4.6807319848133936E-16</v>
      </c>
      <c r="AR38" cm="1">
        <f t="array" ref="AR38">RhoP(AR$5,$B$5,$H38,$C$5,0,$D$6)</f>
        <v>-9.9014289886287907E-21</v>
      </c>
      <c r="AS38" cm="1">
        <f t="array" ref="AS38">RhoP(AS$5,$B$5,$H38,$C$5,0,$D$6)</f>
        <v>-8.165935038302829E-26</v>
      </c>
    </row>
    <row r="39" spans="7:45" x14ac:dyDescent="0.2">
      <c r="H39">
        <v>0.2</v>
      </c>
      <c r="I39" cm="1">
        <f t="array" ref="I39">RhoP(I$5,$B$5,$H39,$C$5,0,$D$5)</f>
        <v>-19.960039875201662</v>
      </c>
      <c r="J39" cm="1">
        <f t="array" ref="J39">RhoP(J$5,$B$5,$H39,$C$5,0,$D$5)</f>
        <v>-19.960026927726368</v>
      </c>
      <c r="K39" cm="1">
        <f t="array" ref="K39">RhoP(K$5,$B$5,$H39,$C$5,0,$D$5)</f>
        <v>-19.959434275580996</v>
      </c>
      <c r="L39" cm="1">
        <f t="array" ref="L39">RhoP(L$5,$B$5,$H39,$C$5,0,$D$5)</f>
        <v>-19.948058234037418</v>
      </c>
      <c r="M39" cm="1">
        <f t="array" ref="M39">RhoP(M$5,$B$5,$H39,$C$5,0,$D$5)</f>
        <v>-19.841978436548494</v>
      </c>
      <c r="N39" cm="1">
        <f t="array" ref="N39">RhoP(N$5,$B$5,$H39,$C$5,0,$D$5)</f>
        <v>-19.302759112036561</v>
      </c>
      <c r="O39" cm="1">
        <f t="array" ref="O39">RhoP(O$5,$B$5,$H39,$C$5,0,$D$5)</f>
        <v>-17.664512161955695</v>
      </c>
      <c r="P39" cm="1">
        <f t="array" ref="P39">RhoP(P$5,$B$5,$H39,$C$5,0,$D$5)</f>
        <v>-14.458214370301659</v>
      </c>
      <c r="Q39" cm="1">
        <f t="array" ref="Q39">RhoP(Q$5,$B$5,$H39,$C$5,0,$D$5)</f>
        <v>-10.158061093169938</v>
      </c>
      <c r="R39" cm="1">
        <f t="array" ref="R39">RhoP(R$5,$B$5,$H39,$C$5,0,$D$5)</f>
        <v>-5.9968326579861753</v>
      </c>
      <c r="S39" cm="1">
        <f t="array" ref="S39">RhoP(S$5,$B$5,$H39,$C$5,0,$D$5)</f>
        <v>-2.9624429034828421</v>
      </c>
      <c r="T39" cm="1">
        <f t="array" ref="T39">RhoP(T$5,$B$5,$H39,$C$5,0,$D$5)</f>
        <v>-1.2325867132738102</v>
      </c>
      <c r="U39" cm="1">
        <f t="array" ref="U39">RhoP(U$5,$B$5,$H39,$C$5,0,$D$5)</f>
        <v>-0.43706588933653562</v>
      </c>
      <c r="V39" cm="1">
        <f t="array" ref="V39">RhoP(V$5,$B$5,$H39,$C$5,0,$D$5)</f>
        <v>-0.13391859871546535</v>
      </c>
      <c r="W39" cm="1">
        <f t="array" ref="W39">RhoP(W$5,$B$5,$H39,$C$5,0,$D$5)</f>
        <v>-3.5959910459001758E-2</v>
      </c>
      <c r="X39" cm="1">
        <f t="array" ref="X39">RhoP(X$5,$B$5,$H39,$C$5,0,$D$5)</f>
        <v>-8.5770819532793707E-3</v>
      </c>
      <c r="Y39" cm="1">
        <f t="array" ref="Y39">RhoP(Y$5,$B$5,$H39,$C$5,0,$D$5)</f>
        <v>-1.8400851648056229E-3</v>
      </c>
      <c r="AB39">
        <v>0.2</v>
      </c>
      <c r="AC39" cm="1">
        <f t="array" ref="AC39">RhoP(AC$5,$B$5,$H39,$C$5,0,$D$6)</f>
        <v>-19.96003997334666</v>
      </c>
      <c r="AD39" cm="1">
        <f t="array" ref="AD39">RhoP(AD$5,$B$5,$H39,$C$5,0,$D$6)</f>
        <v>-19.96003997334666</v>
      </c>
      <c r="AE39" cm="1">
        <f t="array" ref="AE39">RhoP(AE$5,$B$5,$H39,$C$5,0,$D$6)</f>
        <v>-19.960039973346642</v>
      </c>
      <c r="AF39" cm="1">
        <f t="array" ref="AF39">RhoP(AF$5,$B$5,$H39,$C$5,0,$D$6)</f>
        <v>-19.960039971898233</v>
      </c>
      <c r="AG39" cm="1">
        <f t="array" ref="AG39">RhoP(AG$5,$B$5,$H39,$C$5,0,$D$6)</f>
        <v>-19.960033197089469</v>
      </c>
      <c r="AH39" cm="1">
        <f t="array" ref="AH39">RhoP(AH$5,$B$5,$H39,$C$5,0,$D$6)</f>
        <v>-19.95700377223957</v>
      </c>
      <c r="AI39" cm="1">
        <f t="array" ref="AI39">RhoP(AI$5,$B$5,$H39,$C$5,0,$D$6)</f>
        <v>-19.764250540073473</v>
      </c>
      <c r="AJ39" cm="1">
        <f t="array" ref="AJ39">RhoP(AJ$5,$B$5,$H39,$C$5,0,$D$6)</f>
        <v>-17.357631408340378</v>
      </c>
      <c r="AK39" cm="1">
        <f t="array" ref="AK39">RhoP(AK$5,$B$5,$H39,$C$5,0,$D$6)</f>
        <v>-9.8019788801767227</v>
      </c>
      <c r="AL39" cm="1">
        <f t="array" ref="AL39">RhoP(AL$5,$B$5,$H39,$C$5,0,$D$6)</f>
        <v>-2.6503101786800833</v>
      </c>
      <c r="AM39" cm="1">
        <f t="array" ref="AM39">RhoP(AM$5,$B$5,$H39,$C$5,0,$D$6)</f>
        <v>-0.31212121757166289</v>
      </c>
      <c r="AN39" cm="1">
        <f t="array" ref="AN39">RhoP(AN$5,$B$5,$H39,$C$5,0,$D$6)</f>
        <v>-1.643256976706154E-2</v>
      </c>
      <c r="AO39" cm="1">
        <f t="array" ref="AO39">RhoP(AO$5,$B$5,$H39,$C$5,0,$D$6)</f>
        <v>-4.1376194053933257E-4</v>
      </c>
      <c r="AP39" cm="1">
        <f t="array" ref="AP39">RhoP(AP$5,$B$5,$H39,$C$5,0,$D$6)</f>
        <v>-5.3758969650157476E-6</v>
      </c>
      <c r="AQ39" cm="1">
        <f t="array" ref="AQ39">RhoP(AQ$5,$B$5,$H39,$C$5,0,$D$6)</f>
        <v>-3.8775380325376679E-8</v>
      </c>
      <c r="AR39" cm="1">
        <f t="array" ref="AR39">RhoP(AR$5,$B$5,$H39,$C$5,0,$D$6)</f>
        <v>-1.6597823077329575E-10</v>
      </c>
      <c r="AS39" cm="1">
        <f t="array" ref="AS39">RhoP(AS$5,$B$5,$H39,$C$5,0,$D$6)</f>
        <v>-4.4756006533481521E-13</v>
      </c>
    </row>
    <row r="40" spans="7:45" x14ac:dyDescent="0.2">
      <c r="H40">
        <v>0.3</v>
      </c>
      <c r="I40" cm="1">
        <f t="array" ref="I40">RhoP(I$5,$B$5,$H40,$C$5,0,$D$5)</f>
        <v>-29.910094119721538</v>
      </c>
      <c r="J40" cm="1">
        <f t="array" ref="J40">RhoP(J$5,$B$5,$H40,$C$5,0,$D$5)</f>
        <v>-29.909013414212161</v>
      </c>
      <c r="K40" cm="1">
        <f t="array" ref="K40">RhoP(K$5,$B$5,$H40,$C$5,0,$D$5)</f>
        <v>-29.894794754297283</v>
      </c>
      <c r="L40" cm="1">
        <f t="array" ref="L40">RhoP(L$5,$B$5,$H40,$C$5,0,$D$5)</f>
        <v>-29.791018552939921</v>
      </c>
      <c r="M40" cm="1">
        <f t="array" ref="M40">RhoP(M$5,$B$5,$H40,$C$5,0,$D$5)</f>
        <v>-29.327187442853184</v>
      </c>
      <c r="N40" cm="1">
        <f t="array" ref="N40">RhoP(N$5,$B$5,$H40,$C$5,0,$D$5)</f>
        <v>-27.954086416817802</v>
      </c>
      <c r="O40" cm="1">
        <f t="array" ref="O40">RhoP(O$5,$B$5,$H40,$C$5,0,$D$5)</f>
        <v>-25.086087962514604</v>
      </c>
      <c r="P40" cm="1">
        <f t="array" ref="P40">RhoP(P$5,$B$5,$H40,$C$5,0,$D$5)</f>
        <v>-20.63564353985079</v>
      </c>
      <c r="Q40" cm="1">
        <f t="array" ref="Q40">RhoP(Q$5,$B$5,$H40,$C$5,0,$D$5)</f>
        <v>-15.281809298363573</v>
      </c>
      <c r="R40" cm="1">
        <f t="array" ref="R40">RhoP(R$5,$B$5,$H40,$C$5,0,$D$5)</f>
        <v>-10.108778985951709</v>
      </c>
      <c r="S40" cm="1">
        <f t="array" ref="S40">RhoP(S$5,$B$5,$H40,$C$5,0,$D$5)</f>
        <v>-5.9732254020951654</v>
      </c>
      <c r="T40" cm="1">
        <f t="array" ref="T40">RhoP(T$5,$B$5,$H40,$C$5,0,$D$5)</f>
        <v>-3.1684201115692674</v>
      </c>
      <c r="U40" cm="1">
        <f t="array" ref="U40">RhoP(U$5,$B$5,$H40,$C$5,0,$D$5)</f>
        <v>-1.5199706420834209</v>
      </c>
      <c r="V40" cm="1">
        <f t="array" ref="V40">RhoP(V$5,$B$5,$H40,$C$5,0,$D$5)</f>
        <v>-0.66506285905427409</v>
      </c>
      <c r="W40" cm="1">
        <f t="array" ref="W40">RhoP(W$5,$B$5,$H40,$C$5,0,$D$5)</f>
        <v>-0.26770963052206043</v>
      </c>
      <c r="X40" cm="1">
        <f t="array" ref="X40">RhoP(X$5,$B$5,$H40,$C$5,0,$D$5)</f>
        <v>-9.9962649464834463E-2</v>
      </c>
      <c r="Y40" cm="1">
        <f t="array" ref="Y40">RhoP(Y$5,$B$5,$H40,$C$5,0,$D$5)</f>
        <v>-3.4893521618526095E-2</v>
      </c>
      <c r="AB40">
        <v>0.3</v>
      </c>
      <c r="AC40" cm="1">
        <f t="array" ref="AC40">RhoP(AC$5,$B$5,$H40,$C$5,0,$D$6)</f>
        <v>-29.910134865101192</v>
      </c>
      <c r="AD40" cm="1">
        <f t="array" ref="AD40">RhoP(AD$5,$B$5,$H40,$C$5,0,$D$6)</f>
        <v>-29.910134865101121</v>
      </c>
      <c r="AE40" cm="1">
        <f t="array" ref="AE40">RhoP(AE$5,$B$5,$H40,$C$5,0,$D$6)</f>
        <v>-29.91013486377048</v>
      </c>
      <c r="AF40" cm="1">
        <f t="array" ref="AF40">RhoP(AF$5,$B$5,$H40,$C$5,0,$D$6)</f>
        <v>-29.910132259838008</v>
      </c>
      <c r="AG40" cm="1">
        <f t="array" ref="AG40">RhoP(AG$5,$B$5,$H40,$C$5,0,$D$6)</f>
        <v>-29.909357825878445</v>
      </c>
      <c r="AH40" cm="1">
        <f t="array" ref="AH40">RhoP(AH$5,$B$5,$H40,$C$5,0,$D$6)</f>
        <v>-29.861017224298617</v>
      </c>
      <c r="AI40" cm="1">
        <f t="array" ref="AI40">RhoP(AI$5,$B$5,$H40,$C$5,0,$D$6)</f>
        <v>-29.043783160633652</v>
      </c>
      <c r="AJ40" cm="1">
        <f t="array" ref="AJ40">RhoP(AJ$5,$B$5,$H40,$C$5,0,$D$6)</f>
        <v>-24.47697507234966</v>
      </c>
      <c r="AK40" cm="1">
        <f t="array" ref="AK40">RhoP(AK$5,$B$5,$H40,$C$5,0,$D$6)</f>
        <v>-14.628325566737619</v>
      </c>
      <c r="AL40" cm="1">
        <f t="array" ref="AL40">RhoP(AL$5,$B$5,$H40,$C$5,0,$D$6)</f>
        <v>-5.3618495455553878</v>
      </c>
      <c r="AM40" cm="1">
        <f t="array" ref="AM40">RhoP(AM$5,$B$5,$H40,$C$5,0,$D$6)</f>
        <v>-1.1536916845379723</v>
      </c>
      <c r="AN40" cm="1">
        <f t="array" ref="AN40">RhoP(AN$5,$B$5,$H40,$C$5,0,$D$6)</f>
        <v>-0.14815132448374985</v>
      </c>
      <c r="AO40" cm="1">
        <f t="array" ref="AO40">RhoP(AO$5,$B$5,$H40,$C$5,0,$D$6)</f>
        <v>-1.1821674012054745E-2</v>
      </c>
      <c r="AP40" cm="1">
        <f t="array" ref="AP40">RhoP(AP$5,$B$5,$H40,$C$5,0,$D$6)</f>
        <v>-6.1411164212452909E-4</v>
      </c>
      <c r="AQ40" cm="1">
        <f t="array" ref="AQ40">RhoP(AQ$5,$B$5,$H40,$C$5,0,$D$6)</f>
        <v>-2.1742039088202225E-5</v>
      </c>
      <c r="AR40" cm="1">
        <f t="array" ref="AR40">RhoP(AR$5,$B$5,$H40,$C$5,0,$D$6)</f>
        <v>-5.473460729992493E-7</v>
      </c>
      <c r="AS40" cm="1">
        <f t="array" ref="AS40">RhoP(AS$5,$B$5,$H40,$C$5,0,$D$6)</f>
        <v>-1.0180530527490308E-8</v>
      </c>
    </row>
    <row r="41" spans="7:45" x14ac:dyDescent="0.2">
      <c r="H41">
        <v>0.4</v>
      </c>
      <c r="I41" cm="1">
        <f t="array" ref="I41">RhoP(I$5,$B$5,$H41,$C$5,0,$D$5)</f>
        <v>-39.83938328127995</v>
      </c>
      <c r="J41" cm="1">
        <f t="array" ref="J41">RhoP(J$5,$B$5,$H41,$C$5,0,$D$5)</f>
        <v>-39.828613898434014</v>
      </c>
      <c r="K41" cm="1">
        <f t="array" ref="K41">RhoP(K$5,$B$5,$H41,$C$5,0,$D$5)</f>
        <v>-39.75360887122114</v>
      </c>
      <c r="L41" cm="1">
        <f t="array" ref="L41">RhoP(L$5,$B$5,$H41,$C$5,0,$D$5)</f>
        <v>-39.41973591718309</v>
      </c>
      <c r="M41" cm="1">
        <f t="array" ref="M41">RhoP(M$5,$B$5,$H41,$C$5,0,$D$5)</f>
        <v>-38.39535351700156</v>
      </c>
      <c r="N41" cm="1">
        <f t="array" ref="N41">RhoP(N$5,$B$5,$H41,$C$5,0,$D$5)</f>
        <v>-36.094855187459551</v>
      </c>
      <c r="O41" cm="1">
        <f t="array" ref="O41">RhoP(O$5,$B$5,$H41,$C$5,0,$D$5)</f>
        <v>-32.125751421305253</v>
      </c>
      <c r="P41" cm="1">
        <f t="array" ref="P41">RhoP(P$5,$B$5,$H41,$C$5,0,$D$5)</f>
        <v>-26.652860795022786</v>
      </c>
      <c r="Q41" cm="1">
        <f t="array" ref="Q41">RhoP(Q$5,$B$5,$H41,$C$5,0,$D$5)</f>
        <v>-20.42268806079311</v>
      </c>
      <c r="R41" cm="1">
        <f t="array" ref="R41">RhoP(R$5,$B$5,$H41,$C$5,0,$D$5)</f>
        <v>-14.407573020157958</v>
      </c>
      <c r="S41" cm="1">
        <f t="array" ref="S41">RhoP(S$5,$B$5,$H41,$C$5,0,$D$5)</f>
        <v>-9.369929012132916</v>
      </c>
      <c r="T41" cm="1">
        <f t="array" ref="T41">RhoP(T$5,$B$5,$H41,$C$5,0,$D$5)</f>
        <v>-5.6401929841114553</v>
      </c>
      <c r="U41" cm="1">
        <f t="array" ref="U41">RhoP(U$5,$B$5,$H41,$C$5,0,$D$5)</f>
        <v>-3.1595730956826724</v>
      </c>
      <c r="V41" cm="1">
        <f t="array" ref="V41">RhoP(V$5,$B$5,$H41,$C$5,0,$D$5)</f>
        <v>-1.6571142382086754</v>
      </c>
      <c r="W41" cm="1">
        <f t="array" ref="W41">RhoP(W$5,$B$5,$H41,$C$5,0,$D$5)</f>
        <v>-0.81866116809250755</v>
      </c>
      <c r="X41" cm="1">
        <f t="array" ref="X41">RhoP(X$5,$B$5,$H41,$C$5,0,$D$5)</f>
        <v>-0.38319779767900647</v>
      </c>
      <c r="Y41" cm="1">
        <f t="array" ref="Y41">RhoP(Y$5,$B$5,$H41,$C$5,0,$D$5)</f>
        <v>-0.17087825312208504</v>
      </c>
      <c r="AB41">
        <v>0.4</v>
      </c>
      <c r="AC41" cm="1">
        <f t="array" ref="AC41">RhoP(AC$5,$B$5,$H41,$C$5,0,$D$6)</f>
        <v>-39.840319573759643</v>
      </c>
      <c r="AD41" cm="1">
        <f t="array" ref="AD41">RhoP(AD$5,$B$5,$H41,$C$5,0,$D$6)</f>
        <v>-39.840319573519693</v>
      </c>
      <c r="AE41" cm="1">
        <f t="array" ref="AE41">RhoP(AE$5,$B$5,$H41,$C$5,0,$D$6)</f>
        <v>-39.840319165809852</v>
      </c>
      <c r="AF41" cm="1">
        <f t="array" ref="AF41">RhoP(AF$5,$B$5,$H41,$C$5,0,$D$6)</f>
        <v>-39.840194648520054</v>
      </c>
      <c r="AG41" cm="1">
        <f t="array" ref="AG41">RhoP(AG$5,$B$5,$H41,$C$5,0,$D$6)</f>
        <v>-39.830932167047479</v>
      </c>
      <c r="AH41" cm="1">
        <f t="array" ref="AH41">RhoP(AH$5,$B$5,$H41,$C$5,0,$D$6)</f>
        <v>-39.618250939212942</v>
      </c>
      <c r="AI41" cm="1">
        <f t="array" ref="AI41">RhoP(AI$5,$B$5,$H41,$C$5,0,$D$6)</f>
        <v>-37.804449596512057</v>
      </c>
      <c r="AJ41" cm="1">
        <f t="array" ref="AJ41">RhoP(AJ$5,$B$5,$H41,$C$5,0,$D$6)</f>
        <v>-31.16017325276664</v>
      </c>
      <c r="AK41" cm="1">
        <f t="array" ref="AK41">RhoP(AK$5,$B$5,$H41,$C$5,0,$D$6)</f>
        <v>-19.417631512966548</v>
      </c>
      <c r="AL41" cm="1">
        <f t="array" ref="AL41">RhoP(AL$5,$B$5,$H41,$C$5,0,$D$6)</f>
        <v>-8.4050787077902438</v>
      </c>
      <c r="AM41" cm="1">
        <f t="array" ref="AM41">RhoP(AM$5,$B$5,$H41,$C$5,0,$D$6)</f>
        <v>-2.4681032286023106</v>
      </c>
      <c r="AN41" cm="1">
        <f t="array" ref="AN41">RhoP(AN$5,$B$5,$H41,$C$5,0,$D$6)</f>
        <v>-0.49793903766825615</v>
      </c>
      <c r="AO41" cm="1">
        <f t="array" ref="AO41">RhoP(AO$5,$B$5,$H41,$C$5,0,$D$6)</f>
        <v>-7.0994678821790252E-2</v>
      </c>
      <c r="AP41" cm="1">
        <f t="array" ref="AP41">RhoP(AP$5,$B$5,$H41,$C$5,0,$D$6)</f>
        <v>-7.3922110985878775E-3</v>
      </c>
      <c r="AQ41" cm="1">
        <f t="array" ref="AQ41">RhoP(AQ$5,$B$5,$H41,$C$5,0,$D$6)</f>
        <v>-5.8077750670825509E-4</v>
      </c>
      <c r="AR41" cm="1">
        <f t="array" ref="AR41">RhoP(AR$5,$B$5,$H41,$C$5,0,$D$6)</f>
        <v>-3.5498023253741948E-5</v>
      </c>
      <c r="AS41" cm="1">
        <f t="array" ref="AS41">RhoP(AS$5,$B$5,$H41,$C$5,0,$D$6)</f>
        <v>-1.735525551059683E-6</v>
      </c>
    </row>
    <row r="42" spans="7:45" x14ac:dyDescent="0.2">
      <c r="H42">
        <v>0.5</v>
      </c>
      <c r="I42" cm="1">
        <f t="array" ref="I42">RhoP(I$5,$B$5,$H42,$C$5,0,$D$5)</f>
        <v>-49.744035279710602</v>
      </c>
      <c r="J42" cm="1">
        <f t="array" ref="J42">RhoP(J$5,$B$5,$H42,$C$5,0,$D$5)</f>
        <v>-49.699382138164076</v>
      </c>
      <c r="K42" cm="1">
        <f t="array" ref="K42">RhoP(K$5,$B$5,$H42,$C$5,0,$D$5)</f>
        <v>-49.488315365673735</v>
      </c>
      <c r="L42" cm="1">
        <f t="array" ref="L42">RhoP(L$5,$B$5,$H42,$C$5,0,$D$5)</f>
        <v>-48.793118931720997</v>
      </c>
      <c r="M42" cm="1">
        <f t="array" ref="M42">RhoP(M$5,$B$5,$H42,$C$5,0,$D$5)</f>
        <v>-47.096501783520424</v>
      </c>
      <c r="N42" cm="1">
        <f t="array" ref="N42">RhoP(N$5,$B$5,$H42,$C$5,0,$D$5)</f>
        <v>-43.875068358505366</v>
      </c>
      <c r="O42" cm="1">
        <f t="array" ref="O42">RhoP(O$5,$B$5,$H42,$C$5,0,$D$5)</f>
        <v>-38.925508361484987</v>
      </c>
      <c r="P42" cm="1">
        <f t="array" ref="P42">RhoP(P$5,$B$5,$H42,$C$5,0,$D$5)</f>
        <v>-32.57196731113131</v>
      </c>
      <c r="Q42" cm="1">
        <f t="array" ref="Q42">RhoP(Q$5,$B$5,$H42,$C$5,0,$D$5)</f>
        <v>-25.576885410967218</v>
      </c>
      <c r="R42" cm="1">
        <f t="array" ref="R42">RhoP(R$5,$B$5,$H42,$C$5,0,$D$5)</f>
        <v>-18.826439216165006</v>
      </c>
      <c r="S42" cm="1">
        <f t="array" ref="S42">RhoP(S$5,$B$5,$H42,$C$5,0,$D$5)</f>
        <v>-13.012028815236006</v>
      </c>
      <c r="T42" cm="1">
        <f t="array" ref="T42">RhoP(T$5,$B$5,$H42,$C$5,0,$D$5)</f>
        <v>-8.473408136161158</v>
      </c>
      <c r="U42" cm="1">
        <f t="array" ref="U42">RhoP(U$5,$B$5,$H42,$C$5,0,$D$5)</f>
        <v>-5.221216813794177</v>
      </c>
      <c r="V42" cm="1">
        <f t="array" ref="V42">RhoP(V$5,$B$5,$H42,$C$5,0,$D$5)</f>
        <v>-3.058425410656282</v>
      </c>
      <c r="W42" cm="1">
        <f t="array" ref="W42">RhoP(W$5,$B$5,$H42,$C$5,0,$D$5)</f>
        <v>-1.7110072638825886</v>
      </c>
      <c r="X42" cm="1">
        <f t="array" ref="X42">RhoP(X$5,$B$5,$H42,$C$5,0,$D$5)</f>
        <v>-0.91826832539909975</v>
      </c>
      <c r="Y42" cm="1">
        <f t="array" ref="Y42">RhoP(Y$5,$B$5,$H42,$C$5,0,$D$5)</f>
        <v>-0.47475024340639199</v>
      </c>
      <c r="AB42">
        <v>0.5</v>
      </c>
      <c r="AC42" cm="1">
        <f t="array" ref="AC42">RhoP(AC$5,$B$5,$H42,$C$5,0,$D$6)</f>
        <v>-49.750623959617862</v>
      </c>
      <c r="AD42" cm="1">
        <f t="array" ref="AD42">RhoP(AD$5,$B$5,$H42,$C$5,0,$D$6)</f>
        <v>-49.750623925100776</v>
      </c>
      <c r="AE42" cm="1">
        <f t="array" ref="AE42">RhoP(AE$5,$B$5,$H42,$C$5,0,$D$6)</f>
        <v>-49.750610334612155</v>
      </c>
      <c r="AF42" cm="1">
        <f t="array" ref="AF42">RhoP(AF$5,$B$5,$H42,$C$5,0,$D$6)</f>
        <v>-49.749254581248643</v>
      </c>
      <c r="AG42" cm="1">
        <f t="array" ref="AG42">RhoP(AG$5,$B$5,$H42,$C$5,0,$D$6)</f>
        <v>-49.705693331611975</v>
      </c>
      <c r="AH42" cm="1">
        <f t="array" ref="AH42">RhoP(AH$5,$B$5,$H42,$C$5,0,$D$6)</f>
        <v>-49.162693233839569</v>
      </c>
      <c r="AI42" cm="1">
        <f t="array" ref="AI42">RhoP(AI$5,$B$5,$H42,$C$5,0,$D$6)</f>
        <v>-46.124764352636227</v>
      </c>
      <c r="AJ42" cm="1">
        <f t="array" ref="AJ42">RhoP(AJ$5,$B$5,$H42,$C$5,0,$D$6)</f>
        <v>-37.557538029528146</v>
      </c>
      <c r="AK42" cm="1">
        <f t="array" ref="AK42">RhoP(AK$5,$B$5,$H42,$C$5,0,$D$6)</f>
        <v>-24.173738548666901</v>
      </c>
      <c r="AL42" cm="1">
        <f t="array" ref="AL42">RhoP(AL$5,$B$5,$H42,$C$5,0,$D$6)</f>
        <v>-11.647512386205332</v>
      </c>
      <c r="AM42" cm="1">
        <f t="array" ref="AM42">RhoP(AM$5,$B$5,$H42,$C$5,0,$D$6)</f>
        <v>-4.1439734620382689</v>
      </c>
      <c r="AN42" cm="1">
        <f t="array" ref="AN42">RhoP(AN$5,$B$5,$H42,$C$5,0,$D$6)</f>
        <v>-1.1002792784816784</v>
      </c>
      <c r="AO42" cm="1">
        <f t="array" ref="AO42">RhoP(AO$5,$B$5,$H42,$C$5,0,$D$6)</f>
        <v>-0.22275567745076927</v>
      </c>
      <c r="AP42" cm="1">
        <f t="array" ref="AP42">RhoP(AP$5,$B$5,$H42,$C$5,0,$D$6)</f>
        <v>-3.5258563277928014E-2</v>
      </c>
      <c r="AQ42" cm="1">
        <f t="array" ref="AQ42">RhoP(AQ$5,$B$5,$H42,$C$5,0,$D$6)</f>
        <v>-4.4740300836920979E-3</v>
      </c>
      <c r="AR42" cm="1">
        <f t="array" ref="AR42">RhoP(AR$5,$B$5,$H42,$C$5,0,$D$6)</f>
        <v>-4.6600046454232697E-4</v>
      </c>
      <c r="AS42" cm="1">
        <f t="array" ref="AS42">RhoP(AS$5,$B$5,$H42,$C$5,0,$D$6)</f>
        <v>-4.0710561486007701E-5</v>
      </c>
    </row>
    <row r="43" spans="7:45" x14ac:dyDescent="0.2">
      <c r="G43" t="s">
        <v>49</v>
      </c>
      <c r="H43">
        <v>0.6</v>
      </c>
      <c r="I43" cm="1">
        <f t="array" ref="I43">RhoP(I$5,$B$5,$H43,$C$5,0,$D$5)</f>
        <v>-59.615741088545718</v>
      </c>
      <c r="J43" cm="1">
        <f t="array" ref="J43">RhoP(J$5,$B$5,$H43,$C$5,0,$D$5)</f>
        <v>-59.497610389550282</v>
      </c>
      <c r="K43" cm="1">
        <f t="array" ref="K43">RhoP(K$5,$B$5,$H43,$C$5,0,$D$5)</f>
        <v>-59.067651342831901</v>
      </c>
      <c r="L43" cm="1">
        <f t="array" ref="L43">RhoP(L$5,$B$5,$H43,$C$5,0,$D$5)</f>
        <v>-57.911532755875669</v>
      </c>
      <c r="M43" cm="1">
        <f t="array" ref="M43">RhoP(M$5,$B$5,$H43,$C$5,0,$D$5)</f>
        <v>-55.492757242980623</v>
      </c>
      <c r="N43" cm="1">
        <f t="array" ref="N43">RhoP(N$5,$B$5,$H43,$C$5,0,$D$5)</f>
        <v>-51.39003210986602</v>
      </c>
      <c r="O43" cm="1">
        <f t="array" ref="O43">RhoP(O$5,$B$5,$H43,$C$5,0,$D$5)</f>
        <v>-45.558439750236126</v>
      </c>
      <c r="P43" cm="1">
        <f t="array" ref="P43">RhoP(P$5,$B$5,$H43,$C$5,0,$D$5)</f>
        <v>-38.423416226145974</v>
      </c>
      <c r="Q43" cm="1">
        <f t="array" ref="Q43">RhoP(Q$5,$B$5,$H43,$C$5,0,$D$5)</f>
        <v>-30.741820985414318</v>
      </c>
      <c r="R43" cm="1">
        <f t="array" ref="R43">RhoP(R$5,$B$5,$H43,$C$5,0,$D$5)</f>
        <v>-23.331210863230879</v>
      </c>
      <c r="S43" cm="1">
        <f t="array" ref="S43">RhoP(S$5,$B$5,$H43,$C$5,0,$D$5)</f>
        <v>-16.827158447361533</v>
      </c>
      <c r="T43" cm="1">
        <f t="array" ref="T43">RhoP(T$5,$B$5,$H43,$C$5,0,$D$5)</f>
        <v>-11.567425721491944</v>
      </c>
      <c r="U43" cm="1">
        <f t="array" ref="U43">RhoP(U$5,$B$5,$H43,$C$5,0,$D$5)</f>
        <v>-7.6059532268932815</v>
      </c>
      <c r="V43" cm="1">
        <f t="array" ref="V43">RhoP(V$5,$B$5,$H43,$C$5,0,$D$5)</f>
        <v>-4.8016470024207889</v>
      </c>
      <c r="W43" cm="1">
        <f t="array" ref="W43">RhoP(W$5,$B$5,$H43,$C$5,0,$D$5)</f>
        <v>-2.9212248017103621</v>
      </c>
      <c r="X43" cm="1">
        <f t="array" ref="X43">RhoP(X$5,$B$5,$H43,$C$5,0,$D$5)</f>
        <v>-1.7188123836696418</v>
      </c>
      <c r="Y43" cm="1">
        <f t="array" ref="Y43">RhoP(Y$5,$B$5,$H43,$C$5,0,$D$5)</f>
        <v>-0.98137054815928637</v>
      </c>
      <c r="AA43" t="s">
        <v>51</v>
      </c>
      <c r="AB43">
        <v>0.6</v>
      </c>
      <c r="AC43" cm="1">
        <f t="array" ref="AC43">RhoP(AC$5,$B$5,$H43,$C$5,0,$D$6)</f>
        <v>-59.641077841587936</v>
      </c>
      <c r="AD43" cm="1">
        <f t="array" ref="AD43">RhoP(AD$5,$B$5,$H43,$C$5,0,$D$6)</f>
        <v>-59.641076847476221</v>
      </c>
      <c r="AE43" cm="1">
        <f t="array" ref="AE43">RhoP(AE$5,$B$5,$H43,$C$5,0,$D$6)</f>
        <v>-59.640929545940025</v>
      </c>
      <c r="AF43" cm="1">
        <f t="array" ref="AF43">RhoP(AF$5,$B$5,$H43,$C$5,0,$D$6)</f>
        <v>-59.63399142553007</v>
      </c>
      <c r="AG43" cm="1">
        <f t="array" ref="AG43">RhoP(AG$5,$B$5,$H43,$C$5,0,$D$6)</f>
        <v>-59.507405122365846</v>
      </c>
      <c r="AH43" cm="1">
        <f t="array" ref="AH43">RhoP(AH$5,$B$5,$H43,$C$5,0,$D$6)</f>
        <v>-58.464424984096155</v>
      </c>
      <c r="AI43" cm="1">
        <f t="array" ref="AI43">RhoP(AI$5,$B$5,$H43,$C$5,0,$D$6)</f>
        <v>-54.084164328407518</v>
      </c>
      <c r="AJ43" cm="1">
        <f t="array" ref="AJ43">RhoP(AJ$5,$B$5,$H43,$C$5,0,$D$6)</f>
        <v>-43.747332474639968</v>
      </c>
      <c r="AK43" cm="1">
        <f t="array" ref="AK43">RhoP(AK$5,$B$5,$H43,$C$5,0,$D$6)</f>
        <v>-28.899256857821804</v>
      </c>
      <c r="AL43" cm="1">
        <f t="array" ref="AL43">RhoP(AL$5,$B$5,$H43,$C$5,0,$D$6)</f>
        <v>-15.021961569853937</v>
      </c>
      <c r="AM43" cm="1">
        <f t="array" ref="AM43">RhoP(AM$5,$B$5,$H43,$C$5,0,$D$6)</f>
        <v>-6.0946395009041217</v>
      </c>
      <c r="AN43" cm="1">
        <f t="array" ref="AN43">RhoP(AN$5,$B$5,$H43,$C$5,0,$D$6)</f>
        <v>-1.9479340505072655</v>
      </c>
      <c r="AO43" cm="1">
        <f t="array" ref="AO43">RhoP(AO$5,$B$5,$H43,$C$5,0,$D$6)</f>
        <v>-0.49902996063027294</v>
      </c>
      <c r="AP43" cm="1">
        <f t="array" ref="AP43">RhoP(AP$5,$B$5,$H43,$C$5,0,$D$6)</f>
        <v>-0.10454860691588219</v>
      </c>
      <c r="AQ43" cm="1">
        <f t="array" ref="AQ43">RhoP(AQ$5,$B$5,$H43,$C$5,0,$D$6)</f>
        <v>-1.8277187067678866E-2</v>
      </c>
      <c r="AR43" cm="1">
        <f t="array" ref="AR43">RhoP(AR$5,$B$5,$H43,$C$5,0,$D$6)</f>
        <v>-2.717622405464722E-3</v>
      </c>
      <c r="AS43" cm="1">
        <f t="array" ref="AS43">RhoP(AS$5,$B$5,$H43,$C$5,0,$D$6)</f>
        <v>-3.497611816204572E-4</v>
      </c>
    </row>
    <row r="44" spans="7:45" x14ac:dyDescent="0.2">
      <c r="H44">
        <v>0.7</v>
      </c>
      <c r="I44" cm="1">
        <f t="array" ref="I44">RhoP(I$5,$B$5,$H44,$C$5,0,$D$5)</f>
        <v>-69.443214691678563</v>
      </c>
      <c r="J44" cm="1">
        <f t="array" ref="J44">RhoP(J$5,$B$5,$H44,$C$5,0,$D$5)</f>
        <v>-69.202729459779022</v>
      </c>
      <c r="K44" cm="1">
        <f t="array" ref="K44">RhoP(K$5,$B$5,$H44,$C$5,0,$D$5)</f>
        <v>-68.477647194821671</v>
      </c>
      <c r="L44" cm="1">
        <f t="array" ref="L44">RhoP(L$5,$B$5,$H44,$C$5,0,$D$5)</f>
        <v>-66.792834360049611</v>
      </c>
      <c r="M44" cm="1">
        <f t="array" ref="M44">RhoP(M$5,$B$5,$H44,$C$5,0,$D$5)</f>
        <v>-63.6373971929034</v>
      </c>
      <c r="N44" cm="1">
        <f t="array" ref="N44">RhoP(N$5,$B$5,$H44,$C$5,0,$D$5)</f>
        <v>-58.70170061086521</v>
      </c>
      <c r="O44" cm="1">
        <f t="array" ref="O44">RhoP(O$5,$B$5,$H44,$C$5,0,$D$5)</f>
        <v>-52.067288526246521</v>
      </c>
      <c r="P44" cm="1">
        <f t="array" ref="P44">RhoP(P$5,$B$5,$H44,$C$5,0,$D$5)</f>
        <v>-44.22463542897956</v>
      </c>
      <c r="Q44" cm="1">
        <f t="array" ref="Q44">RhoP(Q$5,$B$5,$H44,$C$5,0,$D$5)</f>
        <v>-35.915594909590865</v>
      </c>
      <c r="R44" cm="1">
        <f t="array" ref="R44">RhoP(R$5,$B$5,$H44,$C$5,0,$D$5)</f>
        <v>-27.901490922210385</v>
      </c>
      <c r="S44" cm="1">
        <f t="array" ref="S44">RhoP(S$5,$B$5,$H44,$C$5,0,$D$5)</f>
        <v>-20.772528778888063</v>
      </c>
      <c r="T44" cm="1">
        <f t="array" ref="T44">RhoP(T$5,$B$5,$H44,$C$5,0,$D$5)</f>
        <v>-14.859597428160155</v>
      </c>
      <c r="U44" cm="1">
        <f t="array" ref="U44">RhoP(U$5,$B$5,$H44,$C$5,0,$D$5)</f>
        <v>-10.244473451937504</v>
      </c>
      <c r="V44" cm="1">
        <f t="array" ref="V44">RhoP(V$5,$B$5,$H44,$C$5,0,$D$5)</f>
        <v>-6.8281145547908482</v>
      </c>
      <c r="W44" cm="1">
        <f t="array" ref="W44">RhoP(W$5,$B$5,$H44,$C$5,0,$D$5)</f>
        <v>-4.4135283421453941</v>
      </c>
      <c r="X44" cm="1">
        <f t="array" ref="X44">RhoP(X$5,$B$5,$H44,$C$5,0,$D$5)</f>
        <v>-2.7747891614049069</v>
      </c>
      <c r="Y44" cm="1">
        <f t="array" ref="Y44">RhoP(Y$5,$B$5,$H44,$C$5,0,$D$5)</f>
        <v>-1.7015134616637777</v>
      </c>
      <c r="AB44">
        <v>0.7</v>
      </c>
      <c r="AC44" cm="1">
        <f t="array" ref="AC44">RhoP(AC$5,$B$5,$H44,$C$5,0,$D$6)</f>
        <v>-69.51171095909271</v>
      </c>
      <c r="AD44" cm="1">
        <f t="array" ref="AD44">RhoP(AD$5,$B$5,$H44,$C$5,0,$D$6)</f>
        <v>-69.511699629717839</v>
      </c>
      <c r="AE44" cm="1">
        <f t="array" ref="AE44">RhoP(AE$5,$B$5,$H44,$C$5,0,$D$6)</f>
        <v>-69.510866599683723</v>
      </c>
      <c r="AF44" cm="1">
        <f t="array" ref="AF44">RhoP(AF$5,$B$5,$H44,$C$5,0,$D$6)</f>
        <v>-69.487999767534276</v>
      </c>
      <c r="AG44" cm="1">
        <f t="array" ref="AG44">RhoP(AG$5,$B$5,$H44,$C$5,0,$D$6)</f>
        <v>-69.210769581279649</v>
      </c>
      <c r="AH44" cm="1">
        <f t="array" ref="AH44">RhoP(AH$5,$B$5,$H44,$C$5,0,$D$6)</f>
        <v>-67.518489921089667</v>
      </c>
      <c r="AI44" cm="1">
        <f t="array" ref="AI44">RhoP(AI$5,$B$5,$H44,$C$5,0,$D$6)</f>
        <v>-61.746316022743407</v>
      </c>
      <c r="AJ44" cm="1">
        <f t="array" ref="AJ44">RhoP(AJ$5,$B$5,$H44,$C$5,0,$D$6)</f>
        <v>-49.7760308811824</v>
      </c>
      <c r="AK44" cm="1">
        <f t="array" ref="AK44">RhoP(AK$5,$B$5,$H44,$C$5,0,$D$6)</f>
        <v>-33.596116095735596</v>
      </c>
      <c r="AL44" cm="1">
        <f t="array" ref="AL44">RhoP(AL$5,$B$5,$H44,$C$5,0,$D$6)</f>
        <v>-18.489405725331288</v>
      </c>
      <c r="AM44" cm="1">
        <f t="array" ref="AM44">RhoP(AM$5,$B$5,$H44,$C$5,0,$D$6)</f>
        <v>-8.2579818420475526</v>
      </c>
      <c r="AN44" cm="1">
        <f t="array" ref="AN44">RhoP(AN$5,$B$5,$H44,$C$5,0,$D$6)</f>
        <v>-3.0181976038431837</v>
      </c>
      <c r="AO44" cm="1">
        <f t="array" ref="AO44">RhoP(AO$5,$B$5,$H44,$C$5,0,$D$6)</f>
        <v>-0.91586807596606812</v>
      </c>
      <c r="AP44" cm="1">
        <f t="array" ref="AP44">RhoP(AP$5,$B$5,$H44,$C$5,0,$D$6)</f>
        <v>-0.23461919494972105</v>
      </c>
      <c r="AQ44" cm="1">
        <f t="array" ref="AQ44">RhoP(AQ$5,$B$5,$H44,$C$5,0,$D$6)</f>
        <v>-5.159700013576192E-2</v>
      </c>
      <c r="AR44" cm="1">
        <f t="array" ref="AR44">RhoP(AR$5,$B$5,$H44,$C$5,0,$D$6)</f>
        <v>-9.8976324948288549E-3</v>
      </c>
      <c r="AS44" cm="1">
        <f t="array" ref="AS44">RhoP(AS$5,$B$5,$H44,$C$5,0,$D$6)</f>
        <v>-1.6805717595808304E-3</v>
      </c>
    </row>
    <row r="45" spans="7:45" x14ac:dyDescent="0.2">
      <c r="H45">
        <v>0.8</v>
      </c>
      <c r="I45" cm="1">
        <f t="array" ref="I45">RhoP(I$5,$B$5,$H45,$C$5,0,$D$5)</f>
        <v>-79.214630188643611</v>
      </c>
      <c r="J45" cm="1">
        <f t="array" ref="J45">RhoP(J$5,$B$5,$H45,$C$5,0,$D$5)</f>
        <v>-78.800185672067002</v>
      </c>
      <c r="K45" cm="1">
        <f t="array" ref="K45">RhoP(K$5,$B$5,$H45,$C$5,0,$D$5)</f>
        <v>-77.716158229035656</v>
      </c>
      <c r="L45" cm="1">
        <f t="array" ref="L45">RhoP(L$5,$B$5,$H45,$C$5,0,$D$5)</f>
        <v>-75.459956615962383</v>
      </c>
      <c r="M45" cm="1">
        <f t="array" ref="M45">RhoP(M$5,$B$5,$H45,$C$5,0,$D$5)</f>
        <v>-71.572661144250873</v>
      </c>
      <c r="N45" cm="1">
        <f t="array" ref="N45">RhoP(N$5,$B$5,$H45,$C$5,0,$D$5)</f>
        <v>-65.852123968914782</v>
      </c>
      <c r="O45" cm="1">
        <f t="array" ref="O45">RhoP(O$5,$B$5,$H45,$C$5,0,$D$5)</f>
        <v>-58.479342652948603</v>
      </c>
      <c r="P45" cm="1">
        <f t="array" ref="P45">RhoP(P$5,$B$5,$H45,$C$5,0,$D$5)</f>
        <v>-49.986608952017576</v>
      </c>
      <c r="Q45" cm="1">
        <f t="array" ref="Q45">RhoP(Q$5,$B$5,$H45,$C$5,0,$D$5)</f>
        <v>-41.096731210161039</v>
      </c>
      <c r="R45" cm="1">
        <f t="array" ref="R45">RhoP(R$5,$B$5,$H45,$C$5,0,$D$5)</f>
        <v>-32.52387036151238</v>
      </c>
      <c r="S45" cm="1">
        <f t="array" ref="S45">RhoP(S$5,$B$5,$H45,$C$5,0,$D$5)</f>
        <v>-24.820403087334707</v>
      </c>
      <c r="T45" cm="1">
        <f t="array" ref="T45">RhoP(T$5,$B$5,$H45,$C$5,0,$D$5)</f>
        <v>-18.308261698945504</v>
      </c>
      <c r="U45" cm="1">
        <f t="array" ref="U45">RhoP(U$5,$B$5,$H45,$C$5,0,$D$5)</f>
        <v>-13.087469431094345</v>
      </c>
      <c r="V45" cm="1">
        <f t="array" ref="V45">RhoP(V$5,$B$5,$H45,$C$5,0,$D$5)</f>
        <v>-9.0908489929242116</v>
      </c>
      <c r="W45" cm="1">
        <f t="array" ref="W45">RhoP(W$5,$B$5,$H45,$C$5,0,$D$5)</f>
        <v>-6.1523368978177171</v>
      </c>
      <c r="X45" cm="1">
        <f t="array" ref="X45">RhoP(X$5,$B$5,$H45,$C$5,0,$D$5)</f>
        <v>-4.0668157638389451</v>
      </c>
      <c r="Y45" cm="1">
        <f t="array" ref="Y45">RhoP(Y$5,$B$5,$H45,$C$5,0,$D$5)</f>
        <v>-2.6318913337857794</v>
      </c>
      <c r="AB45">
        <v>0.8</v>
      </c>
      <c r="AC45" cm="1">
        <f t="array" ref="AC45">RhoP(AC$5,$B$5,$H45,$C$5,0,$D$6)</f>
        <v>-79.362552608576479</v>
      </c>
      <c r="AD45" cm="1">
        <f t="array" ref="AD45">RhoP(AD$5,$B$5,$H45,$C$5,0,$D$6)</f>
        <v>-79.362480654308257</v>
      </c>
      <c r="AE45" cm="1">
        <f t="array" ref="AE45">RhoP(AE$5,$B$5,$H45,$C$5,0,$D$6)</f>
        <v>-79.35936043085654</v>
      </c>
      <c r="AF45" cm="1">
        <f t="array" ref="AF45">RhoP(AF$5,$B$5,$H45,$C$5,0,$D$6)</f>
        <v>-79.30240855022825</v>
      </c>
      <c r="AG45" cm="1">
        <f t="array" ref="AG45">RhoP(AG$5,$B$5,$H45,$C$5,0,$D$6)</f>
        <v>-78.795837941602983</v>
      </c>
      <c r="AH45" cm="1">
        <f t="array" ref="AH45">RhoP(AH$5,$B$5,$H45,$C$5,0,$D$6)</f>
        <v>-76.333065645166869</v>
      </c>
      <c r="AI45" cm="1">
        <f t="array" ref="AI45">RhoP(AI$5,$B$5,$H45,$C$5,0,$D$6)</f>
        <v>-69.160045612128513</v>
      </c>
      <c r="AJ45" cm="1">
        <f t="array" ref="AJ45">RhoP(AJ$5,$B$5,$H45,$C$5,0,$D$6)</f>
        <v>-55.673809412580411</v>
      </c>
      <c r="AK45" cm="1">
        <f t="array" ref="AK45">RhoP(AK$5,$B$5,$H45,$C$5,0,$D$6)</f>
        <v>-38.265821976803807</v>
      </c>
      <c r="AL45" cm="1">
        <f t="array" ref="AL45">RhoP(AL$5,$B$5,$H45,$C$5,0,$D$6)</f>
        <v>-22.025034744081637</v>
      </c>
      <c r="AM45" cm="1">
        <f t="array" ref="AM45">RhoP(AM$5,$B$5,$H45,$C$5,0,$D$6)</f>
        <v>-10.589364670422441</v>
      </c>
      <c r="AN45" cm="1">
        <f t="array" ref="AN45">RhoP(AN$5,$B$5,$H45,$C$5,0,$D$6)</f>
        <v>-4.2850602886025966</v>
      </c>
      <c r="AO45" cm="1">
        <f t="array" ref="AO45">RhoP(AO$5,$B$5,$H45,$C$5,0,$D$6)</f>
        <v>-1.4776758266337846</v>
      </c>
      <c r="AP45" cm="1">
        <f t="array" ref="AP45">RhoP(AP$5,$B$5,$H45,$C$5,0,$D$6)</f>
        <v>-0.44045297688068447</v>
      </c>
      <c r="AQ45" cm="1">
        <f t="array" ref="AQ45">RhoP(AQ$5,$B$5,$H45,$C$5,0,$D$6)</f>
        <v>-0.11511350758450069</v>
      </c>
      <c r="AR45" cm="1">
        <f t="array" ref="AR45">RhoP(AR$5,$B$5,$H45,$C$5,0,$D$6)</f>
        <v>-2.674028017491022E-2</v>
      </c>
      <c r="AS45" cm="1">
        <f t="array" ref="AS45">RhoP(AS$5,$B$5,$H45,$C$5,0,$D$6)</f>
        <v>-5.5908141161773164E-3</v>
      </c>
    </row>
    <row r="46" spans="7:45" x14ac:dyDescent="0.2">
      <c r="H46">
        <v>0.9</v>
      </c>
      <c r="I46" cm="1">
        <f t="array" ref="I46">RhoP(I$5,$B$5,$H46,$C$5,0,$D$5)</f>
        <v>-88.919402699541408</v>
      </c>
      <c r="J46" cm="1">
        <f t="array" ref="J46">RhoP(J$5,$B$5,$H46,$C$5,0,$D$5)</f>
        <v>-88.281318832772101</v>
      </c>
      <c r="K46" cm="1">
        <f t="array" ref="K46">RhoP(K$5,$B$5,$H46,$C$5,0,$D$5)</f>
        <v>-86.787848942993051</v>
      </c>
      <c r="L46" cm="1">
        <f t="array" ref="L46">RhoP(L$5,$B$5,$H46,$C$5,0,$D$5)</f>
        <v>-83.935697944585201</v>
      </c>
      <c r="M46" cm="1">
        <f t="array" ref="M46">RhoP(M$5,$B$5,$H46,$C$5,0,$D$5)</f>
        <v>-79.33152003374272</v>
      </c>
      <c r="N46" cm="1">
        <f t="array" ref="N46">RhoP(N$5,$B$5,$H46,$C$5,0,$D$5)</f>
        <v>-72.871028885159717</v>
      </c>
      <c r="O46" cm="1">
        <f t="array" ref="O46">RhoP(O$5,$B$5,$H46,$C$5,0,$D$5)</f>
        <v>-64.813159334649981</v>
      </c>
      <c r="P46" cm="1">
        <f t="array" ref="P46">RhoP(P$5,$B$5,$H46,$C$5,0,$D$5)</f>
        <v>-55.71673432709904</v>
      </c>
      <c r="Q46" cm="1">
        <f t="array" ref="Q46">RhoP(Q$5,$B$5,$H46,$C$5,0,$D$5)</f>
        <v>-46.284039504608735</v>
      </c>
      <c r="R46" cm="1">
        <f t="array" ref="R46">RhoP(R$5,$B$5,$H46,$C$5,0,$D$5)</f>
        <v>-37.188929290105371</v>
      </c>
      <c r="S46" cm="1">
        <f t="array" ref="S46">RhoP(S$5,$B$5,$H46,$C$5,0,$D$5)</f>
        <v>-28.951588055875796</v>
      </c>
      <c r="T46" cm="1">
        <f t="array" ref="T46">RhoP(T$5,$B$5,$H46,$C$5,0,$D$5)</f>
        <v>-21.884217828463346</v>
      </c>
      <c r="U46" cm="1">
        <f t="array" ref="U46">RhoP(U$5,$B$5,$H46,$C$5,0,$D$5)</f>
        <v>-16.098898756528115</v>
      </c>
      <c r="V46" cm="1">
        <f t="array" ref="V46">RhoP(V$5,$B$5,$H46,$C$5,0,$D$5)</f>
        <v>-11.552875943323929</v>
      </c>
      <c r="W46" cm="1">
        <f t="array" ref="W46">RhoP(W$5,$B$5,$H46,$C$5,0,$D$5)</f>
        <v>-8.1060435850244819</v>
      </c>
      <c r="X46" cm="1">
        <f t="array" ref="X46">RhoP(X$5,$B$5,$H46,$C$5,0,$D$5)</f>
        <v>-5.573117343287838</v>
      </c>
      <c r="Y46" cm="1">
        <f t="array" ref="Y46">RhoP(Y$5,$B$5,$H46,$C$5,0,$D$5)</f>
        <v>-3.7621859416077807</v>
      </c>
      <c r="AB46">
        <v>0.9</v>
      </c>
      <c r="AC46" cm="1">
        <f t="array" ref="AC46">RhoP(AC$5,$B$5,$H46,$C$5,0,$D$6)</f>
        <v>-89.19362987855996</v>
      </c>
      <c r="AD46" cm="1">
        <f t="array" ref="AD46">RhoP(AD$5,$B$5,$H46,$C$5,0,$D$6)</f>
        <v>-89.193321512612059</v>
      </c>
      <c r="AE46" cm="1">
        <f t="array" ref="AE46">RhoP(AE$5,$B$5,$H46,$C$5,0,$D$6)</f>
        <v>-89.184472786438263</v>
      </c>
      <c r="AF46" cm="1">
        <f t="array" ref="AF46">RhoP(AF$5,$B$5,$H46,$C$5,0,$D$6)</f>
        <v>-89.067167653905841</v>
      </c>
      <c r="AG46" cm="1">
        <f t="array" ref="AG46">RhoP(AG$5,$B$5,$H46,$C$5,0,$D$6)</f>
        <v>-88.248936205981082</v>
      </c>
      <c r="AH46" cm="1">
        <f t="array" ref="AH46">RhoP(AH$5,$B$5,$H46,$C$5,0,$D$6)</f>
        <v>-84.922150791862009</v>
      </c>
      <c r="AI46" cm="1">
        <f t="array" ref="AI46">RhoP(AI$5,$B$5,$H46,$C$5,0,$D$6)</f>
        <v>-76.362775076181975</v>
      </c>
      <c r="AJ46" cm="1">
        <f t="array" ref="AJ46">RhoP(AJ$5,$B$5,$H46,$C$5,0,$D$6)</f>
        <v>-61.461560731262416</v>
      </c>
      <c r="AK46" cm="1">
        <f t="array" ref="AK46">RhoP(AK$5,$B$5,$H46,$C$5,0,$D$6)</f>
        <v>-42.909594584950781</v>
      </c>
      <c r="AL46" cm="1">
        <f t="array" ref="AL46">RhoP(AL$5,$B$5,$H46,$C$5,0,$D$6)</f>
        <v>-25.612022988471978</v>
      </c>
      <c r="AM46" cm="1">
        <f t="array" ref="AM46">RhoP(AM$5,$B$5,$H46,$C$5,0,$D$6)</f>
        <v>-13.056052320905744</v>
      </c>
      <c r="AN46" cm="1">
        <f t="array" ref="AN46">RhoP(AN$5,$B$5,$H46,$C$5,0,$D$6)</f>
        <v>-5.7238493731413032</v>
      </c>
      <c r="AO46" cm="1">
        <f t="array" ref="AO46">RhoP(AO$5,$B$5,$H46,$C$5,0,$D$6)</f>
        <v>-2.1817588452681833</v>
      </c>
      <c r="AP46" cm="1">
        <f t="array" ref="AP46">RhoP(AP$5,$B$5,$H46,$C$5,0,$D$6)</f>
        <v>-0.73201992281897332</v>
      </c>
      <c r="AQ46" cm="1">
        <f t="array" ref="AQ46">RhoP(AQ$5,$B$5,$H46,$C$5,0,$D$6)</f>
        <v>-0.218891033534764</v>
      </c>
      <c r="AR46" cm="1">
        <f t="array" ref="AR46">RhoP(AR$5,$B$5,$H46,$C$5,0,$D$6)</f>
        <v>-5.9028090815702067E-2</v>
      </c>
      <c r="AS46" cm="1">
        <f t="array" ref="AS46">RhoP(AS$5,$B$5,$H46,$C$5,0,$D$6)</f>
        <v>-1.4513415048132002E-2</v>
      </c>
    </row>
    <row r="47" spans="7:45" x14ac:dyDescent="0.2">
      <c r="H47">
        <v>1</v>
      </c>
      <c r="I47" cm="1">
        <f t="array" ref="I47">RhoP(I$5,$B$5,$H47,$C$5,0,$D$5)</f>
        <v>-98.549024249215705</v>
      </c>
      <c r="J47" cm="1">
        <f t="array" ref="J47">RhoP(J$5,$B$5,$H47,$C$5,0,$D$5)</f>
        <v>-97.642162356209624</v>
      </c>
      <c r="K47" cm="1">
        <f t="array" ref="K47">RhoP(K$5,$B$5,$H47,$C$5,0,$D$5)</f>
        <v>-95.700847271534698</v>
      </c>
      <c r="L47" cm="1">
        <f t="array" ref="L47">RhoP(L$5,$B$5,$H47,$C$5,0,$D$5)</f>
        <v>-92.240828981620467</v>
      </c>
      <c r="M47" cm="1">
        <f t="array" ref="M47">RhoP(M$5,$B$5,$H47,$C$5,0,$D$5)</f>
        <v>-86.939811441071072</v>
      </c>
      <c r="N47" cm="1">
        <f t="array" ref="N47">RhoP(N$5,$B$5,$H47,$C$5,0,$D$5)</f>
        <v>-79.780177175508086</v>
      </c>
      <c r="O47" cm="1">
        <f t="array" ref="O47">RhoP(O$5,$B$5,$H47,$C$5,0,$D$5)</f>
        <v>-71.081972912872317</v>
      </c>
      <c r="P47" cm="1">
        <f t="array" ref="P47">RhoP(P$5,$B$5,$H47,$C$5,0,$D$5)</f>
        <v>-61.420241114846625</v>
      </c>
      <c r="Q47" cm="1">
        <f t="array" ref="Q47">RhoP(Q$5,$B$5,$H47,$C$5,0,$D$5)</f>
        <v>-51.476532828002163</v>
      </c>
      <c r="R47" cm="1">
        <f t="array" ref="R47">RhoP(R$5,$B$5,$H47,$C$5,0,$D$5)</f>
        <v>-41.889720800495205</v>
      </c>
      <c r="S47" cm="1">
        <f t="array" ref="S47">RhoP(S$5,$B$5,$H47,$C$5,0,$D$5)</f>
        <v>-33.152138842643396</v>
      </c>
      <c r="T47" cm="1">
        <f t="array" ref="T47">RhoP(T$5,$B$5,$H47,$C$5,0,$D$5)</f>
        <v>-25.566125133901572</v>
      </c>
      <c r="U47" cm="1">
        <f t="array" ref="U47">RhoP(U$5,$B$5,$H47,$C$5,0,$D$5)</f>
        <v>-19.251686638792744</v>
      </c>
      <c r="V47" cm="1">
        <f t="array" ref="V47">RhoP(V$5,$B$5,$H47,$C$5,0,$D$5)</f>
        <v>-14.185000790281933</v>
      </c>
      <c r="W47" cm="1">
        <f t="array" ref="W47">RhoP(W$5,$B$5,$H47,$C$5,0,$D$5)</f>
        <v>-10.247663661348417</v>
      </c>
      <c r="X47" cm="1">
        <f t="array" ref="X47">RhoP(X$5,$B$5,$H47,$C$5,0,$D$5)</f>
        <v>-7.2725467232320335</v>
      </c>
      <c r="Y47" cm="1">
        <f t="array" ref="Y47">RhoP(Y$5,$B$5,$H47,$C$5,0,$D$5)</f>
        <v>-5.0791250093462876</v>
      </c>
      <c r="AB47">
        <v>1</v>
      </c>
      <c r="AC47" cm="1">
        <f t="array" ref="AC47">RhoP(AC$5,$B$5,$H47,$C$5,0,$D$6)</f>
        <v>-99.004962430033643</v>
      </c>
      <c r="AD47" cm="1">
        <f t="array" ref="AD47">RhoP(AD$5,$B$5,$H47,$C$5,0,$D$6)</f>
        <v>-99.003961536586417</v>
      </c>
      <c r="AE47" cm="1">
        <f t="array" ref="AE47">RhoP(AE$5,$B$5,$H47,$C$5,0,$D$6)</f>
        <v>-98.983357421253245</v>
      </c>
      <c r="AF47" cm="1">
        <f t="array" ref="AF47">RhoP(AF$5,$B$5,$H47,$C$5,0,$D$6)</f>
        <v>-98.772259095825916</v>
      </c>
      <c r="AG47" cm="1">
        <f t="array" ref="AG47">RhoP(AG$5,$B$5,$H47,$C$5,0,$D$6)</f>
        <v>-97.561925382655403</v>
      </c>
      <c r="AH47" cm="1">
        <f t="array" ref="AH47">RhoP(AH$5,$B$5,$H47,$C$5,0,$D$6)</f>
        <v>-93.301664808441942</v>
      </c>
      <c r="AI47" cm="1">
        <f t="array" ref="AI47">RhoP(AI$5,$B$5,$H47,$C$5,0,$D$6)</f>
        <v>-83.383533155302388</v>
      </c>
      <c r="AJ47" cm="1">
        <f t="array" ref="AJ47">RhoP(AJ$5,$B$5,$H47,$C$5,0,$D$6)</f>
        <v>-67.154464766556188</v>
      </c>
      <c r="AK47" cm="1">
        <f t="array" ref="AK47">RhoP(AK$5,$B$5,$H47,$C$5,0,$D$6)</f>
        <v>-47.528450546914641</v>
      </c>
      <c r="AL47" cm="1">
        <f t="array" ref="AL47">RhoP(AL$5,$B$5,$H47,$C$5,0,$D$6)</f>
        <v>-29.238396974088875</v>
      </c>
      <c r="AM47" cm="1">
        <f t="array" ref="AM47">RhoP(AM$5,$B$5,$H47,$C$5,0,$D$6)</f>
        <v>-15.633468393362243</v>
      </c>
      <c r="AN47" cm="1">
        <f t="array" ref="AN47">RhoP(AN$5,$B$5,$H47,$C$5,0,$D$6)</f>
        <v>-7.3126821154321586</v>
      </c>
      <c r="AO47" cm="1">
        <f t="array" ref="AO47">RhoP(AO$5,$B$5,$H47,$C$5,0,$D$6)</f>
        <v>-3.0215639479525973</v>
      </c>
      <c r="AP47" cm="1">
        <f t="array" ref="AP47">RhoP(AP$5,$B$5,$H47,$C$5,0,$D$6)</f>
        <v>-1.1149292047401196</v>
      </c>
      <c r="AQ47" cm="1">
        <f t="array" ref="AQ47">RhoP(AQ$5,$B$5,$H47,$C$5,0,$D$6)</f>
        <v>-0.37142887060016444</v>
      </c>
      <c r="AR47" cm="1">
        <f t="array" ref="AR47">RhoP(AR$5,$B$5,$H47,$C$5,0,$D$6)</f>
        <v>-0.11288829945233647</v>
      </c>
      <c r="AS47" cm="1">
        <f t="array" ref="AS47">RhoP(AS$5,$B$5,$H47,$C$5,0,$D$6)</f>
        <v>-3.1605882700216033E-2</v>
      </c>
    </row>
    <row r="48" spans="7:45" x14ac:dyDescent="0.2">
      <c r="H48">
        <v>2</v>
      </c>
      <c r="I48" cm="1">
        <f t="array" ref="I48">RhoP(I$5,$B$5,$H48,$C$5,0,$D$5)</f>
        <v>-190.10442651574974</v>
      </c>
      <c r="J48" cm="1">
        <f t="array" ref="J48">RhoP(J$5,$B$5,$H48,$C$5,0,$D$5)</f>
        <v>-185.16049152267084</v>
      </c>
      <c r="K48" cm="1">
        <f t="array" ref="K48">RhoP(K$5,$B$5,$H48,$C$5,0,$D$5)</f>
        <v>-178.10765397615398</v>
      </c>
      <c r="L48" cm="1">
        <f t="array" ref="L48">RhoP(L$5,$B$5,$H48,$C$5,0,$D$5)</f>
        <v>-168.92014647187602</v>
      </c>
      <c r="M48" cm="1">
        <f t="array" ref="M48">RhoP(M$5,$B$5,$H48,$C$5,0,$D$5)</f>
        <v>-157.81333252461022</v>
      </c>
      <c r="N48" cm="1">
        <f t="array" ref="N48">RhoP(N$5,$B$5,$H48,$C$5,0,$D$5)</f>
        <v>-145.19373350091146</v>
      </c>
      <c r="O48" cm="1">
        <f t="array" ref="O48">RhoP(O$5,$B$5,$H48,$C$5,0,$D$5)</f>
        <v>-131.58096309700394</v>
      </c>
      <c r="P48" cm="1">
        <f t="array" ref="P48">RhoP(P$5,$B$5,$H48,$C$5,0,$D$5)</f>
        <v>-117.52633104385721</v>
      </c>
      <c r="Q48" cm="1">
        <f t="array" ref="Q48">RhoP(Q$5,$B$5,$H48,$C$5,0,$D$5)</f>
        <v>-103.54544111550688</v>
      </c>
      <c r="R48" cm="1">
        <f t="array" ref="R48">RhoP(R$5,$B$5,$H48,$C$5,0,$D$5)</f>
        <v>-90.072854957655821</v>
      </c>
      <c r="S48" cm="1">
        <f t="array" ref="S48">RhoP(S$5,$B$5,$H48,$C$5,0,$D$5)</f>
        <v>-77.439387810982694</v>
      </c>
      <c r="T48" cm="1">
        <f t="array" ref="T48">RhoP(T$5,$B$5,$H48,$C$5,0,$D$5)</f>
        <v>-65.86808627906116</v>
      </c>
      <c r="U48" cm="1">
        <f t="array" ref="U48">RhoP(U$5,$B$5,$H48,$C$5,0,$D$5)</f>
        <v>-55.48316192035854</v>
      </c>
      <c r="V48" cm="1">
        <f t="array" ref="V48">RhoP(V$5,$B$5,$H48,$C$5,0,$D$5)</f>
        <v>-46.326256041769341</v>
      </c>
      <c r="W48" cm="1">
        <f t="array" ref="W48">RhoP(W$5,$B$5,$H48,$C$5,0,$D$5)</f>
        <v>-38.375493287931832</v>
      </c>
      <c r="X48" cm="1">
        <f t="array" ref="X48">RhoP(X$5,$B$5,$H48,$C$5,0,$D$5)</f>
        <v>-31.564169863796113</v>
      </c>
      <c r="Y48" cm="1">
        <f t="array" ref="Y48">RhoP(Y$5,$B$5,$H48,$C$5,0,$D$5)</f>
        <v>-25.797213572700116</v>
      </c>
      <c r="AB48">
        <v>2</v>
      </c>
      <c r="AC48" cm="1">
        <f t="array" ref="AC48">RhoP(AC$5,$B$5,$H48,$C$5,0,$D$6)</f>
        <v>-196.00071765528571</v>
      </c>
      <c r="AD48" cm="1">
        <f t="array" ref="AD48">RhoP(AD$5,$B$5,$H48,$C$5,0,$D$6)</f>
        <v>-195.75290746741561</v>
      </c>
      <c r="AE48" cm="1">
        <f t="array" ref="AE48">RhoP(AE$5,$B$5,$H48,$C$5,0,$D$6)</f>
        <v>-194.64474795042801</v>
      </c>
      <c r="AF48" cm="1">
        <f t="array" ref="AF48">RhoP(AF$5,$B$5,$H48,$C$5,0,$D$6)</f>
        <v>-191.17921496304345</v>
      </c>
      <c r="AG48" cm="1">
        <f t="array" ref="AG48">RhoP(AG$5,$B$5,$H48,$C$5,0,$D$6)</f>
        <v>-183.12350274293627</v>
      </c>
      <c r="AH48" cm="1">
        <f t="array" ref="AH48">RhoP(AH$5,$B$5,$H48,$C$5,0,$D$6)</f>
        <v>-168.51347130193406</v>
      </c>
      <c r="AI48" cm="1">
        <f t="array" ref="AI48">RhoP(AI$5,$B$5,$H48,$C$5,0,$D$6)</f>
        <v>-147.0180213210559</v>
      </c>
      <c r="AJ48" cm="1">
        <f t="array" ref="AJ48">RhoP(AJ$5,$B$5,$H48,$C$5,0,$D$6)</f>
        <v>-120.53541901517708</v>
      </c>
      <c r="AK48" cm="1">
        <f t="array" ref="AK48">RhoP(AK$5,$B$5,$H48,$C$5,0,$D$6)</f>
        <v>-92.494293545844172</v>
      </c>
      <c r="AL48" cm="1">
        <f t="array" ref="AL48">RhoP(AL$5,$B$5,$H48,$C$5,0,$D$6)</f>
        <v>-66.420495083359441</v>
      </c>
      <c r="AM48" cm="1">
        <f t="array" ref="AM48">RhoP(AM$5,$B$5,$H48,$C$5,0,$D$6)</f>
        <v>-44.744114329833884</v>
      </c>
      <c r="AN48" cm="1">
        <f t="array" ref="AN48">RhoP(AN$5,$B$5,$H48,$C$5,0,$D$6)</f>
        <v>-28.387565416432974</v>
      </c>
      <c r="AO48" cm="1">
        <f t="array" ref="AO48">RhoP(AO$5,$B$5,$H48,$C$5,0,$D$6)</f>
        <v>-17.041305844647876</v>
      </c>
      <c r="AP48" cm="1">
        <f t="array" ref="AP48">RhoP(AP$5,$B$5,$H48,$C$5,0,$D$6)</f>
        <v>-9.7269983363962158</v>
      </c>
      <c r="AQ48" cm="1">
        <f t="array" ref="AQ48">RhoP(AQ$5,$B$5,$H48,$C$5,0,$D$6)</f>
        <v>-5.3044518844668342</v>
      </c>
      <c r="AR48" cm="1">
        <f t="array" ref="AR48">RhoP(AR$5,$B$5,$H48,$C$5,0,$D$6)</f>
        <v>-2.7763060015189756</v>
      </c>
      <c r="AS48" cm="1">
        <f t="array" ref="AS48">RhoP(AS$5,$B$5,$H48,$C$5,0,$D$6)</f>
        <v>-1.4005521022504215</v>
      </c>
    </row>
    <row r="49" spans="7:45" x14ac:dyDescent="0.2">
      <c r="H49">
        <v>3</v>
      </c>
      <c r="I49" cm="1">
        <f t="array" ref="I49">RhoP(I$5,$B$5,$H49,$C$5,0,$D$5)</f>
        <v>-273.88840052041405</v>
      </c>
      <c r="J49" cm="1">
        <f t="array" ref="J49">RhoP(J$5,$B$5,$H49,$C$5,0,$D$5)</f>
        <v>-264.42743352052372</v>
      </c>
      <c r="K49" cm="1">
        <f t="array" ref="K49">RhoP(K$5,$B$5,$H49,$C$5,0,$D$5)</f>
        <v>-252.65717253150868</v>
      </c>
      <c r="L49" cm="1">
        <f t="array" ref="L49">RhoP(L$5,$B$5,$H49,$C$5,0,$D$5)</f>
        <v>-238.85967896533566</v>
      </c>
      <c r="M49" cm="1">
        <f t="array" ref="M49">RhoP(M$5,$B$5,$H49,$C$5,0,$D$5)</f>
        <v>-223.4561122147766</v>
      </c>
      <c r="N49" cm="1">
        <f t="array" ref="N49">RhoP(N$5,$B$5,$H49,$C$5,0,$D$5)</f>
        <v>-206.94088502785391</v>
      </c>
      <c r="O49" cm="1">
        <f t="array" ref="O49">RhoP(O$5,$B$5,$H49,$C$5,0,$D$5)</f>
        <v>-189.82199268452464</v>
      </c>
      <c r="P49" cm="1">
        <f t="array" ref="P49">RhoP(P$5,$B$5,$H49,$C$5,0,$D$5)</f>
        <v>-172.57498868906038</v>
      </c>
      <c r="Q49" cm="1">
        <f t="array" ref="Q49">RhoP(Q$5,$B$5,$H49,$C$5,0,$D$5)</f>
        <v>-155.6127686690331</v>
      </c>
      <c r="R49" cm="1">
        <f t="array" ref="R49">RhoP(R$5,$B$5,$H49,$C$5,0,$D$5)</f>
        <v>-139.26989065749854</v>
      </c>
      <c r="S49" cm="1">
        <f t="array" ref="S49">RhoP(S$5,$B$5,$H49,$C$5,0,$D$5)</f>
        <v>-123.79845616845604</v>
      </c>
      <c r="T49" cm="1">
        <f t="array" ref="T49">RhoP(T$5,$B$5,$H49,$C$5,0,$D$5)</f>
        <v>-109.37211792786213</v>
      </c>
      <c r="U49" cm="1">
        <f t="array" ref="U49">RhoP(U$5,$B$5,$H49,$C$5,0,$D$5)</f>
        <v>-96.095059103296123</v>
      </c>
      <c r="V49" cm="1">
        <f t="array" ref="V49">RhoP(V$5,$B$5,$H49,$C$5,0,$D$5)</f>
        <v>-84.013408061792319</v>
      </c>
      <c r="W49" cm="1">
        <f t="array" ref="W49">RhoP(W$5,$B$5,$H49,$C$5,0,$D$5)</f>
        <v>-73.127252314863256</v>
      </c>
      <c r="X49" cm="1">
        <f t="array" ref="X49">RhoP(X$5,$B$5,$H49,$C$5,0,$D$5)</f>
        <v>-63.402052128096159</v>
      </c>
      <c r="Y49" cm="1">
        <f t="array" ref="Y49">RhoP(Y$5,$B$5,$H49,$C$5,0,$D$5)</f>
        <v>-54.778766781951859</v>
      </c>
      <c r="AB49">
        <v>3</v>
      </c>
      <c r="AC49" cm="1">
        <f t="array" ref="AC49">RhoP(AC$5,$B$5,$H49,$C$5,0,$D$6)</f>
        <v>-290.52211402699146</v>
      </c>
      <c r="AD49" cm="1">
        <f t="array" ref="AD49">RhoP(AD$5,$B$5,$H49,$C$5,0,$D$6)</f>
        <v>-288.75049425784914</v>
      </c>
      <c r="AE49" cm="1">
        <f t="array" ref="AE49">RhoP(AE$5,$B$5,$H49,$C$5,0,$D$6)</f>
        <v>-284.06869415859762</v>
      </c>
      <c r="AF49" cm="1">
        <f t="array" ref="AF49">RhoP(AF$5,$B$5,$H49,$C$5,0,$D$6)</f>
        <v>-274.33364363860733</v>
      </c>
      <c r="AG49" cm="1">
        <f t="array" ref="AG49">RhoP(AG$5,$B$5,$H49,$C$5,0,$D$6)</f>
        <v>-257.72999483671151</v>
      </c>
      <c r="AH49" cm="1">
        <f t="array" ref="AH49">RhoP(AH$5,$B$5,$H49,$C$5,0,$D$6)</f>
        <v>-233.72499898052826</v>
      </c>
      <c r="AI49" cm="1">
        <f t="array" ref="AI49">RhoP(AI$5,$B$5,$H49,$C$5,0,$D$6)</f>
        <v>-203.51967276272819</v>
      </c>
      <c r="AJ49" cm="1">
        <f t="array" ref="AJ49">RhoP(AJ$5,$B$5,$H49,$C$5,0,$D$6)</f>
        <v>-169.72697086452214</v>
      </c>
      <c r="AK49" cm="1">
        <f t="array" ref="AK49">RhoP(AK$5,$B$5,$H49,$C$5,0,$D$6)</f>
        <v>-135.52089139551933</v>
      </c>
      <c r="AL49" cm="1">
        <f t="array" ref="AL49">RhoP(AL$5,$B$5,$H49,$C$5,0,$D$6)</f>
        <v>-103.73893022772121</v>
      </c>
      <c r="AM49" cm="1">
        <f t="array" ref="AM49">RhoP(AM$5,$B$5,$H49,$C$5,0,$D$6)</f>
        <v>-76.306938538913073</v>
      </c>
      <c r="AN49" cm="1">
        <f t="array" ref="AN49">RhoP(AN$5,$B$5,$H49,$C$5,0,$D$6)</f>
        <v>-54.089660745686842</v>
      </c>
      <c r="AO49" cm="1">
        <f t="array" ref="AO49">RhoP(AO$5,$B$5,$H49,$C$5,0,$D$6)</f>
        <v>-37.061971310998416</v>
      </c>
      <c r="AP49" cm="1">
        <f t="array" ref="AP49">RhoP(AP$5,$B$5,$H49,$C$5,0,$D$6)</f>
        <v>-24.623428923447239</v>
      </c>
      <c r="AQ49" cm="1">
        <f t="array" ref="AQ49">RhoP(AQ$5,$B$5,$H49,$C$5,0,$D$6)</f>
        <v>-15.909940709285955</v>
      </c>
      <c r="AR49" cm="1">
        <f t="array" ref="AR49">RhoP(AR$5,$B$5,$H49,$C$5,0,$D$6)</f>
        <v>-10.025507523116193</v>
      </c>
      <c r="AS49" cm="1">
        <f t="array" ref="AS49">RhoP(AS$5,$B$5,$H49,$C$5,0,$D$6)</f>
        <v>-6.1771701030619957</v>
      </c>
    </row>
    <row r="50" spans="7:45" x14ac:dyDescent="0.2">
      <c r="H50">
        <v>4</v>
      </c>
      <c r="I50" cm="1">
        <f t="array" ref="I50">RhoP(I$5,$B$5,$H50,$C$5,0,$D$5)</f>
        <v>-351.9386236404668</v>
      </c>
      <c r="J50" cm="1">
        <f t="array" ref="J50">RhoP(J$5,$B$5,$H50,$C$5,0,$D$5)</f>
        <v>-338.34919661091254</v>
      </c>
      <c r="K50" cm="1">
        <f t="array" ref="K50">RhoP(K$5,$B$5,$H50,$C$5,0,$D$5)</f>
        <v>-322.56582707604917</v>
      </c>
      <c r="L50" cm="1">
        <f t="array" ref="L50">RhoP(L$5,$B$5,$H50,$C$5,0,$D$5)</f>
        <v>-305.01810319303877</v>
      </c>
      <c r="M50" cm="1">
        <f t="array" ref="M50">RhoP(M$5,$B$5,$H50,$C$5,0,$D$5)</f>
        <v>-286.19442081618189</v>
      </c>
      <c r="N50" cm="1">
        <f t="array" ref="N50">RhoP(N$5,$B$5,$H50,$C$5,0,$D$5)</f>
        <v>-266.59064124116679</v>
      </c>
      <c r="O50" cm="1">
        <f t="array" ref="O50">RhoP(O$5,$B$5,$H50,$C$5,0,$D$5)</f>
        <v>-246.67209312610387</v>
      </c>
      <c r="P50" cm="1">
        <f t="array" ref="P50">RhoP(P$5,$B$5,$H50,$C$5,0,$D$5)</f>
        <v>-226.84912659159514</v>
      </c>
      <c r="Q50" cm="1">
        <f t="array" ref="Q50">RhoP(Q$5,$B$5,$H50,$C$5,0,$D$5)</f>
        <v>-207.46435400648329</v>
      </c>
      <c r="R50" cm="1">
        <f t="array" ref="R50">RhoP(R$5,$B$5,$H50,$C$5,0,$D$5)</f>
        <v>-188.78889319767538</v>
      </c>
      <c r="S50" cm="1">
        <f t="array" ref="S50">RhoP(S$5,$B$5,$H50,$C$5,0,$D$5)</f>
        <v>-171.02488744895857</v>
      </c>
      <c r="T50" cm="1">
        <f t="array" ref="T50">RhoP(T$5,$B$5,$H50,$C$5,0,$D$5)</f>
        <v>-154.31193627647784</v>
      </c>
      <c r="U50" cm="1">
        <f t="array" ref="U50">RhoP(U$5,$B$5,$H50,$C$5,0,$D$5)</f>
        <v>-138.73558039573217</v>
      </c>
      <c r="V50" cm="1">
        <f t="array" ref="V50">RhoP(V$5,$B$5,$H50,$C$5,0,$D$5)</f>
        <v>-124.33649767000058</v>
      </c>
      <c r="W50" cm="1">
        <f t="array" ref="W50">RhoP(W$5,$B$5,$H50,$C$5,0,$D$5)</f>
        <v>-111.11951260614404</v>
      </c>
      <c r="X50" cm="1">
        <f t="array" ref="X50">RhoP(X$5,$B$5,$H50,$C$5,0,$D$5)</f>
        <v>-99.061874914576123</v>
      </c>
      <c r="Y50" cm="1">
        <f t="array" ref="Y50">RhoP(Y$5,$B$5,$H50,$C$5,0,$D$5)</f>
        <v>-88.120523161914477</v>
      </c>
      <c r="AB50">
        <v>4</v>
      </c>
      <c r="AC50" cm="1">
        <f t="array" ref="AC50">RhoP(AC$5,$B$5,$H50,$C$5,0,$D$6)</f>
        <v>-381.60199409351753</v>
      </c>
      <c r="AD50" cm="1">
        <f t="array" ref="AD50">RhoP(AD$5,$B$5,$H50,$C$5,0,$D$6)</f>
        <v>-376.632542383236</v>
      </c>
      <c r="AE50" cm="1">
        <f t="array" ref="AE50">RhoP(AE$5,$B$5,$H50,$C$5,0,$D$6)</f>
        <v>-366.57910800281894</v>
      </c>
      <c r="AF50" cm="1">
        <f t="array" ref="AF50">RhoP(AF$5,$B$5,$H50,$C$5,0,$D$6)</f>
        <v>-349.58079648603314</v>
      </c>
      <c r="AG50" cm="1">
        <f t="array" ref="AG50">RhoP(AG$5,$B$5,$H50,$C$5,0,$D$6)</f>
        <v>-324.79221622975729</v>
      </c>
      <c r="AH50" cm="1">
        <f t="array" ref="AH50">RhoP(AH$5,$B$5,$H50,$C$5,0,$D$6)</f>
        <v>-292.83005382871437</v>
      </c>
      <c r="AI50" cm="1">
        <f t="array" ref="AI50">RhoP(AI$5,$B$5,$H50,$C$5,0,$D$6)</f>
        <v>-255.66162545287617</v>
      </c>
      <c r="AJ50" cm="1">
        <f t="array" ref="AJ50">RhoP(AJ$5,$B$5,$H50,$C$5,0,$D$6)</f>
        <v>-216.04977247507242</v>
      </c>
      <c r="AK50" cm="1">
        <f t="array" ref="AK50">RhoP(AK$5,$B$5,$H50,$C$5,0,$D$6)</f>
        <v>-176.85142165444597</v>
      </c>
      <c r="AL50" cm="1">
        <f t="array" ref="AL50">RhoP(AL$5,$B$5,$H50,$C$5,0,$D$6)</f>
        <v>-140.44498566974727</v>
      </c>
      <c r="AM50" cm="1">
        <f t="array" ref="AM50">RhoP(AM$5,$B$5,$H50,$C$5,0,$D$6)</f>
        <v>-108.42371938523891</v>
      </c>
      <c r="AN50" cm="1">
        <f t="array" ref="AN50">RhoP(AN$5,$B$5,$H50,$C$5,0,$D$6)</f>
        <v>-81.551953305242591</v>
      </c>
      <c r="AO50" cm="1">
        <f t="array" ref="AO50">RhoP(AO$5,$B$5,$H50,$C$5,0,$D$6)</f>
        <v>-59.900537227292027</v>
      </c>
      <c r="AP50" cm="1">
        <f t="array" ref="AP50">RhoP(AP$5,$B$5,$H50,$C$5,0,$D$6)</f>
        <v>-43.061133337451025</v>
      </c>
      <c r="AQ50" cm="1">
        <f t="array" ref="AQ50">RhoP(AQ$5,$B$5,$H50,$C$5,0,$D$6)</f>
        <v>-30.361441765510087</v>
      </c>
      <c r="AR50" cm="1">
        <f t="array" ref="AR50">RhoP(AR$5,$B$5,$H50,$C$5,0,$D$6)</f>
        <v>-21.037948457823834</v>
      </c>
      <c r="AS50" cm="1">
        <f t="array" ref="AS50">RhoP(AS$5,$B$5,$H50,$C$5,0,$D$6)</f>
        <v>-14.352340135387855</v>
      </c>
    </row>
    <row r="51" spans="7:45" x14ac:dyDescent="0.2">
      <c r="H51">
        <v>5</v>
      </c>
      <c r="I51" cm="1">
        <f t="array" ref="I51">RhoP(I$5,$B$5,$H51,$C$5,0,$D$5)</f>
        <v>-425.71656170608435</v>
      </c>
      <c r="J51" cm="1">
        <f t="array" ref="J51">RhoP(J$5,$B$5,$H51,$C$5,0,$D$5)</f>
        <v>-408.47066211875557</v>
      </c>
      <c r="K51" cm="1">
        <f t="array" ref="K51">RhoP(K$5,$B$5,$H51,$C$5,0,$D$5)</f>
        <v>-389.25166110455166</v>
      </c>
      <c r="L51" cm="1">
        <f t="array" ref="L51">RhoP(L$5,$B$5,$H51,$C$5,0,$D$5)</f>
        <v>-368.55361666166669</v>
      </c>
      <c r="M51" cm="1">
        <f t="array" ref="M51">RhoP(M$5,$B$5,$H51,$C$5,0,$D$5)</f>
        <v>-346.87687242801871</v>
      </c>
      <c r="N51" cm="1">
        <f t="array" ref="N51">RhoP(N$5,$B$5,$H51,$C$5,0,$D$5)</f>
        <v>-324.69274685521822</v>
      </c>
      <c r="O51" cm="1">
        <f t="array" ref="O51">RhoP(O$5,$B$5,$H51,$C$5,0,$D$5)</f>
        <v>-302.42120055938079</v>
      </c>
      <c r="P51" cm="1">
        <f t="array" ref="P51">RhoP(P$5,$B$5,$H51,$C$5,0,$D$5)</f>
        <v>-280.4192057514328</v>
      </c>
      <c r="Q51" cm="1">
        <f t="array" ref="Q51">RhoP(Q$5,$B$5,$H51,$C$5,0,$D$5)</f>
        <v>-258.97713521361754</v>
      </c>
      <c r="R51" cm="1">
        <f t="array" ref="R51">RhoP(R$5,$B$5,$H51,$C$5,0,$D$5)</f>
        <v>-238.32066203088488</v>
      </c>
      <c r="S51" cm="1">
        <f t="array" ref="S51">RhoP(S$5,$B$5,$H51,$C$5,0,$D$5)</f>
        <v>-218.61608980880683</v>
      </c>
      <c r="T51" cm="1">
        <f t="array" ref="T51">RhoP(T$5,$B$5,$H51,$C$5,0,$D$5)</f>
        <v>-199.97752423204443</v>
      </c>
      <c r="U51" cm="1">
        <f t="array" ref="U51">RhoP(U$5,$B$5,$H51,$C$5,0,$D$5)</f>
        <v>-182.47475153256764</v>
      </c>
      <c r="V51" cm="1">
        <f t="array" ref="V51">RhoP(V$5,$B$5,$H51,$C$5,0,$D$5)</f>
        <v>-166.14106664413509</v>
      </c>
      <c r="W51" cm="1">
        <f t="array" ref="W51">RhoP(W$5,$B$5,$H51,$C$5,0,$D$5)</f>
        <v>-150.98058483276643</v>
      </c>
      <c r="X51" cm="1">
        <f t="array" ref="X51">RhoP(X$5,$B$5,$H51,$C$5,0,$D$5)</f>
        <v>-136.97478270717238</v>
      </c>
      <c r="Y51" cm="1">
        <f t="array" ref="Y51">RhoP(Y$5,$B$5,$H51,$C$5,0,$D$5)</f>
        <v>-124.0881613164734</v>
      </c>
      <c r="AB51">
        <v>5</v>
      </c>
      <c r="AC51" cm="1">
        <f t="array" ref="AC51">RhoP(AC$5,$B$5,$H51,$C$5,0,$D$6)</f>
        <v>-468.52697276379229</v>
      </c>
      <c r="AD51" cm="1">
        <f t="array" ref="AD51">RhoP(AD$5,$B$5,$H51,$C$5,0,$D$6)</f>
        <v>-459.07104705252272</v>
      </c>
      <c r="AE51" cm="1">
        <f t="array" ref="AE51">RhoP(AE$5,$B$5,$H51,$C$5,0,$D$6)</f>
        <v>-442.79826431888432</v>
      </c>
      <c r="AF51" cm="1">
        <f t="array" ref="AF51">RhoP(AF$5,$B$5,$H51,$C$5,0,$D$6)</f>
        <v>-418.51840910857254</v>
      </c>
      <c r="AG51" cm="1">
        <f t="array" ref="AG51">RhoP(AG$5,$B$5,$H51,$C$5,0,$D$6)</f>
        <v>-386.30610577321522</v>
      </c>
      <c r="AH51" cm="1">
        <f t="array" ref="AH51">RhoP(AH$5,$B$5,$H51,$C$5,0,$D$6)</f>
        <v>-347.54296402903975</v>
      </c>
      <c r="AI51" cm="1">
        <f t="array" ref="AI51">RhoP(AI$5,$B$5,$H51,$C$5,0,$D$6)</f>
        <v>-304.55786504962981</v>
      </c>
      <c r="AJ51" cm="1">
        <f t="array" ref="AJ51">RhoP(AJ$5,$B$5,$H51,$C$5,0,$D$6)</f>
        <v>-260.06737133094066</v>
      </c>
      <c r="AK51" cm="1">
        <f t="array" ref="AK51">RhoP(AK$5,$B$5,$H51,$C$5,0,$D$6)</f>
        <v>-216.63757703673949</v>
      </c>
      <c r="AL51" cm="1">
        <f t="array" ref="AL51">RhoP(AL$5,$B$5,$H51,$C$5,0,$D$6)</f>
        <v>-176.31042837691092</v>
      </c>
      <c r="AM51" cm="1">
        <f t="array" ref="AM51">RhoP(AM$5,$B$5,$H51,$C$5,0,$D$6)</f>
        <v>-140.4364280234748</v>
      </c>
      <c r="AN51" cm="1">
        <f t="array" ref="AN51">RhoP(AN$5,$B$5,$H51,$C$5,0,$D$6)</f>
        <v>-109.68174400128406</v>
      </c>
      <c r="AO51" cm="1">
        <f t="array" ref="AO51">RhoP(AO$5,$B$5,$H51,$C$5,0,$D$6)</f>
        <v>-84.145321734060673</v>
      </c>
      <c r="AP51" cm="1">
        <f t="array" ref="AP51">RhoP(AP$5,$B$5,$H51,$C$5,0,$D$6)</f>
        <v>-63.521830954418718</v>
      </c>
      <c r="AQ51" cm="1">
        <f t="array" ref="AQ51">RhoP(AQ$5,$B$5,$H51,$C$5,0,$D$6)</f>
        <v>-47.263294150338993</v>
      </c>
      <c r="AR51" cm="1">
        <f t="array" ref="AR51">RhoP(AR$5,$B$5,$H51,$C$5,0,$D$6)</f>
        <v>-34.71291167976382</v>
      </c>
      <c r="AS51" cm="1">
        <f t="array" ref="AS51">RhoP(AS$5,$B$5,$H51,$C$5,0,$D$6)</f>
        <v>-25.201588710677392</v>
      </c>
    </row>
    <row r="55" spans="7:45" ht="31" x14ac:dyDescent="0.35">
      <c r="P55" s="3" t="s">
        <v>42</v>
      </c>
      <c r="AK55" s="3" t="s">
        <v>111</v>
      </c>
    </row>
    <row r="57" spans="7:45" x14ac:dyDescent="0.2">
      <c r="I57">
        <v>60</v>
      </c>
      <c r="J57">
        <v>65</v>
      </c>
      <c r="K57">
        <v>70</v>
      </c>
      <c r="L57">
        <v>75</v>
      </c>
      <c r="M57">
        <v>80</v>
      </c>
      <c r="N57">
        <v>85</v>
      </c>
      <c r="O57">
        <v>90</v>
      </c>
      <c r="P57">
        <v>95</v>
      </c>
      <c r="Q57">
        <v>100</v>
      </c>
      <c r="R57">
        <v>105</v>
      </c>
      <c r="S57">
        <v>110</v>
      </c>
      <c r="T57">
        <v>115</v>
      </c>
      <c r="U57">
        <v>120</v>
      </c>
      <c r="V57">
        <v>125</v>
      </c>
      <c r="W57">
        <v>130</v>
      </c>
      <c r="X57">
        <v>135</v>
      </c>
      <c r="Y57">
        <v>140</v>
      </c>
    </row>
    <row r="58" spans="7:45" x14ac:dyDescent="0.2">
      <c r="H58">
        <v>0.1</v>
      </c>
      <c r="I58" cm="1">
        <f t="array" ref="I58">DeltaP(I$5,$B$5,$H58,$C$5,0,$D$7)</f>
        <v>-0.99999994996583763</v>
      </c>
      <c r="J58" cm="1">
        <f t="array" ref="J58">DeltaP(J$5,$B$5,$H58,$C$5,0,$D$7)</f>
        <v>-0.99999631780591081</v>
      </c>
      <c r="K58" cm="1">
        <f t="array" ref="K58">DeltaP(K$5,$B$5,$H58,$C$5,0,$D$7)</f>
        <v>-0.99989292389718487</v>
      </c>
      <c r="L58" cm="1">
        <f t="array" ref="L58">DeltaP(L$5,$B$5,$H58,$C$5,0,$D$7)</f>
        <v>-0.99853247742148155</v>
      </c>
      <c r="M58" cm="1">
        <f t="array" ref="M58">DeltaP(M$5,$B$5,$H58,$C$5,0,$D$7)</f>
        <v>-0.98910947326415422</v>
      </c>
      <c r="N58" cm="1">
        <f t="array" ref="N58">DeltaP(N$5,$B$5,$H58,$C$5,0,$D$7)</f>
        <v>-0.95105041176998162</v>
      </c>
      <c r="O58" cm="1">
        <f t="array" ref="O58">DeltaP(O$5,$B$5,$H58,$C$5,0,$D$7)</f>
        <v>-0.85374292440200006</v>
      </c>
      <c r="P58" cm="1">
        <f t="array" ref="P58">DeltaP(P$5,$B$5,$H58,$C$5,0,$D$7)</f>
        <v>-0.68534693429781512</v>
      </c>
      <c r="Q58" cm="1">
        <f t="array" ref="Q58">DeltaP(Q$5,$B$5,$H58,$C$5,0,$D$7)</f>
        <v>-0.47688423504863658</v>
      </c>
      <c r="R58" cm="1">
        <f t="array" ref="R58">DeltaP(R$5,$B$5,$H58,$C$5,0,$D$7)</f>
        <v>-0.28357001703173507</v>
      </c>
      <c r="S58" cm="1">
        <f t="array" ref="S58">DeltaP(S$5,$B$5,$H58,$C$5,0,$D$7)</f>
        <v>-0.14397429893497091</v>
      </c>
      <c r="T58" cm="1">
        <f t="array" ref="T58">DeltaP(T$5,$B$5,$H58,$C$5,0,$D$7)</f>
        <v>-6.2860563865533375E-2</v>
      </c>
      <c r="U58" cm="1">
        <f t="array" ref="U58">DeltaP(U$5,$B$5,$H58,$C$5,0,$D$7)</f>
        <v>-2.3862270071094135E-2</v>
      </c>
      <c r="V58" cm="1">
        <f t="array" ref="V58">DeltaP(V$5,$B$5,$H58,$C$5,0,$D$7)</f>
        <v>-7.973754125802578E-3</v>
      </c>
      <c r="W58" cm="1">
        <f t="array" ref="W58">DeltaP(W$5,$B$5,$H58,$C$5,0,$D$7)</f>
        <v>-2.3748452032596565E-3</v>
      </c>
      <c r="X58" cm="1">
        <f t="array" ref="X58">DeltaP(X$5,$B$5,$H58,$C$5,0,$D$7)</f>
        <v>-6.3792946107257928E-4</v>
      </c>
      <c r="Y58" cm="1">
        <f t="array" ref="Y58">DeltaP(Y$5,$B$5,$H58,$C$5,0,$D$7)</f>
        <v>-1.5625452050429999E-4</v>
      </c>
    </row>
    <row r="59" spans="7:45" x14ac:dyDescent="0.2">
      <c r="H59">
        <v>0.2</v>
      </c>
      <c r="I59" cm="1">
        <f t="array" ref="I59">DeltaP(I$5,$B$5,$H59,$C$5,0,$D$7)</f>
        <v>-0.99990252813746106</v>
      </c>
      <c r="J59" cm="1">
        <f t="array" ref="J59">DeltaP(J$5,$B$5,$H59,$C$5,0,$D$7)</f>
        <v>-0.99912262163087784</v>
      </c>
      <c r="K59" cm="1">
        <f t="array" ref="K59">DeltaP(K$5,$B$5,$H59,$C$5,0,$D$7)</f>
        <v>-0.99500981832634638</v>
      </c>
      <c r="L59" cm="1">
        <f t="array" ref="L59">DeltaP(L$5,$B$5,$H59,$C$5,0,$D$7)</f>
        <v>-0.98040881029842508</v>
      </c>
      <c r="M59" cm="1">
        <f t="array" ref="M59">DeltaP(M$5,$B$5,$H59,$C$5,0,$D$7)</f>
        <v>-0.94308666201370861</v>
      </c>
      <c r="N59" cm="1">
        <f t="array" ref="N59">DeltaP(N$5,$B$5,$H59,$C$5,0,$D$7)</f>
        <v>-0.87062603477158196</v>
      </c>
      <c r="O59" cm="1">
        <f t="array" ref="O59">DeltaP(O$5,$B$5,$H59,$C$5,0,$D$7)</f>
        <v>-0.75907237290923424</v>
      </c>
      <c r="P59" cm="1">
        <f t="array" ref="P59">DeltaP(P$5,$B$5,$H59,$C$5,0,$D$7)</f>
        <v>-0.6180366959210446</v>
      </c>
      <c r="Q59" cm="1">
        <f t="array" ref="Q59">DeltaP(Q$5,$B$5,$H59,$C$5,0,$D$7)</f>
        <v>-0.46732766707817819</v>
      </c>
      <c r="R59" cm="1">
        <f t="array" ref="R59">DeltaP(R$5,$B$5,$H59,$C$5,0,$D$7)</f>
        <v>-0.32792519835401701</v>
      </c>
      <c r="S59" cm="1">
        <f t="array" ref="S59">DeltaP(S$5,$B$5,$H59,$C$5,0,$D$7)</f>
        <v>-0.21406685945973944</v>
      </c>
      <c r="T59" cm="1">
        <f t="array" ref="T59">DeltaP(T$5,$B$5,$H59,$C$5,0,$D$7)</f>
        <v>-0.13056736333207183</v>
      </c>
      <c r="U59" cm="1">
        <f t="array" ref="U59">DeltaP(U$5,$B$5,$H59,$C$5,0,$D$7)</f>
        <v>-7.4801691829901332E-2</v>
      </c>
      <c r="V59" cm="1">
        <f t="array" ref="V59">DeltaP(V$5,$B$5,$H59,$C$5,0,$D$7)</f>
        <v>-4.0474770416252644E-2</v>
      </c>
      <c r="W59" cm="1">
        <f t="array" ref="W59">DeltaP(W$5,$B$5,$H59,$C$5,0,$D$7)</f>
        <v>-2.079813269788873E-2</v>
      </c>
      <c r="X59" cm="1">
        <f t="array" ref="X59">DeltaP(X$5,$B$5,$H59,$C$5,0,$D$7)</f>
        <v>-1.0201945596281497E-2</v>
      </c>
      <c r="Y59" cm="1">
        <f t="array" ref="Y59">DeltaP(Y$5,$B$5,$H59,$C$5,0,$D$7)</f>
        <v>-4.8001191425865132E-3</v>
      </c>
    </row>
    <row r="60" spans="7:45" x14ac:dyDescent="0.2">
      <c r="H60">
        <v>0.3</v>
      </c>
      <c r="I60" cm="1">
        <f t="array" ref="I60">DeltaP(I$5,$B$5,$H60,$C$5,0,$D$7)</f>
        <v>-0.99868673402053365</v>
      </c>
      <c r="J60" cm="1">
        <f t="array" ref="J60">DeltaP(J$5,$B$5,$H60,$C$5,0,$D$7)</f>
        <v>-0.99415298895596782</v>
      </c>
      <c r="K60" cm="1">
        <f t="array" ref="K60">DeltaP(K$5,$B$5,$H60,$C$5,0,$D$7)</f>
        <v>-0.98078500536712698</v>
      </c>
      <c r="L60" cm="1">
        <f t="array" ref="L60">DeltaP(L$5,$B$5,$H60,$C$5,0,$D$7)</f>
        <v>-0.95056549342913066</v>
      </c>
      <c r="M60" cm="1">
        <f t="array" ref="M60">DeltaP(M$5,$B$5,$H60,$C$5,0,$D$7)</f>
        <v>-0.89573043536076724</v>
      </c>
      <c r="N60" cm="1">
        <f t="array" ref="N60">DeltaP(N$5,$B$5,$H60,$C$5,0,$D$7)</f>
        <v>-0.8129024877886265</v>
      </c>
      <c r="O60" cm="1">
        <f t="array" ref="O60">DeltaP(O$5,$B$5,$H60,$C$5,0,$D$7)</f>
        <v>-0.70567310001943828</v>
      </c>
      <c r="P60" cm="1">
        <f t="array" ref="P60">DeltaP(P$5,$B$5,$H60,$C$5,0,$D$7)</f>
        <v>-0.58384710662090655</v>
      </c>
      <c r="Q60" cm="1">
        <f t="array" ref="Q60">DeltaP(Q$5,$B$5,$H60,$C$5,0,$D$7)</f>
        <v>-0.46000711241294456</v>
      </c>
      <c r="R60" cm="1">
        <f t="array" ref="R60">DeltaP(R$5,$B$5,$H60,$C$5,0,$D$7)</f>
        <v>-0.34555716588791241</v>
      </c>
      <c r="S60" cm="1">
        <f t="array" ref="S60">DeltaP(S$5,$B$5,$H60,$C$5,0,$D$7)</f>
        <v>-0.24810817610949049</v>
      </c>
      <c r="T60" cm="1">
        <f t="array" ref="T60">DeltaP(T$5,$B$5,$H60,$C$5,0,$D$7)</f>
        <v>-0.17080729051251256</v>
      </c>
      <c r="U60" cm="1">
        <f t="array" ref="U60">DeltaP(U$5,$B$5,$H60,$C$5,0,$D$7)</f>
        <v>-0.11314146829123642</v>
      </c>
      <c r="V60" cm="1">
        <f t="array" ref="V60">DeltaP(V$5,$B$5,$H60,$C$5,0,$D$7)</f>
        <v>-7.236182589639506E-2</v>
      </c>
      <c r="W60" cm="1">
        <f t="array" ref="W60">DeltaP(W$5,$B$5,$H60,$C$5,0,$D$7)</f>
        <v>-4.4837567406159351E-2</v>
      </c>
      <c r="X60" cm="1">
        <f t="array" ref="X60">DeltaP(X$5,$B$5,$H60,$C$5,0,$D$7)</f>
        <v>-2.7002641924538117E-2</v>
      </c>
      <c r="Y60" cm="1">
        <f t="array" ref="Y60">DeltaP(Y$5,$B$5,$H60,$C$5,0,$D$7)</f>
        <v>-1.5852087113857011E-2</v>
      </c>
    </row>
    <row r="61" spans="7:45" x14ac:dyDescent="0.2">
      <c r="G61" t="s">
        <v>50</v>
      </c>
      <c r="H61">
        <v>0.4</v>
      </c>
      <c r="I61" cm="1">
        <f t="array" ref="I61">DeltaP(I$5,$B$5,$H61,$C$5,0,$D$7)</f>
        <v>-0.99500733996609969</v>
      </c>
      <c r="J61" cm="1">
        <f t="array" ref="J61">DeltaP(J$5,$B$5,$H61,$C$5,0,$D$7)</f>
        <v>-0.98439853521310394</v>
      </c>
      <c r="K61" cm="1">
        <f t="array" ref="K61">DeltaP(K$5,$B$5,$H61,$C$5,0,$D$7)</f>
        <v>-0.96112490376939341</v>
      </c>
      <c r="L61" cm="1">
        <f t="array" ref="L61">DeltaP(L$5,$B$5,$H61,$C$5,0,$D$7)</f>
        <v>-0.91928338097899298</v>
      </c>
      <c r="M61" cm="1">
        <f t="array" ref="M61">DeltaP(M$5,$B$5,$H61,$C$5,0,$D$7)</f>
        <v>-0.85545490352774345</v>
      </c>
      <c r="N61" cm="1">
        <f t="array" ref="N61">DeltaP(N$5,$B$5,$H61,$C$5,0,$D$7)</f>
        <v>-0.77053193108328744</v>
      </c>
      <c r="O61" cm="1">
        <f t="array" ref="O61">DeltaP(O$5,$B$5,$H61,$C$5,0,$D$7)</f>
        <v>-0.66979547949050677</v>
      </c>
      <c r="P61" cm="1">
        <f t="array" ref="P61">DeltaP(P$5,$B$5,$H61,$C$5,0,$D$7)</f>
        <v>-0.56134857249801873</v>
      </c>
      <c r="Q61" cm="1">
        <f t="array" ref="Q61">DeltaP(Q$5,$B$5,$H61,$C$5,0,$D$7)</f>
        <v>-0.45384601264142227</v>
      </c>
      <c r="R61" cm="1">
        <f t="array" ref="R61">DeltaP(R$5,$B$5,$H61,$C$5,0,$D$7)</f>
        <v>-0.35453815378573783</v>
      </c>
      <c r="S61" cm="1">
        <f t="array" ref="S61">DeltaP(S$5,$B$5,$H61,$C$5,0,$D$7)</f>
        <v>-0.2681957426118291</v>
      </c>
      <c r="T61" cm="1">
        <f t="array" ref="T61">DeltaP(T$5,$B$5,$H61,$C$5,0,$D$7)</f>
        <v>-0.19695159463482961</v>
      </c>
      <c r="U61" cm="1">
        <f t="array" ref="U61">DeltaP(U$5,$B$5,$H61,$C$5,0,$D$7)</f>
        <v>-0.14076936184194064</v>
      </c>
      <c r="V61" cm="1">
        <f t="array" ref="V61">DeltaP(V$5,$B$5,$H61,$C$5,0,$D$7)</f>
        <v>-9.8175116216428202E-2</v>
      </c>
      <c r="W61" cm="1">
        <f t="array" ref="W61">DeltaP(W$5,$B$5,$H61,$C$5,0,$D$7)</f>
        <v>-6.6971680787246357E-2</v>
      </c>
      <c r="X61" cm="1">
        <f t="array" ref="X61">DeltaP(X$5,$B$5,$H61,$C$5,0,$D$7)</f>
        <v>-4.4787839514464488E-2</v>
      </c>
      <c r="Y61" cm="1">
        <f t="array" ref="Y61">DeltaP(Y$5,$B$5,$H61,$C$5,0,$D$7)</f>
        <v>-2.9424844782154347E-2</v>
      </c>
    </row>
    <row r="62" spans="7:45" x14ac:dyDescent="0.2">
      <c r="H62">
        <v>0.5</v>
      </c>
      <c r="I62" cm="1">
        <f t="array" ref="I62">DeltaP(I$5,$B$5,$H62,$C$5,0,$D$7)</f>
        <v>-0.98864918253526834</v>
      </c>
      <c r="J62" cm="1">
        <f t="array" ref="J62">DeltaP(J$5,$B$5,$H62,$C$5,0,$D$7)</f>
        <v>-0.97135514264148681</v>
      </c>
      <c r="K62" cm="1">
        <f t="array" ref="K62">DeltaP(K$5,$B$5,$H62,$C$5,0,$D$7)</f>
        <v>-0.93963844251047635</v>
      </c>
      <c r="L62" cm="1">
        <f t="array" ref="L62">DeltaP(L$5,$B$5,$H62,$C$5,0,$D$7)</f>
        <v>-0.88999660249603174</v>
      </c>
      <c r="M62" cm="1">
        <f t="array" ref="M62">DeltaP(M$5,$B$5,$H62,$C$5,0,$D$7)</f>
        <v>-0.82180678459839196</v>
      </c>
      <c r="N62" cm="1">
        <f t="array" ref="N62">DeltaP(N$5,$B$5,$H62,$C$5,0,$D$7)</f>
        <v>-0.73776993263156676</v>
      </c>
      <c r="O62" cm="1">
        <f t="array" ref="O62">DeltaP(O$5,$B$5,$H62,$C$5,0,$D$7)</f>
        <v>-0.64320465993398146</v>
      </c>
      <c r="P62" cm="1">
        <f t="array" ref="P62">DeltaP(P$5,$B$5,$H62,$C$5,0,$D$7)</f>
        <v>-0.54465278448532417</v>
      </c>
      <c r="Q62" cm="1">
        <f t="array" ref="Q62">DeltaP(Q$5,$B$5,$H62,$C$5,0,$D$7)</f>
        <v>-0.44842711362451876</v>
      </c>
      <c r="R62" cm="1">
        <f t="array" ref="R62">DeltaP(R$5,$B$5,$H62,$C$5,0,$D$7)</f>
        <v>-0.35955994735600633</v>
      </c>
      <c r="S62" cm="1">
        <f t="array" ref="S62">DeltaP(S$5,$B$5,$H62,$C$5,0,$D$7)</f>
        <v>-0.28131727903685144</v>
      </c>
      <c r="T62" cm="1">
        <f t="array" ref="T62">DeltaP(T$5,$B$5,$H62,$C$5,0,$D$7)</f>
        <v>-0.21520789168988555</v>
      </c>
      <c r="U62" cm="1">
        <f t="array" ref="U62">DeltaP(U$5,$B$5,$H62,$C$5,0,$D$7)</f>
        <v>-0.16130507751855228</v>
      </c>
      <c r="V62" cm="1">
        <f t="array" ref="V62">DeltaP(V$5,$B$5,$H62,$C$5,0,$D$7)</f>
        <v>-0.11869313761017732</v>
      </c>
      <c r="W62" cm="1">
        <f t="array" ref="W62">DeltaP(W$5,$B$5,$H62,$C$5,0,$D$7)</f>
        <v>-8.5901509738383189E-2</v>
      </c>
      <c r="X62" cm="1">
        <f t="array" ref="X62">DeltaP(X$5,$B$5,$H62,$C$5,0,$D$7)</f>
        <v>-6.125264742347012E-2</v>
      </c>
      <c r="Y62" cm="1">
        <f t="array" ref="Y62">DeltaP(Y$5,$B$5,$H62,$C$5,0,$D$7)</f>
        <v>-4.3101013576704005E-2</v>
      </c>
    </row>
    <row r="63" spans="7:45" x14ac:dyDescent="0.2">
      <c r="H63">
        <v>0.6</v>
      </c>
      <c r="I63" cm="1">
        <f t="array" ref="I63">DeltaP(I$5,$B$5,$H63,$C$5,0,$D$7)</f>
        <v>-0.9801200211979566</v>
      </c>
      <c r="J63" cm="1">
        <f t="array" ref="J63">DeltaP(J$5,$B$5,$H63,$C$5,0,$D$7)</f>
        <v>-0.95653186252639477</v>
      </c>
      <c r="K63" cm="1">
        <f t="array" ref="K63">DeltaP(K$5,$B$5,$H63,$C$5,0,$D$7)</f>
        <v>-0.91817123136383305</v>
      </c>
      <c r="L63" cm="1">
        <f t="array" ref="L63">DeltaP(L$5,$B$5,$H63,$C$5,0,$D$7)</f>
        <v>-0.86345561048023256</v>
      </c>
      <c r="M63" cm="1">
        <f t="array" ref="M63">DeltaP(M$5,$B$5,$H63,$C$5,0,$D$7)</f>
        <v>-0.79339207963546399</v>
      </c>
      <c r="N63" cm="1">
        <f t="array" ref="N63">DeltaP(N$5,$B$5,$H63,$C$5,0,$D$7)</f>
        <v>-0.71135950475813281</v>
      </c>
      <c r="O63" cm="1">
        <f t="array" ref="O63">DeltaP(O$5,$B$5,$H63,$C$5,0,$D$7)</f>
        <v>-0.62224795286560064</v>
      </c>
      <c r="P63" cm="1">
        <f t="array" ref="P63">DeltaP(P$5,$B$5,$H63,$C$5,0,$D$7)</f>
        <v>-0.53137304929510343</v>
      </c>
      <c r="Q63" cm="1">
        <f t="array" ref="Q63">DeltaP(Q$5,$B$5,$H63,$C$5,0,$D$7)</f>
        <v>-0.44353629460817168</v>
      </c>
      <c r="R63" cm="1">
        <f t="array" ref="R63">DeltaP(R$5,$B$5,$H63,$C$5,0,$D$7)</f>
        <v>-0.3624308207054423</v>
      </c>
      <c r="S63" cm="1">
        <f t="array" ref="S63">DeltaP(S$5,$B$5,$H63,$C$5,0,$D$7)</f>
        <v>-0.29041967693435344</v>
      </c>
      <c r="T63" cm="1">
        <f t="array" ref="T63">DeltaP(T$5,$B$5,$H63,$C$5,0,$D$7)</f>
        <v>-0.22860493515588862</v>
      </c>
      <c r="U63" cm="1">
        <f t="array" ref="U63">DeltaP(U$5,$B$5,$H63,$C$5,0,$D$7)</f>
        <v>-0.17706804981193719</v>
      </c>
      <c r="V63" cm="1">
        <f t="array" ref="V63">DeltaP(V$5,$B$5,$H63,$C$5,0,$D$7)</f>
        <v>-0.13517294858026185</v>
      </c>
      <c r="W63" cm="1">
        <f t="array" ref="W63">DeltaP(W$5,$B$5,$H63,$C$5,0,$D$7)</f>
        <v>-0.10185624547043501</v>
      </c>
      <c r="X63" cm="1">
        <f t="array" ref="X63">DeltaP(X$5,$B$5,$H63,$C$5,0,$D$7)</f>
        <v>-7.5864077548471465E-2</v>
      </c>
      <c r="Y63" cm="1">
        <f t="array" ref="Y63">DeltaP(Y$5,$B$5,$H63,$C$5,0,$D$7)</f>
        <v>-5.5922434399909807E-2</v>
      </c>
    </row>
    <row r="64" spans="7:45" x14ac:dyDescent="0.2">
      <c r="H64">
        <v>0.7</v>
      </c>
      <c r="I64" cm="1">
        <f t="array" ref="I64">DeltaP(I$5,$B$5,$H64,$C$5,0,$D$7)</f>
        <v>-0.97006775523526267</v>
      </c>
      <c r="J64" cm="1">
        <f t="array" ref="J64">DeltaP(J$5,$B$5,$H64,$C$5,0,$D$7)</f>
        <v>-0.94096106457413042</v>
      </c>
      <c r="K64" cm="1">
        <f t="array" ref="K64">DeltaP(K$5,$B$5,$H64,$C$5,0,$D$7)</f>
        <v>-0.8975366081156535</v>
      </c>
      <c r="L64" cm="1">
        <f t="array" ref="L64">DeltaP(L$5,$B$5,$H64,$C$5,0,$D$7)</f>
        <v>-0.83958778898814013</v>
      </c>
      <c r="M64" cm="1">
        <f t="array" ref="M64">DeltaP(M$5,$B$5,$H64,$C$5,0,$D$7)</f>
        <v>-0.76902433777372758</v>
      </c>
      <c r="N64" cm="1">
        <f t="array" ref="N64">DeltaP(N$5,$B$5,$H64,$C$5,0,$D$7)</f>
        <v>-0.68938336584831517</v>
      </c>
      <c r="O64" cm="1">
        <f t="array" ref="O64">DeltaP(O$5,$B$5,$H64,$C$5,0,$D$7)</f>
        <v>-0.60502620477444458</v>
      </c>
      <c r="P64" cm="1">
        <f t="array" ref="P64">DeltaP(P$5,$B$5,$H64,$C$5,0,$D$7)</f>
        <v>-0.5203251694133888</v>
      </c>
      <c r="Q64" cm="1">
        <f t="array" ref="Q64">DeltaP(Q$5,$B$5,$H64,$C$5,0,$D$7)</f>
        <v>-0.43904628326616696</v>
      </c>
      <c r="R64" cm="1">
        <f t="array" ref="R64">DeltaP(R$5,$B$5,$H64,$C$5,0,$D$7)</f>
        <v>-0.36400558258912941</v>
      </c>
      <c r="S64" cm="1">
        <f t="array" ref="S64">DeltaP(S$5,$B$5,$H64,$C$5,0,$D$7)</f>
        <v>-0.29697784742910749</v>
      </c>
      <c r="T64" cm="1">
        <f t="array" ref="T64">DeltaP(T$5,$B$5,$H64,$C$5,0,$D$7)</f>
        <v>-0.23878616098400876</v>
      </c>
      <c r="U64" cm="1">
        <f t="array" ref="U64">DeltaP(U$5,$B$5,$H64,$C$5,0,$D$7)</f>
        <v>-0.18949083797813834</v>
      </c>
      <c r="V64" cm="1">
        <f t="array" ref="V64">DeltaP(V$5,$B$5,$H64,$C$5,0,$D$7)</f>
        <v>-0.14861015340398065</v>
      </c>
      <c r="W64" cm="1">
        <f t="array" ref="W64">DeltaP(W$5,$B$5,$H64,$C$5,0,$D$7)</f>
        <v>-0.11532777010280061</v>
      </c>
      <c r="X64" cm="1">
        <f t="array" ref="X64">DeltaP(X$5,$B$5,$H64,$C$5,0,$D$7)</f>
        <v>-8.8663185428034627E-2</v>
      </c>
      <c r="Y64" cm="1">
        <f t="array" ref="Y64">DeltaP(Y$5,$B$5,$H64,$C$5,0,$D$7)</f>
        <v>-6.7597592081242677E-2</v>
      </c>
    </row>
    <row r="65" spans="7:25" x14ac:dyDescent="0.2">
      <c r="H65">
        <v>0.8</v>
      </c>
      <c r="I65" cm="1">
        <f t="array" ref="I65">DeltaP(I$5,$B$5,$H65,$C$5,0,$D$7)</f>
        <v>-0.95904909766423552</v>
      </c>
      <c r="J65" cm="1">
        <f t="array" ref="J65">DeltaP(J$5,$B$5,$H65,$C$5,0,$D$7)</f>
        <v>-0.92527188397817484</v>
      </c>
      <c r="K65" cm="1">
        <f t="array" ref="K65">DeltaP(K$5,$B$5,$H65,$C$5,0,$D$7)</f>
        <v>-0.87804528554403938</v>
      </c>
      <c r="L65" cm="1">
        <f t="array" ref="L65">DeltaP(L$5,$B$5,$H65,$C$5,0,$D$7)</f>
        <v>-0.81810037029895166</v>
      </c>
      <c r="M65" cm="1">
        <f t="array" ref="M65">DeltaP(M$5,$B$5,$H65,$C$5,0,$D$7)</f>
        <v>-0.7478146507670137</v>
      </c>
      <c r="N65" cm="1">
        <f t="array" ref="N65">DeltaP(N$5,$B$5,$H65,$C$5,0,$D$7)</f>
        <v>-0.67064466370442455</v>
      </c>
      <c r="O65" cm="1">
        <f t="array" ref="O65">DeltaP(O$5,$B$5,$H65,$C$5,0,$D$7)</f>
        <v>-0.59044006826425854</v>
      </c>
      <c r="P65" cm="1">
        <f t="array" ref="P65">DeltaP(P$5,$B$5,$H65,$C$5,0,$D$7)</f>
        <v>-0.51084211699665127</v>
      </c>
      <c r="Q65" cm="1">
        <f t="array" ref="Q65">DeltaP(Q$5,$B$5,$H65,$C$5,0,$D$7)</f>
        <v>-0.43487410610469357</v>
      </c>
      <c r="R65" cm="1">
        <f t="array" ref="R65">DeltaP(R$5,$B$5,$H65,$C$5,0,$D$7)</f>
        <v>-0.36474330915224373</v>
      </c>
      <c r="S65" cm="1">
        <f t="array" ref="S65">DeltaP(S$5,$B$5,$H65,$C$5,0,$D$7)</f>
        <v>-0.30181817478322093</v>
      </c>
      <c r="T65" cm="1">
        <f t="array" ref="T65">DeltaP(T$5,$B$5,$H65,$C$5,0,$D$7)</f>
        <v>-0.24672234308969565</v>
      </c>
      <c r="U65" cm="1">
        <f t="array" ref="U65">DeltaP(U$5,$B$5,$H65,$C$5,0,$D$7)</f>
        <v>-0.1994882294055029</v>
      </c>
      <c r="V65" cm="1">
        <f t="array" ref="V65">DeltaP(V$5,$B$5,$H65,$C$5,0,$D$7)</f>
        <v>-0.1597258560391574</v>
      </c>
      <c r="W65" cm="1">
        <f t="array" ref="W65">DeltaP(W$5,$B$5,$H65,$C$5,0,$D$7)</f>
        <v>-0.12677851771428286</v>
      </c>
      <c r="X65" cm="1">
        <f t="array" ref="X65">DeltaP(X$5,$B$5,$H65,$C$5,0,$D$7)</f>
        <v>-9.985081393531034E-2</v>
      </c>
      <c r="Y65" cm="1">
        <f t="array" ref="Y65">DeltaP(Y$5,$B$5,$H65,$C$5,0,$D$7)</f>
        <v>-7.8104680465358817E-2</v>
      </c>
    </row>
    <row r="66" spans="7:25" x14ac:dyDescent="0.2">
      <c r="H66">
        <v>0.9</v>
      </c>
      <c r="I66" cm="1">
        <f t="array" ref="I66">DeltaP(I$5,$B$5,$H66,$C$5,0,$D$7)</f>
        <v>-0.94748399738581035</v>
      </c>
      <c r="J66" cm="1">
        <f t="array" ref="J66">DeltaP(J$5,$B$5,$H66,$C$5,0,$D$7)</f>
        <v>-0.90982718659992456</v>
      </c>
      <c r="K66" cm="1">
        <f t="array" ref="K66">DeltaP(K$5,$B$5,$H66,$C$5,0,$D$7)</f>
        <v>-0.85977360332933828</v>
      </c>
      <c r="L66" cm="1">
        <f t="array" ref="L66">DeltaP(L$5,$B$5,$H66,$C$5,0,$D$7)</f>
        <v>-0.79867181429170175</v>
      </c>
      <c r="M66" cm="1">
        <f t="array" ref="M66">DeltaP(M$5,$B$5,$H66,$C$5,0,$D$7)</f>
        <v>-0.72910925383215464</v>
      </c>
      <c r="N66" cm="1">
        <f t="array" ref="N66">DeltaP(N$5,$B$5,$H66,$C$5,0,$D$7)</f>
        <v>-0.65435610431318025</v>
      </c>
      <c r="O66" cm="1">
        <f t="array" ref="O66">DeltaP(O$5,$B$5,$H66,$C$5,0,$D$7)</f>
        <v>-0.57780208416455869</v>
      </c>
      <c r="P66" cm="1">
        <f t="array" ref="P66">DeltaP(P$5,$B$5,$H66,$C$5,0,$D$7)</f>
        <v>-0.50251371636138731</v>
      </c>
      <c r="Q66" cm="1">
        <f t="array" ref="Q66">DeltaP(Q$5,$B$5,$H66,$C$5,0,$D$7)</f>
        <v>-0.43096209583856271</v>
      </c>
      <c r="R66" cm="1">
        <f t="array" ref="R66">DeltaP(R$5,$B$5,$H66,$C$5,0,$D$7)</f>
        <v>-0.36491321269559851</v>
      </c>
      <c r="S66" cm="1">
        <f t="array" ref="S66">DeltaP(S$5,$B$5,$H66,$C$5,0,$D$7)</f>
        <v>-0.30544231654306619</v>
      </c>
      <c r="T66" cm="1">
        <f t="array" ref="T66">DeltaP(T$5,$B$5,$H66,$C$5,0,$D$7)</f>
        <v>-0.25302566857316067</v>
      </c>
      <c r="U66" cm="1">
        <f t="array" ref="U66">DeltaP(U$5,$B$5,$H66,$C$5,0,$D$7)</f>
        <v>-0.20766842830901577</v>
      </c>
      <c r="V66" cm="1">
        <f t="array" ref="V66">DeltaP(V$5,$B$5,$H66,$C$5,0,$D$7)</f>
        <v>-0.16903849174838328</v>
      </c>
      <c r="W66" cm="1">
        <f t="array" ref="W66">DeltaP(W$5,$B$5,$H66,$C$5,0,$D$7)</f>
        <v>-0.13658767823312518</v>
      </c>
      <c r="X66" cm="1">
        <f t="array" ref="X66">DeltaP(X$5,$B$5,$H66,$C$5,0,$D$7)</f>
        <v>-0.1096511770370598</v>
      </c>
      <c r="Y66" cm="1">
        <f t="array" ref="Y66">DeltaP(Y$5,$B$5,$H66,$C$5,0,$D$7)</f>
        <v>-8.7522828477867284E-2</v>
      </c>
    </row>
    <row r="67" spans="7:25" x14ac:dyDescent="0.2">
      <c r="H67">
        <v>1</v>
      </c>
      <c r="I67" cm="1">
        <f t="array" ref="I67">DeltaP(I$5,$B$5,$H67,$C$5,0,$D$7)</f>
        <v>-0.93567143682162501</v>
      </c>
      <c r="J67" cm="1">
        <f t="array" ref="J67">DeltaP(J$5,$B$5,$H67,$C$5,0,$D$7)</f>
        <v>-0.89482611219229768</v>
      </c>
      <c r="K67" cm="1">
        <f t="array" ref="K67">DeltaP(K$5,$B$5,$H67,$C$5,0,$D$7)</f>
        <v>-0.84269193278455312</v>
      </c>
      <c r="L67" cm="1">
        <f t="array" ref="L67">DeltaP(L$5,$B$5,$H67,$C$5,0,$D$7)</f>
        <v>-0.78100943988166782</v>
      </c>
      <c r="M67" cm="1">
        <f t="array" ref="M67">DeltaP(M$5,$B$5,$H67,$C$5,0,$D$7)</f>
        <v>-0.71242345118592665</v>
      </c>
      <c r="N67" cm="1">
        <f t="array" ref="N67">DeltaP(N$5,$B$5,$H67,$C$5,0,$D$7)</f>
        <v>-0.63997666916532903</v>
      </c>
      <c r="O67" cm="1">
        <f t="array" ref="O67">DeltaP(O$5,$B$5,$H67,$C$5,0,$D$7)</f>
        <v>-0.56665658907905203</v>
      </c>
      <c r="P67" cm="1">
        <f t="array" ref="P67">DeltaP(P$5,$B$5,$H67,$C$5,0,$D$7)</f>
        <v>-0.49507092011561632</v>
      </c>
      <c r="Q67" cm="1">
        <f t="array" ref="Q67">DeltaP(Q$5,$B$5,$H67,$C$5,0,$D$7)</f>
        <v>-0.42726824069695946</v>
      </c>
      <c r="R67" cm="1">
        <f t="array" ref="R67">DeltaP(R$5,$B$5,$H67,$C$5,0,$D$7)</f>
        <v>-0.36468367724410999</v>
      </c>
      <c r="S67" cm="1">
        <f t="array" ref="S67">DeltaP(S$5,$B$5,$H67,$C$5,0,$D$7)</f>
        <v>-0.30817362101832413</v>
      </c>
      <c r="T67" cm="1">
        <f t="array" ref="T67">DeltaP(T$5,$B$5,$H67,$C$5,0,$D$7)</f>
        <v>-0.25810246366170247</v>
      </c>
      <c r="U67" cm="1">
        <f t="array" ref="U67">DeltaP(U$5,$B$5,$H67,$C$5,0,$D$7)</f>
        <v>-0.21445103070189356</v>
      </c>
      <c r="V67" cm="1">
        <f t="array" ref="V67">DeltaP(V$5,$B$5,$H67,$C$5,0,$D$7)</f>
        <v>-0.17692558288666235</v>
      </c>
      <c r="W67" cm="1">
        <f t="array" ref="W67">DeltaP(W$5,$B$5,$H67,$C$5,0,$D$7)</f>
        <v>-0.14505487619059879</v>
      </c>
      <c r="X67" cm="1">
        <f t="array" ref="X67">DeltaP(X$5,$B$5,$H67,$C$5,0,$D$7)</f>
        <v>-0.11826948842735364</v>
      </c>
      <c r="Y67" cm="1">
        <f t="array" ref="Y67">DeltaP(Y$5,$B$5,$H67,$C$5,0,$D$7)</f>
        <v>-9.5962181134868887E-2</v>
      </c>
    </row>
    <row r="68" spans="7:25" x14ac:dyDescent="0.2">
      <c r="H68">
        <v>2</v>
      </c>
      <c r="I68" cm="1">
        <f t="array" ref="I68">DeltaP(I$5,$B$5,$H68,$C$5,0,$D$7)</f>
        <v>-0.82760802885631146</v>
      </c>
      <c r="J68" cm="1">
        <f t="array" ref="J68">DeltaP(J$5,$B$5,$H68,$C$5,0,$D$7)</f>
        <v>-0.77520315606192436</v>
      </c>
      <c r="K68" cm="1">
        <f t="array" ref="K68">DeltaP(K$5,$B$5,$H68,$C$5,0,$D$7)</f>
        <v>-0.7195207566012034</v>
      </c>
      <c r="L68" cm="1">
        <f t="array" ref="L68">DeltaP(L$5,$B$5,$H68,$C$5,0,$D$7)</f>
        <v>-0.66231908916757454</v>
      </c>
      <c r="M68" cm="1">
        <f t="array" ref="M68">DeltaP(M$5,$B$5,$H68,$C$5,0,$D$7)</f>
        <v>-0.60514295751881164</v>
      </c>
      <c r="N68" cm="1">
        <f t="array" ref="N68">DeltaP(N$5,$B$5,$H68,$C$5,0,$D$7)</f>
        <v>-0.54925855366537546</v>
      </c>
      <c r="O68" cm="1">
        <f t="array" ref="O68">DeltaP(O$5,$B$5,$H68,$C$5,0,$D$7)</f>
        <v>-0.49563750571488169</v>
      </c>
      <c r="P68" cm="1">
        <f t="array" ref="P68">DeltaP(P$5,$B$5,$H68,$C$5,0,$D$7)</f>
        <v>-0.44497280460428273</v>
      </c>
      <c r="Q68" cm="1">
        <f t="array" ref="Q68">DeltaP(Q$5,$B$5,$H68,$C$5,0,$D$7)</f>
        <v>-0.39771250319529661</v>
      </c>
      <c r="R68" cm="1">
        <f t="array" ref="R68">DeltaP(R$5,$B$5,$H68,$C$5,0,$D$7)</f>
        <v>-0.35410097844860078</v>
      </c>
      <c r="S68" cm="1">
        <f t="array" ref="S68">DeltaP(S$5,$B$5,$H68,$C$5,0,$D$7)</f>
        <v>-0.31422106223939261</v>
      </c>
      <c r="T68" cm="1">
        <f t="array" ref="T68">DeltaP(T$5,$B$5,$H68,$C$5,0,$D$7)</f>
        <v>-0.27803309935298359</v>
      </c>
      <c r="U68" cm="1">
        <f t="array" ref="U68">DeltaP(U$5,$B$5,$H68,$C$5,0,$D$7)</f>
        <v>-0.245408953933274</v>
      </c>
      <c r="V68" cm="1">
        <f t="array" ref="V68">DeltaP(V$5,$B$5,$H68,$C$5,0,$D$7)</f>
        <v>-0.21616027879298264</v>
      </c>
      <c r="W68" cm="1">
        <f t="array" ref="W68">DeltaP(W$5,$B$5,$H68,$C$5,0,$D$7)</f>
        <v>-0.19006114648737368</v>
      </c>
      <c r="X68" cm="1">
        <f t="array" ref="X68">DeltaP(X$5,$B$5,$H68,$C$5,0,$D$7)</f>
        <v>-0.16686556750780077</v>
      </c>
      <c r="Y68" cm="1">
        <f t="array" ref="Y68">DeltaP(Y$5,$B$5,$H68,$C$5,0,$D$7)</f>
        <v>-0.1463206111133655</v>
      </c>
    </row>
    <row r="69" spans="7:25" x14ac:dyDescent="0.2">
      <c r="H69">
        <v>3</v>
      </c>
      <c r="I69" cm="1">
        <f t="array" ref="I69">DeltaP(I$5,$B$5,$H69,$C$5,0,$D$7)</f>
        <v>-0.74714796680976803</v>
      </c>
      <c r="J69" cm="1">
        <f t="array" ref="J69">DeltaP(J$5,$B$5,$H69,$C$5,0,$D$7)</f>
        <v>-0.6954993169592607</v>
      </c>
      <c r="K69" cm="1">
        <f t="array" ref="K69">DeltaP(K$5,$B$5,$H69,$C$5,0,$D$7)</f>
        <v>-0.64389089311574621</v>
      </c>
      <c r="L69" cm="1">
        <f t="array" ref="L69">DeltaP(L$5,$B$5,$H69,$C$5,0,$D$7)</f>
        <v>-0.59332314529799546</v>
      </c>
      <c r="M69" cm="1">
        <f t="array" ref="M69">DeltaP(M$5,$B$5,$H69,$C$5,0,$D$7)</f>
        <v>-0.5445475878876147</v>
      </c>
      <c r="N69" cm="1">
        <f t="array" ref="N69">DeltaP(N$5,$B$5,$H69,$C$5,0,$D$7)</f>
        <v>-0.4980951286982967</v>
      </c>
      <c r="O69" cm="1">
        <f t="array" ref="O69">DeltaP(O$5,$B$5,$H69,$C$5,0,$D$7)</f>
        <v>-0.45431124070599777</v>
      </c>
      <c r="P69" cm="1">
        <f t="array" ref="P69">DeltaP(P$5,$B$5,$H69,$C$5,0,$D$7)</f>
        <v>-0.41339176139808453</v>
      </c>
      <c r="Q69" cm="1">
        <f t="array" ref="Q69">DeltaP(Q$5,$B$5,$H69,$C$5,0,$D$7)</f>
        <v>-0.37541594204455847</v>
      </c>
      <c r="R69" cm="1">
        <f t="array" ref="R69">DeltaP(R$5,$B$5,$H69,$C$5,0,$D$7)</f>
        <v>-0.34037519782795728</v>
      </c>
      <c r="S69" cm="1">
        <f t="array" ref="S69">DeltaP(S$5,$B$5,$H69,$C$5,0,$D$7)</f>
        <v>-0.30819711245370862</v>
      </c>
      <c r="T69" cm="1">
        <f t="array" ref="T69">DeltaP(T$5,$B$5,$H69,$C$5,0,$D$7)</f>
        <v>-0.2787648659828646</v>
      </c>
      <c r="U69" cm="1">
        <f t="array" ref="U69">DeltaP(U$5,$B$5,$H69,$C$5,0,$D$7)</f>
        <v>-0.25193255955166938</v>
      </c>
      <c r="V69" cm="1">
        <f t="array" ref="V69">DeltaP(V$5,$B$5,$H69,$C$5,0,$D$7)</f>
        <v>-0.22753702816334076</v>
      </c>
      <c r="W69" cm="1">
        <f t="array" ref="W69">DeltaP(W$5,$B$5,$H69,$C$5,0,$D$7)</f>
        <v>-0.20540674368816242</v>
      </c>
      <c r="X69" cm="1">
        <f t="array" ref="X69">DeltaP(X$5,$B$5,$H69,$C$5,0,$D$7)</f>
        <v>-0.18536836561406406</v>
      </c>
      <c r="Y69" cm="1">
        <f t="array" ref="Y69">DeltaP(Y$5,$B$5,$H69,$C$5,0,$D$7)</f>
        <v>-0.16725142786114872</v>
      </c>
    </row>
    <row r="70" spans="7:25" x14ac:dyDescent="0.2">
      <c r="H70">
        <v>4</v>
      </c>
      <c r="I70" cm="1">
        <f t="array" ref="I70">DeltaP(I$5,$B$5,$H70,$C$5,0,$D$7)</f>
        <v>-0.68605874158405855</v>
      </c>
      <c r="J70" cm="1">
        <f t="array" ref="J70">DeltaP(J$5,$B$5,$H70,$C$5,0,$D$7)</f>
        <v>-0.63732017542195851</v>
      </c>
      <c r="K70" cm="1">
        <f t="array" ref="K70">DeltaP(K$5,$B$5,$H70,$C$5,0,$D$7)</f>
        <v>-0.59009586095973776</v>
      </c>
      <c r="L70" cm="1">
        <f t="array" ref="L70">DeltaP(L$5,$B$5,$H70,$C$5,0,$D$7)</f>
        <v>-0.54490681007005426</v>
      </c>
      <c r="M70" cm="1">
        <f t="array" ref="M70">DeltaP(M$5,$B$5,$H70,$C$5,0,$D$7)</f>
        <v>-0.50209014965405951</v>
      </c>
      <c r="N70" cm="1">
        <f t="array" ref="N70">DeltaP(N$5,$B$5,$H70,$C$5,0,$D$7)</f>
        <v>-0.46183900015825557</v>
      </c>
      <c r="O70" cm="1">
        <f t="array" ref="O70">DeltaP(O$5,$B$5,$H70,$C$5,0,$D$7)</f>
        <v>-0.42423701798348556</v>
      </c>
      <c r="P70" cm="1">
        <f t="array" ref="P70">DeltaP(P$5,$B$5,$H70,$C$5,0,$D$7)</f>
        <v>-0.38928699917989928</v>
      </c>
      <c r="Q70" cm="1">
        <f t="array" ref="Q70">DeltaP(Q$5,$B$5,$H70,$C$5,0,$D$7)</f>
        <v>-0.35693383673749857</v>
      </c>
      <c r="R70" cm="1">
        <f t="array" ref="R70">DeltaP(R$5,$B$5,$H70,$C$5,0,$D$7)</f>
        <v>-0.32708251377171821</v>
      </c>
      <c r="S70" cm="1">
        <f t="array" ref="S70">DeltaP(S$5,$B$5,$H70,$C$5,0,$D$7)</f>
        <v>-0.29961193101075256</v>
      </c>
      <c r="T70" cm="1">
        <f t="array" ref="T70">DeltaP(T$5,$B$5,$H70,$C$5,0,$D$7)</f>
        <v>-0.27438534458062125</v>
      </c>
      <c r="U70" cm="1">
        <f t="array" ref="U70">DeltaP(U$5,$B$5,$H70,$C$5,0,$D$7)</f>
        <v>-0.25125810561422329</v>
      </c>
      <c r="V70" cm="1">
        <f t="array" ref="V70">DeltaP(V$5,$B$5,$H70,$C$5,0,$D$7)</f>
        <v>-0.23008328807271106</v>
      </c>
      <c r="W70" cm="1">
        <f t="array" ref="W70">DeltaP(W$5,$B$5,$H70,$C$5,0,$D$7)</f>
        <v>-0.21071568645830391</v>
      </c>
      <c r="X70" cm="1">
        <f t="array" ref="X70">DeltaP(X$5,$B$5,$H70,$C$5,0,$D$7)</f>
        <v>-0.19301457050780466</v>
      </c>
      <c r="Y70" cm="1">
        <f t="array" ref="Y70">DeltaP(Y$5,$B$5,$H70,$C$5,0,$D$7)</f>
        <v>-0.17684550299325902</v>
      </c>
    </row>
    <row r="71" spans="7:25" x14ac:dyDescent="0.2">
      <c r="H71">
        <v>5</v>
      </c>
      <c r="I71" cm="1">
        <f t="array" ref="I71">DeltaP(I$5,$B$5,$H71,$C$5,0,$D$7)</f>
        <v>-0.63741139706825356</v>
      </c>
      <c r="J71" cm="1">
        <f t="array" ref="J71">DeltaP(J$5,$B$5,$H71,$C$5,0,$D$7)</f>
        <v>-0.59181932468991516</v>
      </c>
      <c r="K71" cm="1">
        <f t="array" ref="K71">DeltaP(K$5,$B$5,$H71,$C$5,0,$D$7)</f>
        <v>-0.54845300509914008</v>
      </c>
      <c r="L71" cm="1">
        <f t="array" ref="L71">DeltaP(L$5,$B$5,$H71,$C$5,0,$D$7)</f>
        <v>-0.50754168118532883</v>
      </c>
      <c r="M71" cm="1">
        <f t="array" ref="M71">DeltaP(M$5,$B$5,$H71,$C$5,0,$D$7)</f>
        <v>-0.46919124044230581</v>
      </c>
      <c r="N71" cm="1">
        <f t="array" ref="N71">DeltaP(N$5,$B$5,$H71,$C$5,0,$D$7)</f>
        <v>-0.43341874291344296</v>
      </c>
      <c r="O71" cm="1">
        <f t="array" ref="O71">DeltaP(O$5,$B$5,$H71,$C$5,0,$D$7)</f>
        <v>-0.40017907667774638</v>
      </c>
      <c r="P71" cm="1">
        <f t="array" ref="P71">DeltaP(P$5,$B$5,$H71,$C$5,0,$D$7)</f>
        <v>-0.36938513644082593</v>
      </c>
      <c r="Q71" cm="1">
        <f t="array" ref="Q71">DeltaP(Q$5,$B$5,$H71,$C$5,0,$D$7)</f>
        <v>-0.34092285507232256</v>
      </c>
      <c r="R71" cm="1">
        <f t="array" ref="R71">DeltaP(R$5,$B$5,$H71,$C$5,0,$D$7)</f>
        <v>-0.31466223641772739</v>
      </c>
      <c r="S71" cm="1">
        <f t="array" ref="S71">DeltaP(S$5,$B$5,$H71,$C$5,0,$D$7)</f>
        <v>-0.29046533054367063</v>
      </c>
      <c r="T71" cm="1">
        <f t="array" ref="T71">DeltaP(T$5,$B$5,$H71,$C$5,0,$D$7)</f>
        <v>-0.2681918990694907</v>
      </c>
      <c r="U71" cm="1">
        <f t="array" ref="U71">DeltaP(U$5,$B$5,$H71,$C$5,0,$D$7)</f>
        <v>-0.24770335266730609</v>
      </c>
      <c r="V71" cm="1">
        <f t="array" ref="V71">DeltaP(V$5,$B$5,$H71,$C$5,0,$D$7)</f>
        <v>-0.2288654077058698</v>
      </c>
      <c r="W71" cm="1">
        <f t="array" ref="W71">DeltaP(W$5,$B$5,$H71,$C$5,0,$D$7)</f>
        <v>-0.21154980187022532</v>
      </c>
      <c r="X71" cm="1">
        <f t="array" ref="X71">DeltaP(X$5,$B$5,$H71,$C$5,0,$D$7)</f>
        <v>-0.19563532516962062</v>
      </c>
      <c r="Y71" cm="1">
        <f t="array" ref="Y71">DeltaP(Y$5,$B$5,$H71,$C$5,0,$D$7)</f>
        <v>-0.18100835859699094</v>
      </c>
    </row>
    <row r="73" spans="7:25" x14ac:dyDescent="0.2">
      <c r="I73">
        <v>60</v>
      </c>
      <c r="J73">
        <v>65</v>
      </c>
      <c r="K73">
        <v>70</v>
      </c>
      <c r="L73">
        <v>75</v>
      </c>
      <c r="M73">
        <v>80</v>
      </c>
      <c r="N73">
        <v>85</v>
      </c>
      <c r="O73">
        <v>90</v>
      </c>
      <c r="P73">
        <v>95</v>
      </c>
      <c r="Q73">
        <v>100</v>
      </c>
      <c r="R73">
        <v>105</v>
      </c>
      <c r="S73">
        <v>110</v>
      </c>
      <c r="T73">
        <v>115</v>
      </c>
      <c r="U73">
        <v>120</v>
      </c>
      <c r="V73">
        <v>125</v>
      </c>
      <c r="W73">
        <v>130</v>
      </c>
      <c r="X73">
        <v>135</v>
      </c>
      <c r="Y73">
        <v>140</v>
      </c>
    </row>
    <row r="74" spans="7:25" x14ac:dyDescent="0.2">
      <c r="H74">
        <v>0.1</v>
      </c>
      <c r="I74" cm="1">
        <f t="array" ref="I74">ThetaP(I$5,$B$5,$H74,$C$5,0,$D$7)</f>
        <v>0.99899263408701833</v>
      </c>
      <c r="J74" cm="1">
        <f t="array" ref="J74">ThetaP(J$5,$B$5,$H74,$C$5,0,$D$7)</f>
        <v>0.99846593830863339</v>
      </c>
      <c r="K74" cm="1">
        <f t="array" ref="K74">ThetaP(K$5,$B$5,$H74,$C$5,0,$D$7)</f>
        <v>0.98491177292683196</v>
      </c>
      <c r="L74" cm="1">
        <f t="array" ref="L74">ThetaP(L$5,$B$5,$H74,$C$5,0,$D$7)</f>
        <v>0.82776351415260951</v>
      </c>
      <c r="M74" cm="1">
        <f t="array" ref="M74">ThetaP(M$5,$B$5,$H74,$C$5,0,$D$7)</f>
        <v>-9.8879153272837805E-2</v>
      </c>
      <c r="N74" cm="1">
        <f t="array" ref="N74">ThetaP(N$5,$B$5,$H74,$C$5,0,$D$7)</f>
        <v>-3.1294701728622658</v>
      </c>
      <c r="O74" cm="1">
        <f t="array" ref="O74">ThetaP(O$5,$B$5,$H74,$C$5,0,$D$7)</f>
        <v>-8.9132864264063176</v>
      </c>
      <c r="P74" cm="1">
        <f t="array" ref="P74">ThetaP(P$5,$B$5,$H74,$C$5,0,$D$7)</f>
        <v>-15.282826634787316</v>
      </c>
      <c r="Q74" cm="1">
        <f t="array" ref="Q74">ThetaP(Q$5,$B$5,$H74,$C$5,0,$D$7)</f>
        <v>-18.37751816266173</v>
      </c>
      <c r="R74" cm="1">
        <f t="array" ref="R74">ThetaP(R$5,$B$5,$H74,$C$5,0,$D$7)</f>
        <v>-16.552290271650008</v>
      </c>
      <c r="S74" cm="1">
        <f t="array" ref="S74">ThetaP(S$5,$B$5,$H74,$C$5,0,$D$7)</f>
        <v>-11.669285285441694</v>
      </c>
      <c r="T74" cm="1">
        <f t="array" ref="T74">ThetaP(T$5,$B$5,$H74,$C$5,0,$D$7)</f>
        <v>-6.6634526937759855</v>
      </c>
      <c r="U74" cm="1">
        <f t="array" ref="U74">ThetaP(U$5,$B$5,$H74,$C$5,0,$D$7)</f>
        <v>-3.169495531364193</v>
      </c>
      <c r="V74" cm="1">
        <f t="array" ref="V74">ThetaP(V$5,$B$5,$H74,$C$5,0,$D$7)</f>
        <v>-1.2856313304365674</v>
      </c>
      <c r="W74" cm="1">
        <f t="array" ref="W74">ThetaP(W$5,$B$5,$H74,$C$5,0,$D$7)</f>
        <v>-0.45366785285420225</v>
      </c>
      <c r="X74" cm="1">
        <f t="array" ref="X74">ThetaP(X$5,$B$5,$H74,$C$5,0,$D$7)</f>
        <v>-0.14166726043328112</v>
      </c>
      <c r="Y74" cm="1">
        <f t="array" ref="Y74">ThetaP(Y$5,$B$5,$H74,$C$5,0,$D$7)</f>
        <v>-3.9728350224498166E-2</v>
      </c>
    </row>
    <row r="75" spans="7:25" x14ac:dyDescent="0.2">
      <c r="H75">
        <v>0.2</v>
      </c>
      <c r="I75" cm="1">
        <f t="array" ref="I75">ThetaP(I$5,$B$5,$H75,$C$5,0,$D$7)</f>
        <v>0.99016842844618558</v>
      </c>
      <c r="J75" cm="1">
        <f t="array" ref="J75">ThetaP(J$5,$B$5,$H75,$C$5,0,$D$7)</f>
        <v>0.93235573068106259</v>
      </c>
      <c r="K75" cm="1">
        <f t="array" ref="K75">ThetaP(K$5,$B$5,$H75,$C$5,0,$D$7)</f>
        <v>0.65574906117532894</v>
      </c>
      <c r="L75" cm="1">
        <f t="array" ref="L75">ThetaP(L$5,$B$5,$H75,$C$5,0,$D$7)</f>
        <v>-0.21283148626389148</v>
      </c>
      <c r="M75" cm="1">
        <f t="array" ref="M75">ThetaP(M$5,$B$5,$H75,$C$5,0,$D$7)</f>
        <v>-2.1115932491116407</v>
      </c>
      <c r="N75" cm="1">
        <f t="array" ref="N75">ThetaP(N$5,$B$5,$H75,$C$5,0,$D$7)</f>
        <v>-5.1159854868804349</v>
      </c>
      <c r="O75" cm="1">
        <f t="array" ref="O75">ThetaP(O$5,$B$5,$H75,$C$5,0,$D$7)</f>
        <v>-8.6067956315526288</v>
      </c>
      <c r="P75" cm="1">
        <f t="array" ref="P75">ThetaP(P$5,$B$5,$H75,$C$5,0,$D$7)</f>
        <v>-11.48463136658831</v>
      </c>
      <c r="Q75" cm="1">
        <f t="array" ref="Q75">ThetaP(Q$5,$B$5,$H75,$C$5,0,$D$7)</f>
        <v>-12.816266802050279</v>
      </c>
      <c r="R75" cm="1">
        <f t="array" ref="R75">ThetaP(R$5,$B$5,$H75,$C$5,0,$D$7)</f>
        <v>-12.34486383458129</v>
      </c>
      <c r="S75" cm="1">
        <f t="array" ref="S75">ThetaP(S$5,$B$5,$H75,$C$5,0,$D$7)</f>
        <v>-10.498481139827572</v>
      </c>
      <c r="T75" cm="1">
        <f t="array" ref="T75">ThetaP(T$5,$B$5,$H75,$C$5,0,$D$7)</f>
        <v>-8.0235003755640015</v>
      </c>
      <c r="U75" cm="1">
        <f t="array" ref="U75">ThetaP(U$5,$B$5,$H75,$C$5,0,$D$7)</f>
        <v>-5.5905459063791616</v>
      </c>
      <c r="V75" cm="1">
        <f t="array" ref="V75">ThetaP(V$5,$B$5,$H75,$C$5,0,$D$7)</f>
        <v>-3.5942601235901694</v>
      </c>
      <c r="W75" cm="1">
        <f t="array" ref="W75">ThetaP(W$5,$B$5,$H75,$C$5,0,$D$7)</f>
        <v>-2.1539420718322613</v>
      </c>
      <c r="X75" cm="1">
        <f t="array" ref="X75">ThetaP(X$5,$B$5,$H75,$C$5,0,$D$7)</f>
        <v>-1.213629575081647</v>
      </c>
      <c r="Y75" cm="1">
        <f t="array" ref="Y75">ThetaP(Y$5,$B$5,$H75,$C$5,0,$D$7)</f>
        <v>-0.64773454988234103</v>
      </c>
    </row>
    <row r="76" spans="7:25" x14ac:dyDescent="0.2">
      <c r="H76">
        <v>0.3</v>
      </c>
      <c r="I76" cm="1">
        <f t="array" ref="I76">ThetaP(I$5,$B$5,$H76,$C$5,0,$D$7)</f>
        <v>0.92523716680024171</v>
      </c>
      <c r="J76" cm="1">
        <f t="array" ref="J76">ThetaP(J$5,$B$5,$H76,$C$5,0,$D$7)</f>
        <v>0.69758093918743358</v>
      </c>
      <c r="K76" cm="1">
        <f t="array" ref="K76">ThetaP(K$5,$B$5,$H76,$C$5,0,$D$7)</f>
        <v>8.7159443621473875E-2</v>
      </c>
      <c r="L76" cm="1">
        <f t="array" ref="L76">ThetaP(L$5,$B$5,$H76,$C$5,0,$D$7)</f>
        <v>-1.136905433863195</v>
      </c>
      <c r="M76" cm="1">
        <f t="array" ref="M76">ThetaP(M$5,$B$5,$H76,$C$5,0,$D$7)</f>
        <v>-3.0440173276012308</v>
      </c>
      <c r="N76" cm="1">
        <f t="array" ref="N76">ThetaP(N$5,$B$5,$H76,$C$5,0,$D$7)</f>
        <v>-5.4059575893526288</v>
      </c>
      <c r="O76" cm="1">
        <f t="array" ref="O76">ThetaP(O$5,$B$5,$H76,$C$5,0,$D$7)</f>
        <v>-7.7379371624679631</v>
      </c>
      <c r="P76" cm="1">
        <f t="array" ref="P76">ThetaP(P$5,$B$5,$H76,$C$5,0,$D$7)</f>
        <v>-9.5044896339229936</v>
      </c>
      <c r="Q76" cm="1">
        <f t="array" ref="Q76">ThetaP(Q$5,$B$5,$H76,$C$5,0,$D$7)</f>
        <v>-10.346638883027289</v>
      </c>
      <c r="R76" cm="1">
        <f t="array" ref="R76">ThetaP(R$5,$B$5,$H76,$C$5,0,$D$7)</f>
        <v>-10.194341349097956</v>
      </c>
      <c r="S76" cm="1">
        <f t="array" ref="S76">ThetaP(S$5,$B$5,$H76,$C$5,0,$D$7)</f>
        <v>-9.2323556966562297</v>
      </c>
      <c r="T76" cm="1">
        <f t="array" ref="T76">ThetaP(T$5,$B$5,$H76,$C$5,0,$D$7)</f>
        <v>-7.7788057388183685</v>
      </c>
      <c r="U76" cm="1">
        <f t="array" ref="U76">ThetaP(U$5,$B$5,$H76,$C$5,0,$D$7)</f>
        <v>-6.1578352918206596</v>
      </c>
      <c r="V76" cm="1">
        <f t="array" ref="V76">ThetaP(V$5,$B$5,$H76,$C$5,0,$D$7)</f>
        <v>-4.617441685929025</v>
      </c>
      <c r="W76" cm="1">
        <f t="array" ref="W76">ThetaP(W$5,$B$5,$H76,$C$5,0,$D$7)</f>
        <v>-3.3023115487030839</v>
      </c>
      <c r="X76" cm="1">
        <f t="array" ref="X76">ThetaP(X$5,$B$5,$H76,$C$5,0,$D$7)</f>
        <v>-2.2657861086994076</v>
      </c>
      <c r="Y76" cm="1">
        <f t="array" ref="Y76">ThetaP(Y$5,$B$5,$H76,$C$5,0,$D$7)</f>
        <v>-1.4989402958722344</v>
      </c>
    </row>
    <row r="77" spans="7:25" x14ac:dyDescent="0.2">
      <c r="H77">
        <v>0.4</v>
      </c>
      <c r="I77" cm="1">
        <f t="array" ref="I77">ThetaP(I$5,$B$5,$H77,$C$5,0,$D$7)</f>
        <v>0.78768585026709492</v>
      </c>
      <c r="J77" cm="1">
        <f t="array" ref="J77">ThetaP(J$5,$B$5,$H77,$C$5,0,$D$7)</f>
        <v>0.38264908586049273</v>
      </c>
      <c r="K77" cm="1">
        <f t="array" ref="K77">ThetaP(K$5,$B$5,$H77,$C$5,0,$D$7)</f>
        <v>-0.42709870292597552</v>
      </c>
      <c r="L77" cm="1">
        <f t="array" ref="L77">ThetaP(L$5,$B$5,$H77,$C$5,0,$D$7)</f>
        <v>-1.7220124983182141</v>
      </c>
      <c r="M77" cm="1">
        <f t="array" ref="M77">ThetaP(M$5,$B$5,$H77,$C$5,0,$D$7)</f>
        <v>-3.4246318599838124</v>
      </c>
      <c r="N77" cm="1">
        <f t="array" ref="N77">ThetaP(N$5,$B$5,$H77,$C$5,0,$D$7)</f>
        <v>-5.2928547258545455</v>
      </c>
      <c r="O77" cm="1">
        <f t="array" ref="O77">ThetaP(O$5,$B$5,$H77,$C$5,0,$D$7)</f>
        <v>-6.9997013228205578</v>
      </c>
      <c r="P77" cm="1">
        <f t="array" ref="P77">ThetaP(P$5,$B$5,$H77,$C$5,0,$D$7)</f>
        <v>-8.2500777076553149</v>
      </c>
      <c r="Q77" cm="1">
        <f t="array" ref="Q77">ThetaP(Q$5,$B$5,$H77,$C$5,0,$D$7)</f>
        <v>-8.871059846530704</v>
      </c>
      <c r="R77" cm="1">
        <f t="array" ref="R77">ThetaP(R$5,$B$5,$H77,$C$5,0,$D$7)</f>
        <v>-8.8413259687771557</v>
      </c>
      <c r="S77" cm="1">
        <f t="array" ref="S77">ThetaP(S$5,$B$5,$H77,$C$5,0,$D$7)</f>
        <v>-8.2643732006729707</v>
      </c>
      <c r="T77" cm="1">
        <f t="array" ref="T77">ThetaP(T$5,$B$5,$H77,$C$5,0,$D$7)</f>
        <v>-7.3127230853404637</v>
      </c>
      <c r="U77" cm="1">
        <f t="array" ref="U77">ThetaP(U$5,$B$5,$H77,$C$5,0,$D$7)</f>
        <v>-6.1715062860855525</v>
      </c>
      <c r="V77" cm="1">
        <f t="array" ref="V77">ThetaP(V$5,$B$5,$H77,$C$5,0,$D$7)</f>
        <v>-4.9986398916944106</v>
      </c>
      <c r="W77" cm="1">
        <f t="array" ref="W77">ThetaP(W$5,$B$5,$H77,$C$5,0,$D$7)</f>
        <v>-3.9060292484179464</v>
      </c>
      <c r="X77" cm="1">
        <f t="array" ref="X77">ThetaP(X$5,$B$5,$H77,$C$5,0,$D$7)</f>
        <v>-2.9578378750491692</v>
      </c>
      <c r="Y77" cm="1">
        <f t="array" ref="Y77">ThetaP(Y$5,$B$5,$H77,$C$5,0,$D$7)</f>
        <v>-2.178832667374845</v>
      </c>
    </row>
    <row r="78" spans="7:25" x14ac:dyDescent="0.2">
      <c r="G78" t="s">
        <v>48</v>
      </c>
      <c r="H78">
        <v>0.5</v>
      </c>
      <c r="I78" cm="1">
        <f t="array" ref="I78">ThetaP(I$5,$B$5,$H78,$C$5,0,$D$7)</f>
        <v>0.60986310530199628</v>
      </c>
      <c r="J78" cm="1">
        <f t="array" ref="J78">ThetaP(J$5,$B$5,$H78,$C$5,0,$D$7)</f>
        <v>7.4937965332277701E-2</v>
      </c>
      <c r="K78" cm="1">
        <f t="array" ref="K78">ThetaP(K$5,$B$5,$H78,$C$5,0,$D$7)</f>
        <v>-0.82089492375222262</v>
      </c>
      <c r="L78" cm="1">
        <f t="array" ref="L78">ThetaP(L$5,$B$5,$H78,$C$5,0,$D$7)</f>
        <v>-2.0714326565604573</v>
      </c>
      <c r="M78" cm="1">
        <f t="array" ref="M78">ThetaP(M$5,$B$5,$H78,$C$5,0,$D$7)</f>
        <v>-3.5575631117808268</v>
      </c>
      <c r="N78" cm="1">
        <f t="array" ref="N78">ThetaP(N$5,$B$5,$H78,$C$5,0,$D$7)</f>
        <v>-5.0764798252215249</v>
      </c>
      <c r="O78" cm="1">
        <f t="array" ref="O78">ThetaP(O$5,$B$5,$H78,$C$5,0,$D$7)</f>
        <v>-6.4052391289394421</v>
      </c>
      <c r="P78" cm="1">
        <f t="array" ref="P78">ThetaP(P$5,$B$5,$H78,$C$5,0,$D$7)</f>
        <v>-7.3652740524653666</v>
      </c>
      <c r="Q78" cm="1">
        <f t="array" ref="Q78">ThetaP(Q$5,$B$5,$H78,$C$5,0,$D$7)</f>
        <v>-7.8618142409078384</v>
      </c>
      <c r="R78" cm="1">
        <f t="array" ref="R78">ThetaP(R$5,$B$5,$H78,$C$5,0,$D$7)</f>
        <v>-7.8903607726868055</v>
      </c>
      <c r="S78" cm="1">
        <f t="array" ref="S78">ThetaP(S$5,$B$5,$H78,$C$5,0,$D$7)</f>
        <v>-7.5176969033870948</v>
      </c>
      <c r="T78" cm="1">
        <f t="array" ref="T78">ThetaP(T$5,$B$5,$H78,$C$5,0,$D$7)</f>
        <v>-6.8512522288733955</v>
      </c>
      <c r="U78" cm="1">
        <f t="array" ref="U78">ThetaP(U$5,$B$5,$H78,$C$5,0,$D$7)</f>
        <v>-6.0091583558531081</v>
      </c>
      <c r="V78" cm="1">
        <f t="array" ref="V78">ThetaP(V$5,$B$5,$H78,$C$5,0,$D$7)</f>
        <v>-5.0982027370703884</v>
      </c>
      <c r="W78" cm="1">
        <f t="array" ref="W78">ThetaP(W$5,$B$5,$H78,$C$5,0,$D$7)</f>
        <v>-4.201722873629703</v>
      </c>
      <c r="X78" cm="1">
        <f t="array" ref="X78">ThetaP(X$5,$B$5,$H78,$C$5,0,$D$7)</f>
        <v>-3.3760699130439797</v>
      </c>
      <c r="Y78" cm="1">
        <f t="array" ref="Y78">ThetaP(Y$5,$B$5,$H78,$C$5,0,$D$7)</f>
        <v>-2.6528322224745291</v>
      </c>
    </row>
    <row r="79" spans="7:25" x14ac:dyDescent="0.2">
      <c r="H79">
        <v>0.6</v>
      </c>
      <c r="I79" cm="1">
        <f t="array" ref="I79">ThetaP(I$5,$B$5,$H79,$C$5,0,$D$7)</f>
        <v>0.42333097395945118</v>
      </c>
      <c r="J79" cm="1">
        <f t="array" ref="J79">ThetaP(J$5,$B$5,$H79,$C$5,0,$D$7)</f>
        <v>-0.1920169261881326</v>
      </c>
      <c r="K79" cm="1">
        <f t="array" ref="K79">ThetaP(K$5,$B$5,$H79,$C$5,0,$D$7)</f>
        <v>-1.1076410083813386</v>
      </c>
      <c r="L79" cm="1">
        <f t="array" ref="L79">ThetaP(L$5,$B$5,$H79,$C$5,0,$D$7)</f>
        <v>-2.2754852484030046</v>
      </c>
      <c r="M79" cm="1">
        <f t="array" ref="M79">ThetaP(M$5,$B$5,$H79,$C$5,0,$D$7)</f>
        <v>-3.573926940156273</v>
      </c>
      <c r="N79" cm="1">
        <f t="array" ref="N79">ThetaP(N$5,$B$5,$H79,$C$5,0,$D$7)</f>
        <v>-4.841495067056818</v>
      </c>
      <c r="O79" cm="1">
        <f t="array" ref="O79">ThetaP(O$5,$B$5,$H79,$C$5,0,$D$7)</f>
        <v>-5.9214128124070875</v>
      </c>
      <c r="P79" cm="1">
        <f t="array" ref="P79">ThetaP(P$5,$B$5,$H79,$C$5,0,$D$7)</f>
        <v>-6.6980876889503085</v>
      </c>
      <c r="Q79" cm="1">
        <f t="array" ref="Q79">ThetaP(Q$5,$B$5,$H79,$C$5,0,$D$7)</f>
        <v>-7.1151799748504487</v>
      </c>
      <c r="R79" cm="1">
        <f t="array" ref="R79">ThetaP(R$5,$B$5,$H79,$C$5,0,$D$7)</f>
        <v>-7.1748546379084193</v>
      </c>
      <c r="S79" cm="1">
        <f t="array" ref="S79">ThetaP(S$5,$B$5,$H79,$C$5,0,$D$7)</f>
        <v>-6.9241734717929324</v>
      </c>
      <c r="T79" cm="1">
        <f t="array" ref="T79">ThetaP(T$5,$B$5,$H79,$C$5,0,$D$7)</f>
        <v>-6.4362836083910215</v>
      </c>
      <c r="U79" cm="1">
        <f t="array" ref="U79">ThetaP(U$5,$B$5,$H79,$C$5,0,$D$7)</f>
        <v>-5.792562780413955</v>
      </c>
      <c r="V79" cm="1">
        <f t="array" ref="V79">ThetaP(V$5,$B$5,$H79,$C$5,0,$D$7)</f>
        <v>-5.0691867264916635</v>
      </c>
      <c r="W79" cm="1">
        <f t="array" ref="W79">ThetaP(W$5,$B$5,$H79,$C$5,0,$D$7)</f>
        <v>-4.3291186912494091</v>
      </c>
      <c r="X79" cm="1">
        <f t="array" ref="X79">ThetaP(X$5,$B$5,$H79,$C$5,0,$D$7)</f>
        <v>-3.6189073563403045</v>
      </c>
      <c r="Y79" cm="1">
        <f t="array" ref="Y79">ThetaP(Y$5,$B$5,$H79,$C$5,0,$D$7)</f>
        <v>-2.9689506595913882</v>
      </c>
    </row>
    <row r="80" spans="7:25" x14ac:dyDescent="0.2">
      <c r="H80">
        <v>0.7</v>
      </c>
      <c r="I80" cm="1">
        <f t="array" ref="I80">ThetaP(I$5,$B$5,$H80,$C$5,0,$D$7)</f>
        <v>0.24610828201548784</v>
      </c>
      <c r="J80" cm="1">
        <f t="array" ref="J80">ThetaP(J$5,$B$5,$H80,$C$5,0,$D$7)</f>
        <v>-0.41231829440777068</v>
      </c>
      <c r="K80" cm="1">
        <f t="array" ref="K80">ThetaP(K$5,$B$5,$H80,$C$5,0,$D$7)</f>
        <v>-1.3128435282684667</v>
      </c>
      <c r="L80" cm="1">
        <f t="array" ref="L80">ThetaP(L$5,$B$5,$H80,$C$5,0,$D$7)</f>
        <v>-2.3901792761348437</v>
      </c>
      <c r="M80" cm="1">
        <f t="array" ref="M80">ThetaP(M$5,$B$5,$H80,$C$5,0,$D$7)</f>
        <v>-3.5332200574471222</v>
      </c>
      <c r="N80" cm="1">
        <f t="array" ref="N80">ThetaP(N$5,$B$5,$H80,$C$5,0,$D$7)</f>
        <v>-4.614419554346691</v>
      </c>
      <c r="O80" cm="1">
        <f t="array" ref="O80">ThetaP(O$5,$B$5,$H80,$C$5,0,$D$7)</f>
        <v>-5.5201009241771768</v>
      </c>
      <c r="P80" cm="1">
        <f t="array" ref="P80">ThetaP(P$5,$B$5,$H80,$C$5,0,$D$7)</f>
        <v>-6.1716214359627042</v>
      </c>
      <c r="Q80" cm="1">
        <f t="array" ref="Q80">ThetaP(Q$5,$B$5,$H80,$C$5,0,$D$7)</f>
        <v>-6.5336410804145792</v>
      </c>
      <c r="R80" cm="1">
        <f t="array" ref="R80">ThetaP(R$5,$B$5,$H80,$C$5,0,$D$7)</f>
        <v>-6.6111017096037683</v>
      </c>
      <c r="S80" cm="1">
        <f t="array" ref="S80">ThetaP(S$5,$B$5,$H80,$C$5,0,$D$7)</f>
        <v>-6.4392117147189118</v>
      </c>
      <c r="T80" cm="1">
        <f t="array" ref="T80">ThetaP(T$5,$B$5,$H80,$C$5,0,$D$7)</f>
        <v>-6.0709763329493374</v>
      </c>
      <c r="U80" cm="1">
        <f t="array" ref="U80">ThetaP(U$5,$B$5,$H80,$C$5,0,$D$7)</f>
        <v>-5.5656557772160884</v>
      </c>
      <c r="V80" cm="1">
        <f t="array" ref="V80">ThetaP(V$5,$B$5,$H80,$C$5,0,$D$7)</f>
        <v>-4.9799824385359122</v>
      </c>
      <c r="W80" cm="1">
        <f t="array" ref="W80">ThetaP(W$5,$B$5,$H80,$C$5,0,$D$7)</f>
        <v>-4.3626504328939282</v>
      </c>
      <c r="X80" cm="1">
        <f t="array" ref="X80">ThetaP(X$5,$B$5,$H80,$C$5,0,$D$7)</f>
        <v>-3.7517423184287213</v>
      </c>
      <c r="Y80" cm="1">
        <f t="array" ref="Y80">ThetaP(Y$5,$B$5,$H80,$C$5,0,$D$7)</f>
        <v>-3.1743621547853551</v>
      </c>
    </row>
    <row r="81" spans="7:25" x14ac:dyDescent="0.2">
      <c r="H81">
        <v>0.8</v>
      </c>
      <c r="I81" cm="1">
        <f t="array" ref="I81">ThetaP(I$5,$B$5,$H81,$C$5,0,$D$7)</f>
        <v>8.6087128617417963E-2</v>
      </c>
      <c r="J81" cm="1">
        <f t="array" ref="J81">ThetaP(J$5,$B$5,$H81,$C$5,0,$D$7)</f>
        <v>-0.59007577500894082</v>
      </c>
      <c r="K81" cm="1">
        <f t="array" ref="K81">ThetaP(K$5,$B$5,$H81,$C$5,0,$D$7)</f>
        <v>-1.4584046105959692</v>
      </c>
      <c r="L81" cm="1">
        <f t="array" ref="L81">ThetaP(L$5,$B$5,$H81,$C$5,0,$D$7)</f>
        <v>-2.4489376917065435</v>
      </c>
      <c r="M81" cm="1">
        <f t="array" ref="M81">ThetaP(M$5,$B$5,$H81,$C$5,0,$D$7)</f>
        <v>-3.4643193800603687</v>
      </c>
      <c r="N81" cm="1">
        <f t="array" ref="N81">ThetaP(N$5,$B$5,$H81,$C$5,0,$D$7)</f>
        <v>-4.4032651610680338</v>
      </c>
      <c r="O81" cm="1">
        <f t="array" ref="O81">ThetaP(O$5,$B$5,$H81,$C$5,0,$D$7)</f>
        <v>-5.1811134753930892</v>
      </c>
      <c r="P81" cm="1">
        <f t="array" ref="P81">ThetaP(P$5,$B$5,$H81,$C$5,0,$D$7)</f>
        <v>-5.7423073581237292</v>
      </c>
      <c r="Q81" cm="1">
        <f t="array" ref="Q81">ThetaP(Q$5,$B$5,$H81,$C$5,0,$D$7)</f>
        <v>-6.0638788186355779</v>
      </c>
      <c r="R81" cm="1">
        <f t="array" ref="R81">ThetaP(R$5,$B$5,$H81,$C$5,0,$D$7)</f>
        <v>-6.1518802862663842</v>
      </c>
      <c r="S81" cm="1">
        <f t="array" ref="S81">ThetaP(S$5,$B$5,$H81,$C$5,0,$D$7)</f>
        <v>-6.0338118580514015</v>
      </c>
      <c r="T81" cm="1">
        <f t="array" ref="T81">ThetaP(T$5,$B$5,$H81,$C$5,0,$D$7)</f>
        <v>-5.7498827104939281</v>
      </c>
      <c r="U81" cm="1">
        <f t="array" ref="U81">ThetaP(U$5,$B$5,$H81,$C$5,0,$D$7)</f>
        <v>-5.3450951193463032</v>
      </c>
      <c r="V81" cm="1">
        <f t="array" ref="V81">ThetaP(V$5,$B$5,$H81,$C$5,0,$D$7)</f>
        <v>-4.8631856970761129</v>
      </c>
      <c r="W81" cm="1">
        <f t="array" ref="W81">ThetaP(W$5,$B$5,$H81,$C$5,0,$D$7)</f>
        <v>-4.3426943145153842</v>
      </c>
      <c r="X81" cm="1">
        <f t="array" ref="X81">ThetaP(X$5,$B$5,$H81,$C$5,0,$D$7)</f>
        <v>-3.814948770028149</v>
      </c>
      <c r="Y81" cm="1">
        <f t="array" ref="Y81">ThetaP(Y$5,$B$5,$H81,$C$5,0,$D$7)</f>
        <v>-3.3035257641310425</v>
      </c>
    </row>
    <row r="82" spans="7:25" x14ac:dyDescent="0.2">
      <c r="H82">
        <v>0.9</v>
      </c>
      <c r="I82" cm="1">
        <f t="array" ref="I82">ThetaP(I$5,$B$5,$H82,$C$5,0,$D$7)</f>
        <v>-5.4464754447525188E-2</v>
      </c>
      <c r="J82" cm="1">
        <f t="array" ref="J82">ThetaP(J$5,$B$5,$H82,$C$5,0,$D$7)</f>
        <v>-0.73198274376452066</v>
      </c>
      <c r="K82" cm="1">
        <f t="array" ref="K82">ThetaP(K$5,$B$5,$H82,$C$5,0,$D$7)</f>
        <v>-1.5606632171007311</v>
      </c>
      <c r="L82" cm="1">
        <f t="array" ref="L82">ThetaP(L$5,$B$5,$H82,$C$5,0,$D$7)</f>
        <v>-2.4719834030189616</v>
      </c>
      <c r="M82" cm="1">
        <f t="array" ref="M82">ThetaP(M$5,$B$5,$H82,$C$5,0,$D$7)</f>
        <v>-3.3820258847054534</v>
      </c>
      <c r="N82" cm="1">
        <f t="array" ref="N82">ThetaP(N$5,$B$5,$H82,$C$5,0,$D$7)</f>
        <v>-4.2095913215003344</v>
      </c>
      <c r="O82" cm="1">
        <f t="array" ref="O82">ThetaP(O$5,$B$5,$H82,$C$5,0,$D$7)</f>
        <v>-4.8901808629120991</v>
      </c>
      <c r="P82" cm="1">
        <f t="array" ref="P82">ThetaP(P$5,$B$5,$H82,$C$5,0,$D$7)</f>
        <v>-5.3833875311322927</v>
      </c>
      <c r="Q82" cm="1">
        <f t="array" ref="Q82">ThetaP(Q$5,$B$5,$H82,$C$5,0,$D$7)</f>
        <v>-5.673953019884344</v>
      </c>
      <c r="R82" cm="1">
        <f t="array" ref="R82">ThetaP(R$5,$B$5,$H82,$C$5,0,$D$7)</f>
        <v>-5.7682743950165616</v>
      </c>
      <c r="S82" cm="1">
        <f t="array" ref="S82">ThetaP(S$5,$B$5,$H82,$C$5,0,$D$7)</f>
        <v>-5.6885385047670427</v>
      </c>
      <c r="T82" cm="1">
        <f t="array" ref="T82">ThetaP(T$5,$B$5,$H82,$C$5,0,$D$7)</f>
        <v>-5.466334122701447</v>
      </c>
      <c r="U82" cm="1">
        <f t="array" ref="U82">ThetaP(U$5,$B$5,$H82,$C$5,0,$D$7)</f>
        <v>-5.1369721420425423</v>
      </c>
      <c r="V82" cm="1">
        <f t="array" ref="V82">ThetaP(V$5,$B$5,$H82,$C$5,0,$D$7)</f>
        <v>-4.7351272149737191</v>
      </c>
      <c r="W82" cm="1">
        <f t="array" ref="W82">ThetaP(W$5,$B$5,$H82,$C$5,0,$D$7)</f>
        <v>-4.2919434847148787</v>
      </c>
      <c r="X82" cm="1">
        <f t="array" ref="X82">ThetaP(X$5,$B$5,$H82,$C$5,0,$D$7)</f>
        <v>-3.8334560423269344</v>
      </c>
      <c r="Y82" cm="1">
        <f t="array" ref="Y82">ThetaP(Y$5,$B$5,$H82,$C$5,0,$D$7)</f>
        <v>-3.3800427469042171</v>
      </c>
    </row>
    <row r="83" spans="7:25" x14ac:dyDescent="0.2">
      <c r="H83">
        <v>1</v>
      </c>
      <c r="I83" cm="1">
        <f t="array" ref="I83">ThetaP(I$5,$B$5,$H83,$C$5,0,$D$7)</f>
        <v>-0.1760126391771224</v>
      </c>
      <c r="J83" cm="1">
        <f t="array" ref="J83">ThetaP(J$5,$B$5,$H83,$C$5,0,$D$7)</f>
        <v>-0.84463146067264028</v>
      </c>
      <c r="K83" cm="1">
        <f t="array" ref="K83">ThetaP(K$5,$B$5,$H83,$C$5,0,$D$7)</f>
        <v>-1.6313513439711096</v>
      </c>
      <c r="L83" cm="1">
        <f t="array" ref="L83">ThetaP(L$5,$B$5,$H83,$C$5,0,$D$7)</f>
        <v>-2.4718624913319669</v>
      </c>
      <c r="M83" cm="1">
        <f t="array" ref="M83">ThetaP(M$5,$B$5,$H83,$C$5,0,$D$7)</f>
        <v>-3.2942274017014825</v>
      </c>
      <c r="N83" cm="1">
        <f t="array" ref="N83">ThetaP(N$5,$B$5,$H83,$C$5,0,$D$7)</f>
        <v>-4.0326601813243439</v>
      </c>
      <c r="O83" cm="1">
        <f t="array" ref="O83">ThetaP(O$5,$B$5,$H83,$C$5,0,$D$7)</f>
        <v>-4.6370747035504909</v>
      </c>
      <c r="P83" cm="1">
        <f t="array" ref="P83">ThetaP(P$5,$B$5,$H83,$C$5,0,$D$7)</f>
        <v>-5.0774044304743322</v>
      </c>
      <c r="Q83" cm="1">
        <f t="array" ref="Q83">ThetaP(Q$5,$B$5,$H83,$C$5,0,$D$7)</f>
        <v>-5.3434070827520213</v>
      </c>
      <c r="R83" cm="1">
        <f t="array" ref="R83">ThetaP(R$5,$B$5,$H83,$C$5,0,$D$7)</f>
        <v>-5.4414595834573003</v>
      </c>
      <c r="S83" cm="1">
        <f t="array" ref="S83">ThetaP(S$5,$B$5,$H83,$C$5,0,$D$7)</f>
        <v>-5.3899188592667135</v>
      </c>
      <c r="T83" cm="1">
        <f t="array" ref="T83">ThetaP(T$5,$B$5,$H83,$C$5,0,$D$7)</f>
        <v>-5.21429521169701</v>
      </c>
      <c r="U83" cm="1">
        <f t="array" ref="U83">ThetaP(U$5,$B$5,$H83,$C$5,0,$D$7)</f>
        <v>-4.9430297701227293</v>
      </c>
      <c r="V83" cm="1">
        <f t="array" ref="V83">ThetaP(V$5,$B$5,$H83,$C$5,0,$D$7)</f>
        <v>-4.6042524551988544</v>
      </c>
      <c r="W83" cm="1">
        <f t="array" ref="W83">ThetaP(W$5,$B$5,$H83,$C$5,0,$D$7)</f>
        <v>-4.2235930027214881</v>
      </c>
      <c r="X83" cm="1">
        <f t="array" ref="X83">ThetaP(X$5,$B$5,$H83,$C$5,0,$D$7)</f>
        <v>-3.8229338007270131</v>
      </c>
      <c r="Y83" cm="1">
        <f t="array" ref="Y83">ThetaP(Y$5,$B$5,$H83,$C$5,0,$D$7)</f>
        <v>-3.4199077511090277</v>
      </c>
    </row>
    <row r="84" spans="7:25" x14ac:dyDescent="0.2">
      <c r="H84">
        <v>2</v>
      </c>
      <c r="I84" cm="1">
        <f t="array" ref="I84">ThetaP(I$5,$B$5,$H84,$C$5,0,$D$7)</f>
        <v>-0.72848085145134522</v>
      </c>
      <c r="J84" cm="1">
        <f t="array" ref="J84">ThetaP(J$5,$B$5,$H84,$C$5,0,$D$7)</f>
        <v>-1.2030012329085231</v>
      </c>
      <c r="K84" cm="1">
        <f t="array" ref="K84">ThetaP(K$5,$B$5,$H84,$C$5,0,$D$7)</f>
        <v>-1.6753432155154446</v>
      </c>
      <c r="L84" cm="1">
        <f t="array" ref="L84">ThetaP(L$5,$B$5,$H84,$C$5,0,$D$7)</f>
        <v>-2.1225538654733884</v>
      </c>
      <c r="M84" cm="1">
        <f t="array" ref="M84">ThetaP(M$5,$B$5,$H84,$C$5,0,$D$7)</f>
        <v>-2.5266320965736555</v>
      </c>
      <c r="N84" cm="1">
        <f t="array" ref="N84">ThetaP(N$5,$B$5,$H84,$C$5,0,$D$7)</f>
        <v>-2.8751074495600104</v>
      </c>
      <c r="O84" cm="1">
        <f t="array" ref="O84">ThetaP(O$5,$B$5,$H84,$C$5,0,$D$7)</f>
        <v>-3.1608100518105804</v>
      </c>
      <c r="P84" cm="1">
        <f t="array" ref="P84">ThetaP(P$5,$B$5,$H84,$C$5,0,$D$7)</f>
        <v>-3.3811596597435218</v>
      </c>
      <c r="Q84" cm="1">
        <f t="array" ref="Q84">ThetaP(Q$5,$B$5,$H84,$C$5,0,$D$7)</f>
        <v>-3.5372361070094316</v>
      </c>
      <c r="R84" cm="1">
        <f t="array" ref="R84">ThetaP(R$5,$B$5,$H84,$C$5,0,$D$7)</f>
        <v>-3.6328142222643902</v>
      </c>
      <c r="S84" cm="1">
        <f t="array" ref="S84">ThetaP(S$5,$B$5,$H84,$C$5,0,$D$7)</f>
        <v>-3.6734752648713878</v>
      </c>
      <c r="T84" cm="1">
        <f t="array" ref="T84">ThetaP(T$5,$B$5,$H84,$C$5,0,$D$7)</f>
        <v>-3.6658522488714533</v>
      </c>
      <c r="U84" cm="1">
        <f t="array" ref="U84">ThetaP(U$5,$B$5,$H84,$C$5,0,$D$7)</f>
        <v>-3.6170287966407884</v>
      </c>
      <c r="V84" cm="1">
        <f t="array" ref="V84">ThetaP(V$5,$B$5,$H84,$C$5,0,$D$7)</f>
        <v>-3.534087701789876</v>
      </c>
      <c r="W84" cm="1">
        <f t="array" ref="W84">ThetaP(W$5,$B$5,$H84,$C$5,0,$D$7)</f>
        <v>-3.4237925821625472</v>
      </c>
      <c r="X84" cm="1">
        <f t="array" ref="X84">ThetaP(X$5,$B$5,$H84,$C$5,0,$D$7)</f>
        <v>-3.2923804927607829</v>
      </c>
      <c r="Y84" cm="1">
        <f t="array" ref="Y84">ThetaP(Y$5,$B$5,$H84,$C$5,0,$D$7)</f>
        <v>-3.145442433657796</v>
      </c>
    </row>
    <row r="85" spans="7:25" x14ac:dyDescent="0.2">
      <c r="H85">
        <v>3</v>
      </c>
      <c r="I85" cm="1">
        <f t="array" ref="I85">ThetaP(I$5,$B$5,$H85,$C$5,0,$D$7)</f>
        <v>-0.80519020073857384</v>
      </c>
      <c r="J85" cm="1">
        <f t="array" ref="J85">ThetaP(J$5,$B$5,$H85,$C$5,0,$D$7)</f>
        <v>-1.1466693263326539</v>
      </c>
      <c r="K85" cm="1">
        <f t="array" ref="K85">ThetaP(K$5,$B$5,$H85,$C$5,0,$D$7)</f>
        <v>-1.4705513045432119</v>
      </c>
      <c r="L85" cm="1">
        <f t="array" ref="L85">ThetaP(L$5,$B$5,$H85,$C$5,0,$D$7)</f>
        <v>-1.7677980064039334</v>
      </c>
      <c r="M85" cm="1">
        <f t="array" ref="M85">ThetaP(M$5,$B$5,$H85,$C$5,0,$D$7)</f>
        <v>-2.0323126660713919</v>
      </c>
      <c r="N85" cm="1">
        <f t="array" ref="N85">ThetaP(N$5,$B$5,$H85,$C$5,0,$D$7)</f>
        <v>-2.2605887058341749</v>
      </c>
      <c r="O85" cm="1">
        <f t="array" ref="O85">ThetaP(O$5,$B$5,$H85,$C$5,0,$D$7)</f>
        <v>-2.4512545509252335</v>
      </c>
      <c r="P85" cm="1">
        <f t="array" ref="P85">ThetaP(P$5,$B$5,$H85,$C$5,0,$D$7)</f>
        <v>-2.6046017195300064</v>
      </c>
      <c r="Q85" cm="1">
        <f t="array" ref="Q85">ThetaP(Q$5,$B$5,$H85,$C$5,0,$D$7)</f>
        <v>-2.7221465901345541</v>
      </c>
      <c r="R85" cm="1">
        <f t="array" ref="R85">ThetaP(R$5,$B$5,$H85,$C$5,0,$D$7)</f>
        <v>-2.8062506527678335</v>
      </c>
      <c r="S85" cm="1">
        <f t="array" ref="S85">ThetaP(S$5,$B$5,$H85,$C$5,0,$D$7)</f>
        <v>-2.8598076379560573</v>
      </c>
      <c r="T85" cm="1">
        <f t="array" ref="T85">ThetaP(T$5,$B$5,$H85,$C$5,0,$D$7)</f>
        <v>-2.8859962248975082</v>
      </c>
      <c r="U85" cm="1">
        <f t="array" ref="U85">ThetaP(U$5,$B$5,$H85,$C$5,0,$D$7)</f>
        <v>-2.8880919117801223</v>
      </c>
      <c r="V85" cm="1">
        <f t="array" ref="V85">ThetaP(V$5,$B$5,$H85,$C$5,0,$D$7)</f>
        <v>-2.8693294395200581</v>
      </c>
      <c r="W85" cm="1">
        <f t="array" ref="W85">ThetaP(W$5,$B$5,$H85,$C$5,0,$D$7)</f>
        <v>-2.8328067253964138</v>
      </c>
      <c r="X85" cm="1">
        <f t="array" ref="X85">ThetaP(X$5,$B$5,$H85,$C$5,0,$D$7)</f>
        <v>-2.7814217990808112</v>
      </c>
      <c r="Y85" cm="1">
        <f t="array" ref="Y85">ThetaP(Y$5,$B$5,$H85,$C$5,0,$D$7)</f>
        <v>-2.7178352376732837</v>
      </c>
    </row>
    <row r="86" spans="7:25" x14ac:dyDescent="0.2">
      <c r="H86">
        <v>4</v>
      </c>
      <c r="I86" cm="1">
        <f t="array" ref="I86">ThetaP(I$5,$B$5,$H86,$C$5,0,$D$7)</f>
        <v>-0.76905069988381858</v>
      </c>
      <c r="J86" cm="1">
        <f t="array" ref="J86">ThetaP(J$5,$B$5,$H86,$C$5,0,$D$7)</f>
        <v>-1.0317010487610263</v>
      </c>
      <c r="K86" cm="1">
        <f t="array" ref="K86">ThetaP(K$5,$B$5,$H86,$C$5,0,$D$7)</f>
        <v>-1.2759164649349648</v>
      </c>
      <c r="L86" cm="1">
        <f t="array" ref="L86">ThetaP(L$5,$B$5,$H86,$C$5,0,$D$7)</f>
        <v>-1.4976810872324289</v>
      </c>
      <c r="M86" cm="1">
        <f t="array" ref="M86">ThetaP(M$5,$B$5,$H86,$C$5,0,$D$7)</f>
        <v>-1.6946561393743633</v>
      </c>
      <c r="N86" cm="1">
        <f t="array" ref="N86">ThetaP(N$5,$B$5,$H86,$C$5,0,$D$7)</f>
        <v>-1.8658443642124967</v>
      </c>
      <c r="O86" cm="1">
        <f t="array" ref="O86">ThetaP(O$5,$B$5,$H86,$C$5,0,$D$7)</f>
        <v>-2.0112755094243693</v>
      </c>
      <c r="P86" cm="1">
        <f t="array" ref="P86">ThetaP(P$5,$B$5,$H86,$C$5,0,$D$7)</f>
        <v>-2.1317316943066627</v>
      </c>
      <c r="Q86" cm="1">
        <f t="array" ref="Q86">ThetaP(Q$5,$B$5,$H86,$C$5,0,$D$7)</f>
        <v>-2.2285187434990523</v>
      </c>
      <c r="R86" cm="1">
        <f t="array" ref="R86">ThetaP(R$5,$B$5,$H86,$C$5,0,$D$7)</f>
        <v>-2.3032825113989097</v>
      </c>
      <c r="S86" cm="1">
        <f t="array" ref="S86">ThetaP(S$5,$B$5,$H86,$C$5,0,$D$7)</f>
        <v>-2.3578657195782142</v>
      </c>
      <c r="T86" cm="1">
        <f t="array" ref="T86">ThetaP(T$5,$B$5,$H86,$C$5,0,$D$7)</f>
        <v>-2.3941994490039624</v>
      </c>
      <c r="U86" cm="1">
        <f t="array" ref="U86">ThetaP(U$5,$B$5,$H86,$C$5,0,$D$7)</f>
        <v>-2.414223239923341</v>
      </c>
      <c r="V86" cm="1">
        <f t="array" ref="V86">ThetaP(V$5,$B$5,$H86,$C$5,0,$D$7)</f>
        <v>-2.4198281787537801</v>
      </c>
      <c r="W86" cm="1">
        <f t="array" ref="W86">ThetaP(W$5,$B$5,$H86,$C$5,0,$D$7)</f>
        <v>-2.4128180498564289</v>
      </c>
      <c r="X86" cm="1">
        <f t="array" ref="X86">ThetaP(X$5,$B$5,$H86,$C$5,0,$D$7)</f>
        <v>-2.3948844053246963</v>
      </c>
      <c r="Y86" cm="1">
        <f t="array" ref="Y86">ThetaP(Y$5,$B$5,$H86,$C$5,0,$D$7)</f>
        <v>-2.3675921537864788</v>
      </c>
    </row>
    <row r="87" spans="7:25" x14ac:dyDescent="0.2">
      <c r="H87">
        <v>5</v>
      </c>
      <c r="I87" cm="1">
        <f t="array" ref="I87">ThetaP(I$5,$B$5,$H87,$C$5,0,$D$7)</f>
        <v>-0.70409049750741104</v>
      </c>
      <c r="J87" cm="1">
        <f t="array" ref="J87">ThetaP(J$5,$B$5,$H87,$C$5,0,$D$7)</f>
        <v>-0.91632554438580383</v>
      </c>
      <c r="K87" cm="1">
        <f t="array" ref="K87">ThetaP(K$5,$B$5,$H87,$C$5,0,$D$7)</f>
        <v>-1.1118425455335785</v>
      </c>
      <c r="L87" cm="1">
        <f t="array" ref="L87">ThetaP(L$5,$B$5,$H87,$C$5,0,$D$7)</f>
        <v>-1.2887771654515991</v>
      </c>
      <c r="M87" cm="1">
        <f t="array" ref="M87">ThetaP(M$5,$B$5,$H87,$C$5,0,$D$7)</f>
        <v>-1.4462686084660121</v>
      </c>
      <c r="N87" cm="1">
        <f t="array" ref="N87">ThetaP(N$5,$B$5,$H87,$C$5,0,$D$7)</f>
        <v>-1.5842125875291471</v>
      </c>
      <c r="O87" cm="1">
        <f t="array" ref="O87">ThetaP(O$5,$B$5,$H87,$C$5,0,$D$7)</f>
        <v>-1.7030546623496168</v>
      </c>
      <c r="P87" cm="1">
        <f t="array" ref="P87">ThetaP(P$5,$B$5,$H87,$C$5,0,$D$7)</f>
        <v>-1.8036234304587402</v>
      </c>
      <c r="Q87" cm="1">
        <f t="array" ref="Q87">ThetaP(Q$5,$B$5,$H87,$C$5,0,$D$7)</f>
        <v>-1.8869995180110823</v>
      </c>
      <c r="R87" cm="1">
        <f t="array" ref="R87">ThetaP(R$5,$B$5,$H87,$C$5,0,$D$7)</f>
        <v>-1.954415040157097</v>
      </c>
      <c r="S87" cm="1">
        <f t="array" ref="S87">ThetaP(S$5,$B$5,$H87,$C$5,0,$D$7)</f>
        <v>-2.0071781022805482</v>
      </c>
      <c r="T87" cm="1">
        <f t="array" ref="T87">ThetaP(T$5,$B$5,$H87,$C$5,0,$D$7)</f>
        <v>-2.0466173747166261</v>
      </c>
      <c r="U87" cm="1">
        <f t="array" ref="U87">ThetaP(U$5,$B$5,$H87,$C$5,0,$D$7)</f>
        <v>-2.0740424534921966</v>
      </c>
      <c r="V87" cm="1">
        <f t="array" ref="V87">ThetaP(V$5,$B$5,$H87,$C$5,0,$D$7)</f>
        <v>-2.090716438781818</v>
      </c>
      <c r="W87" cm="1">
        <f t="array" ref="W87">ThetaP(W$5,$B$5,$H87,$C$5,0,$D$7)</f>
        <v>-2.0978378339682644</v>
      </c>
      <c r="X87" cm="1">
        <f t="array" ref="X87">ThetaP(X$5,$B$5,$H87,$C$5,0,$D$7)</f>
        <v>-2.0965294552196876</v>
      </c>
      <c r="Y87" cm="1">
        <f t="array" ref="Y87">ThetaP(Y$5,$B$5,$H87,$C$5,0,$D$7)</f>
        <v>-2.0878325351714007</v>
      </c>
    </row>
    <row r="89" spans="7:25" x14ac:dyDescent="0.2">
      <c r="I89">
        <v>60</v>
      </c>
      <c r="J89">
        <v>65</v>
      </c>
      <c r="K89">
        <v>70</v>
      </c>
      <c r="L89">
        <v>75</v>
      </c>
      <c r="M89">
        <v>80</v>
      </c>
      <c r="N89">
        <v>85</v>
      </c>
      <c r="O89">
        <v>90</v>
      </c>
      <c r="P89">
        <v>95</v>
      </c>
      <c r="Q89">
        <v>100</v>
      </c>
      <c r="R89">
        <v>105</v>
      </c>
      <c r="S89">
        <v>110</v>
      </c>
      <c r="T89">
        <v>115</v>
      </c>
      <c r="U89">
        <v>120</v>
      </c>
      <c r="V89">
        <v>125</v>
      </c>
      <c r="W89">
        <v>130</v>
      </c>
      <c r="X89">
        <v>135</v>
      </c>
      <c r="Y89">
        <v>140</v>
      </c>
    </row>
    <row r="90" spans="7:25" x14ac:dyDescent="0.2">
      <c r="H90">
        <v>0.1</v>
      </c>
      <c r="I90" cm="1">
        <f t="array" ref="I90">RhoP(I$5,$B$5,$H90,$C$5,0,$D$7)</f>
        <v>-9.9900047030714276</v>
      </c>
      <c r="J90" cm="1">
        <f t="array" ref="J90">RhoP(J$5,$B$5,$H90,$C$5,0,$D$7)</f>
        <v>-9.9899815209394234</v>
      </c>
      <c r="K90" cm="1">
        <f t="array" ref="K90">RhoP(K$5,$B$5,$H90,$C$5,0,$D$7)</f>
        <v>-9.9892721932446804</v>
      </c>
      <c r="L90" cm="1">
        <f t="array" ref="L90">RhoP(L$5,$B$5,$H90,$C$5,0,$D$7)</f>
        <v>-9.9792886943120109</v>
      </c>
      <c r="M90" cm="1">
        <f t="array" ref="M90">RhoP(M$5,$B$5,$H90,$C$5,0,$D$7)</f>
        <v>-9.9056254487734439</v>
      </c>
      <c r="N90" cm="1">
        <f t="array" ref="N90">RhoP(N$5,$B$5,$H90,$C$5,0,$D$7)</f>
        <v>-9.5898079367803177</v>
      </c>
      <c r="O90" cm="1">
        <f t="array" ref="O90">RhoP(O$5,$B$5,$H90,$C$5,0,$D$7)</f>
        <v>-8.7353656633138801</v>
      </c>
      <c r="P90" cm="1">
        <f t="array" ref="P90">RhoP(P$5,$B$5,$H90,$C$5,0,$D$7)</f>
        <v>-7.1750558994645957</v>
      </c>
      <c r="Q90" cm="1">
        <f t="array" ref="Q90">RhoP(Q$5,$B$5,$H90,$C$5,0,$D$7)</f>
        <v>-5.1420047719604014</v>
      </c>
      <c r="R90" cm="1">
        <f t="array" ref="R90">RhoP(R$5,$B$5,$H90,$C$5,0,$D$7)</f>
        <v>-3.1622218849540329</v>
      </c>
      <c r="S90" cm="1">
        <f t="array" ref="S90">RhoP(S$5,$B$5,$H90,$C$5,0,$D$7)</f>
        <v>-1.6641455853283134</v>
      </c>
      <c r="T90" cm="1">
        <f t="array" ref="T90">RhoP(T$5,$B$5,$H90,$C$5,0,$D$7)</f>
        <v>-0.75379242114053902</v>
      </c>
      <c r="U90" cm="1">
        <f t="array" ref="U90">RhoP(U$5,$B$5,$H90,$C$5,0,$D$7)</f>
        <v>-0.29688947395648652</v>
      </c>
      <c r="V90" cm="1">
        <f t="array" ref="V90">RhoP(V$5,$B$5,$H90,$C$5,0,$D$7)</f>
        <v>-0.10289433281621699</v>
      </c>
      <c r="W90" cm="1">
        <f t="array" ref="W90">RhoP(W$5,$B$5,$H90,$C$5,0,$D$7)</f>
        <v>-3.1763475348564357E-2</v>
      </c>
      <c r="X90" cm="1">
        <f t="array" ref="X90">RhoP(X$5,$B$5,$H90,$C$5,0,$D$7)</f>
        <v>-8.8365776347315104E-3</v>
      </c>
      <c r="Y90" cm="1">
        <f t="array" ref="Y90">RhoP(Y$5,$B$5,$H90,$C$5,0,$D$7)</f>
        <v>-2.2396787586628024E-3</v>
      </c>
    </row>
    <row r="91" spans="7:25" x14ac:dyDescent="0.2">
      <c r="G91" t="s">
        <v>49</v>
      </c>
      <c r="H91">
        <v>0.2</v>
      </c>
      <c r="I91" cm="1">
        <f t="array" ref="I91">RhoP(I$5,$B$5,$H91,$C$5,0,$D$7)</f>
        <v>-19.958906720312346</v>
      </c>
      <c r="J91" cm="1">
        <f t="array" ref="J91">RhoP(J$5,$B$5,$H91,$C$5,0,$D$7)</f>
        <v>-19.949039646523602</v>
      </c>
      <c r="K91" cm="1">
        <f t="array" ref="K91">RhoP(K$5,$B$5,$H91,$C$5,0,$D$7)</f>
        <v>-19.893027320196222</v>
      </c>
      <c r="L91" cm="1">
        <f t="array" ref="L91">RhoP(L$5,$B$5,$H91,$C$5,0,$D$7)</f>
        <v>-19.679989179304897</v>
      </c>
      <c r="M91" cm="1">
        <f t="array" ref="M91">RhoP(M$5,$B$5,$H91,$C$5,0,$D$7)</f>
        <v>-19.099023964378901</v>
      </c>
      <c r="N91" cm="1">
        <f t="array" ref="N91">RhoP(N$5,$B$5,$H91,$C$5,0,$D$7)</f>
        <v>-17.900138464702653</v>
      </c>
      <c r="O91" cm="1">
        <f t="array" ref="O91">RhoP(O$5,$B$5,$H91,$C$5,0,$D$7)</f>
        <v>-15.944882974268877</v>
      </c>
      <c r="P91" cm="1">
        <f t="array" ref="P91">RhoP(P$5,$B$5,$H91,$C$5,0,$D$7)</f>
        <v>-13.333997377192361</v>
      </c>
      <c r="Q91" cm="1">
        <f t="array" ref="Q91">RhoP(Q$5,$B$5,$H91,$C$5,0,$D$7)</f>
        <v>-10.395295434007169</v>
      </c>
      <c r="R91" cm="1">
        <f t="array" ref="R91">RhoP(R$5,$B$5,$H91,$C$5,0,$D$7)</f>
        <v>-7.5392221644094572</v>
      </c>
      <c r="S91" cm="1">
        <f t="array" ref="S91">RhoP(S$5,$B$5,$H91,$C$5,0,$D$7)</f>
        <v>-5.0937365645645345</v>
      </c>
      <c r="T91" cm="1">
        <f t="array" ref="T91">RhoP(T$5,$B$5,$H91,$C$5,0,$D$7)</f>
        <v>-3.217504179638051</v>
      </c>
      <c r="U91" cm="1">
        <f t="array" ref="U91">RhoP(U$5,$B$5,$H91,$C$5,0,$D$7)</f>
        <v>-1.909087290644865</v>
      </c>
      <c r="V91" cm="1">
        <f t="array" ref="V91">RhoP(V$5,$B$5,$H91,$C$5,0,$D$7)</f>
        <v>-1.0695711321091932</v>
      </c>
      <c r="W91" cm="1">
        <f t="array" ref="W91">RhoP(W$5,$B$5,$H91,$C$5,0,$D$7)</f>
        <v>-0.56878041459199835</v>
      </c>
      <c r="X91" cm="1">
        <f t="array" ref="X91">RhoP(X$5,$B$5,$H91,$C$5,0,$D$7)</f>
        <v>-0.28855089414024354</v>
      </c>
      <c r="Y91" cm="1">
        <f t="array" ref="Y91">RhoP(Y$5,$B$5,$H91,$C$5,0,$D$7)</f>
        <v>-0.14031351479492518</v>
      </c>
    </row>
    <row r="92" spans="7:25" x14ac:dyDescent="0.2">
      <c r="H92">
        <v>0.3</v>
      </c>
      <c r="I92" cm="1">
        <f t="array" ref="I92">RhoP(I$5,$B$5,$H92,$C$5,0,$D$7)</f>
        <v>-29.887547417898265</v>
      </c>
      <c r="J92" cm="1">
        <f t="array" ref="J92">RhoP(J$5,$B$5,$H92,$C$5,0,$D$7)</f>
        <v>-29.80184840206001</v>
      </c>
      <c r="K92" cm="1">
        <f t="array" ref="K92">RhoP(K$5,$B$5,$H92,$C$5,0,$D$7)</f>
        <v>-29.529580115074584</v>
      </c>
      <c r="L92" cm="1">
        <f t="array" ref="L92">RhoP(L$5,$B$5,$H92,$C$5,0,$D$7)</f>
        <v>-28.869660557168263</v>
      </c>
      <c r="M92" cm="1">
        <f t="array" ref="M92">RhoP(M$5,$B$5,$H92,$C$5,0,$D$7)</f>
        <v>-27.591313342368476</v>
      </c>
      <c r="N92" cm="1">
        <f t="array" ref="N92">RhoP(N$5,$B$5,$H92,$C$5,0,$D$7)</f>
        <v>-25.537879201417176</v>
      </c>
      <c r="O92" cm="1">
        <f t="array" ref="O92">RhoP(O$5,$B$5,$H92,$C$5,0,$D$7)</f>
        <v>-22.720559225843822</v>
      </c>
      <c r="P92" cm="1">
        <f t="array" ref="P92">RhoP(P$5,$B$5,$H92,$C$5,0,$D$7)</f>
        <v>-19.338834480645485</v>
      </c>
      <c r="Q92" cm="1">
        <f t="array" ref="Q92">RhoP(Q$5,$B$5,$H92,$C$5,0,$D$7)</f>
        <v>-15.717041819193842</v>
      </c>
      <c r="R92" cm="1">
        <f t="array" ref="R92">RhoP(R$5,$B$5,$H92,$C$5,0,$D$7)</f>
        <v>-12.199458879506277</v>
      </c>
      <c r="S92" cm="1">
        <f t="array" ref="S92">RhoP(S$5,$B$5,$H92,$C$5,0,$D$7)</f>
        <v>-9.0591488575332875</v>
      </c>
      <c r="T92" cm="1">
        <f t="array" ref="T92">RhoP(T$5,$B$5,$H92,$C$5,0,$D$7)</f>
        <v>-6.4527989326634039</v>
      </c>
      <c r="U92" cm="1">
        <f t="array" ref="U92">RhoP(U$5,$B$5,$H92,$C$5,0,$D$7)</f>
        <v>-4.4223954983262015</v>
      </c>
      <c r="V92" cm="1">
        <f t="array" ref="V92">RhoP(V$5,$B$5,$H92,$C$5,0,$D$7)</f>
        <v>-2.9256345887026747</v>
      </c>
      <c r="W92" cm="1">
        <f t="array" ref="W92">RhoP(W$5,$B$5,$H92,$C$5,0,$D$7)</f>
        <v>-1.8742566154243019</v>
      </c>
      <c r="X92" cm="1">
        <f t="array" ref="X92">RhoP(X$5,$B$5,$H92,$C$5,0,$D$7)</f>
        <v>-1.1663257841904269</v>
      </c>
      <c r="Y92" cm="1">
        <f t="array" ref="Y92">RhoP(Y$5,$B$5,$H92,$C$5,0,$D$7)</f>
        <v>-0.70704134141144293</v>
      </c>
    </row>
    <row r="93" spans="7:25" x14ac:dyDescent="0.2">
      <c r="H93">
        <v>0.4</v>
      </c>
      <c r="I93" cm="1">
        <f t="array" ref="I93">RhoP(I$5,$B$5,$H93,$C$5,0,$D$7)</f>
        <v>-39.727301203731983</v>
      </c>
      <c r="J93" cm="1">
        <f t="array" ref="J93">RhoP(J$5,$B$5,$H93,$C$5,0,$D$7)</f>
        <v>-39.460495109785846</v>
      </c>
      <c r="K93" cm="1">
        <f t="array" ref="K93">RhoP(K$5,$B$5,$H93,$C$5,0,$D$7)</f>
        <v>-38.829467704337567</v>
      </c>
      <c r="L93" cm="1">
        <f t="array" ref="L93">RhoP(L$5,$B$5,$H93,$C$5,0,$D$7)</f>
        <v>-37.612570933400946</v>
      </c>
      <c r="M93" cm="1">
        <f t="array" ref="M93">RhoP(M$5,$B$5,$H93,$C$5,0,$D$7)</f>
        <v>-35.630152749774361</v>
      </c>
      <c r="N93" cm="1">
        <f t="array" ref="N93">RhoP(N$5,$B$5,$H93,$C$5,0,$D$7)</f>
        <v>-32.824500784124311</v>
      </c>
      <c r="O93" cm="1">
        <f t="array" ref="O93">RhoP(O$5,$B$5,$H93,$C$5,0,$D$7)</f>
        <v>-29.296712274180511</v>
      </c>
      <c r="P93" cm="1">
        <f t="array" ref="P93">RhoP(P$5,$B$5,$H93,$C$5,0,$D$7)</f>
        <v>-25.283630479182271</v>
      </c>
      <c r="Q93" cm="1">
        <f t="array" ref="Q93">RhoP(Q$5,$B$5,$H93,$C$5,0,$D$7)</f>
        <v>-21.091857886389079</v>
      </c>
      <c r="R93" cm="1">
        <f t="array" ref="R93">RhoP(R$5,$B$5,$H93,$C$5,0,$D$7)</f>
        <v>-17.022082337465495</v>
      </c>
      <c r="S93" cm="1">
        <f t="array" ref="S93">RhoP(S$5,$B$5,$H93,$C$5,0,$D$7)</f>
        <v>-13.311773507029775</v>
      </c>
      <c r="T93" cm="1">
        <f t="array" ref="T93">RhoP(T$5,$B$5,$H93,$C$5,0,$D$7)</f>
        <v>-10.108355896176427</v>
      </c>
      <c r="U93" cm="1">
        <f t="array" ref="U93">RhoP(U$5,$B$5,$H93,$C$5,0,$D$7)</f>
        <v>-7.4702107031297329</v>
      </c>
      <c r="V93" cm="1">
        <f t="array" ref="V93">RhoP(V$5,$B$5,$H93,$C$5,0,$D$7)</f>
        <v>-5.3851866590454209</v>
      </c>
      <c r="W93" cm="1">
        <f t="array" ref="W93">RhoP(W$5,$B$5,$H93,$C$5,0,$D$7)</f>
        <v>-3.7955110917255102</v>
      </c>
      <c r="X93" cm="1">
        <f t="array" ref="X93">RhoP(X$5,$B$5,$H93,$C$5,0,$D$7)</f>
        <v>-2.6210787015647563</v>
      </c>
      <c r="Y93" cm="1">
        <f t="array" ref="Y93">RhoP(Y$5,$B$5,$H93,$C$5,0,$D$7)</f>
        <v>-1.7770843695835294</v>
      </c>
    </row>
    <row r="94" spans="7:25" x14ac:dyDescent="0.2">
      <c r="H94">
        <v>0.5</v>
      </c>
      <c r="I94" cm="1">
        <f t="array" ref="I94">RhoP(I$5,$B$5,$H94,$C$5,0,$D$7)</f>
        <v>-49.433351210635081</v>
      </c>
      <c r="J94" cm="1">
        <f t="array" ref="J94">RhoP(J$5,$B$5,$H94,$C$5,0,$D$7)</f>
        <v>-48.890399982000055</v>
      </c>
      <c r="K94" cm="1">
        <f t="array" ref="K94">RhoP(K$5,$B$5,$H94,$C$5,0,$D$7)</f>
        <v>-47.816504058929119</v>
      </c>
      <c r="L94" cm="1">
        <f t="array" ref="L94">RhoP(L$5,$B$5,$H94,$C$5,0,$D$7)</f>
        <v>-46.013059686234932</v>
      </c>
      <c r="M94" cm="1">
        <f t="array" ref="M94">RhoP(M$5,$B$5,$H94,$C$5,0,$D$7)</f>
        <v>-43.367000036610236</v>
      </c>
      <c r="N94" cm="1">
        <f t="array" ref="N94">RhoP(N$5,$B$5,$H94,$C$5,0,$D$7)</f>
        <v>-39.89765623363617</v>
      </c>
      <c r="O94" cm="1">
        <f t="array" ref="O94">RhoP(O$5,$B$5,$H94,$C$5,0,$D$7)</f>
        <v>-35.758896429098662</v>
      </c>
      <c r="P94" cm="1">
        <f t="array" ref="P94">RhoP(P$5,$B$5,$H94,$C$5,0,$D$7)</f>
        <v>-31.200732377082804</v>
      </c>
      <c r="Q94" cm="1">
        <f t="array" ref="Q94">RhoP(Q$5,$B$5,$H94,$C$5,0,$D$7)</f>
        <v>-26.51080242202806</v>
      </c>
      <c r="R94" cm="1">
        <f t="array" ref="R94">RhoP(R$5,$B$5,$H94,$C$5,0,$D$7)</f>
        <v>-21.958303940413394</v>
      </c>
      <c r="S94" cm="1">
        <f t="array" ref="S94">RhoP(S$5,$B$5,$H94,$C$5,0,$D$7)</f>
        <v>-17.755193759705694</v>
      </c>
      <c r="T94" cm="1">
        <f t="array" ref="T94">RhoP(T$5,$B$5,$H94,$C$5,0,$D$7)</f>
        <v>-14.039122756068322</v>
      </c>
      <c r="U94" cm="1">
        <f t="array" ref="U94">RhoP(U$5,$B$5,$H94,$C$5,0,$D$7)</f>
        <v>-10.874809064143808</v>
      </c>
      <c r="V94" cm="1">
        <f t="array" ref="V94">RhoP(V$5,$B$5,$H94,$C$5,0,$D$7)</f>
        <v>-8.2670405339206496</v>
      </c>
      <c r="W94" cm="1">
        <f t="array" ref="W94">RhoP(W$5,$B$5,$H94,$C$5,0,$D$7)</f>
        <v>-6.1784478908191653</v>
      </c>
      <c r="X94" cm="1">
        <f t="array" ref="X94">RhoP(X$5,$B$5,$H94,$C$5,0,$D$7)</f>
        <v>-4.5469811740087032</v>
      </c>
      <c r="Y94" cm="1">
        <f t="array" ref="Y94">RhoP(Y$5,$B$5,$H94,$C$5,0,$D$7)</f>
        <v>-3.300248120287566</v>
      </c>
    </row>
    <row r="95" spans="7:25" x14ac:dyDescent="0.2">
      <c r="H95">
        <v>0.6</v>
      </c>
      <c r="I95" cm="1">
        <f t="array" ref="I95">RhoP(I$5,$B$5,$H95,$C$5,0,$D$7)</f>
        <v>-58.981988989516651</v>
      </c>
      <c r="J95" cm="1">
        <f t="array" ref="J95">RhoP(J$5,$B$5,$H95,$C$5,0,$D$7)</f>
        <v>-58.094117623133862</v>
      </c>
      <c r="K95" cm="1">
        <f t="array" ref="K95">RhoP(K$5,$B$5,$H95,$C$5,0,$D$7)</f>
        <v>-56.536508987617061</v>
      </c>
      <c r="L95" cm="1">
        <f t="array" ref="L95">RhoP(L$5,$B$5,$H95,$C$5,0,$D$7)</f>
        <v>-54.152295085709461</v>
      </c>
      <c r="M95" cm="1">
        <f t="array" ref="M95">RhoP(M$5,$B$5,$H95,$C$5,0,$D$7)</f>
        <v>-50.890833069967684</v>
      </c>
      <c r="N95" cm="1">
        <f t="array" ref="N95">RhoP(N$5,$B$5,$H95,$C$5,0,$D$7)</f>
        <v>-46.827795145290693</v>
      </c>
      <c r="O95" cm="1">
        <f t="array" ref="O95">RhoP(O$5,$B$5,$H95,$C$5,0,$D$7)</f>
        <v>-42.148338138168448</v>
      </c>
      <c r="P95" cm="1">
        <f t="array" ref="P95">RhoP(P$5,$B$5,$H95,$C$5,0,$D$7)</f>
        <v>-37.104981227197861</v>
      </c>
      <c r="Q95" cm="1">
        <f t="array" ref="Q95">RhoP(Q$5,$B$5,$H95,$C$5,0,$D$7)</f>
        <v>-31.967811425022305</v>
      </c>
      <c r="R95" cm="1">
        <f t="array" ref="R95">RhoP(R$5,$B$5,$H95,$C$5,0,$D$7)</f>
        <v>-26.981864563056945</v>
      </c>
      <c r="S95" cm="1">
        <f t="array" ref="S95">RhoP(S$5,$B$5,$H95,$C$5,0,$D$7)</f>
        <v>-22.339610469459533</v>
      </c>
      <c r="T95" cm="1">
        <f t="array" ref="T95">RhoP(T$5,$B$5,$H95,$C$5,0,$D$7)</f>
        <v>-18.169714673388679</v>
      </c>
      <c r="U95" cm="1">
        <f t="array" ref="U95">RhoP(U$5,$B$5,$H95,$C$5,0,$D$7)</f>
        <v>-14.538880066773128</v>
      </c>
      <c r="V95" cm="1">
        <f t="array" ref="V95">RhoP(V$5,$B$5,$H95,$C$5,0,$D$7)</f>
        <v>-11.461881193040135</v>
      </c>
      <c r="W95" cm="1">
        <f t="array" ref="W95">RhoP(W$5,$B$5,$H95,$C$5,0,$D$7)</f>
        <v>-8.9151454622707469</v>
      </c>
      <c r="X95" cm="1">
        <f t="array" ref="X95">RhoP(X$5,$B$5,$H95,$C$5,0,$D$7)</f>
        <v>-6.8504379043218835</v>
      </c>
      <c r="Y95" cm="1">
        <f t="array" ref="Y95">RhoP(Y$5,$B$5,$H95,$C$5,0,$D$7)</f>
        <v>-5.2066109365743571</v>
      </c>
    </row>
    <row r="96" spans="7:25" x14ac:dyDescent="0.2">
      <c r="H96">
        <v>0.7</v>
      </c>
      <c r="I96" cm="1">
        <f t="array" ref="I96">RhoP(I$5,$B$5,$H96,$C$5,0,$D$7)</f>
        <v>-68.366780363485475</v>
      </c>
      <c r="J96" cm="1">
        <f t="array" ref="J96">RhoP(J$5,$B$5,$H96,$C$5,0,$D$7)</f>
        <v>-67.089416355798889</v>
      </c>
      <c r="K96" cm="1">
        <f t="array" ref="K96">RhoP(K$5,$B$5,$H96,$C$5,0,$D$7)</f>
        <v>-65.033286603069058</v>
      </c>
      <c r="L96" cm="1">
        <f t="array" ref="L96">RhoP(L$5,$B$5,$H96,$C$5,0,$D$7)</f>
        <v>-62.088320880276157</v>
      </c>
      <c r="M96" cm="1">
        <f t="array" ref="M96">RhoP(M$5,$B$5,$H96,$C$5,0,$D$7)</f>
        <v>-58.257023016842247</v>
      </c>
      <c r="N96" cm="1">
        <f t="array" ref="N96">RhoP(N$5,$B$5,$H96,$C$5,0,$D$7)</f>
        <v>-53.655724320155244</v>
      </c>
      <c r="O96" cm="1">
        <f t="array" ref="O96">RhoP(O$5,$B$5,$H96,$C$5,0,$D$7)</f>
        <v>-48.488129083332396</v>
      </c>
      <c r="P96" cm="1">
        <f t="array" ref="P96">RhoP(P$5,$B$5,$H96,$C$5,0,$D$7)</f>
        <v>-43.004230654885539</v>
      </c>
      <c r="Q96" cm="1">
        <f t="array" ref="Q96">RhoP(Q$5,$B$5,$H96,$C$5,0,$D$7)</f>
        <v>-37.458411170844059</v>
      </c>
      <c r="R96" cm="1">
        <f t="array" ref="R96">RhoP(R$5,$B$5,$H96,$C$5,0,$D$7)</f>
        <v>-32.07637400813222</v>
      </c>
      <c r="S96" cm="1">
        <f t="array" ref="S96">RhoP(S$5,$B$5,$H96,$C$5,0,$D$7)</f>
        <v>-27.035040597686351</v>
      </c>
      <c r="T96" cm="1">
        <f t="array" ref="T96">RhoP(T$5,$B$5,$H96,$C$5,0,$D$7)</f>
        <v>-22.455066198211746</v>
      </c>
      <c r="U96" cm="1">
        <f t="array" ref="U96">RhoP(U$5,$B$5,$H96,$C$5,0,$D$7)</f>
        <v>-18.403073516187138</v>
      </c>
      <c r="V96" cm="1">
        <f t="array" ref="V96">RhoP(V$5,$B$5,$H96,$C$5,0,$D$7)</f>
        <v>-14.899902887802657</v>
      </c>
      <c r="W96" cm="1">
        <f t="array" ref="W96">RhoP(W$5,$B$5,$H96,$C$5,0,$D$7)</f>
        <v>-11.93152827586785</v>
      </c>
      <c r="X96" cm="1">
        <f t="array" ref="X96">RhoP(X$5,$B$5,$H96,$C$5,0,$D$7)</f>
        <v>-9.4601690411796859</v>
      </c>
      <c r="Y96" cm="1">
        <f t="array" ref="Y96">RhoP(Y$5,$B$5,$H96,$C$5,0,$D$7)</f>
        <v>-7.4340926919874715</v>
      </c>
    </row>
    <row r="97" spans="8:25" x14ac:dyDescent="0.2">
      <c r="H97">
        <v>0.8</v>
      </c>
      <c r="I97" cm="1">
        <f t="array" ref="I97">RhoP(I$5,$B$5,$H97,$C$5,0,$D$7)</f>
        <v>-77.591406824195047</v>
      </c>
      <c r="J97" cm="1">
        <f t="array" ref="J97">RhoP(J$5,$B$5,$H97,$C$5,0,$D$7)</f>
        <v>-75.898139189468822</v>
      </c>
      <c r="K97" cm="1">
        <f t="array" ref="K97">RhoP(K$5,$B$5,$H97,$C$5,0,$D$7)</f>
        <v>-73.343428698687674</v>
      </c>
      <c r="L97" cm="1">
        <f t="array" ref="L97">RhoP(L$5,$B$5,$H97,$C$5,0,$D$7)</f>
        <v>-69.862694084171665</v>
      </c>
      <c r="M97" cm="1">
        <f t="array" ref="M97">RhoP(M$5,$B$5,$H97,$C$5,0,$D$7)</f>
        <v>-65.502063668732958</v>
      </c>
      <c r="N97" cm="1">
        <f t="array" ref="N97">RhoP(N$5,$B$5,$H97,$C$5,0,$D$7)</f>
        <v>-60.407187755530899</v>
      </c>
      <c r="O97" cm="1">
        <f t="array" ref="O97">RhoP(O$5,$B$5,$H97,$C$5,0,$D$7)</f>
        <v>-54.792489416524297</v>
      </c>
      <c r="P97" cm="1">
        <f t="array" ref="P97">RhoP(P$5,$B$5,$H97,$C$5,0,$D$7)</f>
        <v>-48.902993481693983</v>
      </c>
      <c r="Q97" cm="1">
        <f t="array" ref="Q97">RhoP(Q$5,$B$5,$H97,$C$5,0,$D$7)</f>
        <v>-42.979118922043497</v>
      </c>
      <c r="R97" cm="1">
        <f t="array" ref="R97">RhoP(R$5,$B$5,$H97,$C$5,0,$D$7)</f>
        <v>-37.230616861503464</v>
      </c>
      <c r="S97" cm="1">
        <f t="array" ref="S97">RhoP(S$5,$B$5,$H97,$C$5,0,$D$7)</f>
        <v>-31.821602385224949</v>
      </c>
      <c r="T97" cm="1">
        <f t="array" ref="T97">RhoP(T$5,$B$5,$H97,$C$5,0,$D$7)</f>
        <v>-26.865623644703923</v>
      </c>
      <c r="U97" cm="1">
        <f t="array" ref="U97">RhoP(U$5,$B$5,$H97,$C$5,0,$D$7)</f>
        <v>-22.428193300019537</v>
      </c>
      <c r="V97" cm="1">
        <f t="array" ref="V97">RhoP(V$5,$B$5,$H97,$C$5,0,$D$7)</f>
        <v>-18.533873828520893</v>
      </c>
      <c r="W97" cm="1">
        <f t="array" ref="W97">RhoP(W$5,$B$5,$H97,$C$5,0,$D$7)</f>
        <v>-15.175389567661915</v>
      </c>
      <c r="X97" cm="1">
        <f t="array" ref="X97">RhoP(X$5,$B$5,$H97,$C$5,0,$D$7)</f>
        <v>-12.322920074328623</v>
      </c>
      <c r="Y97" cm="1">
        <f t="array" ref="Y97">RhoP(Y$5,$B$5,$H97,$C$5,0,$D$7)</f>
        <v>-9.9324338308932525</v>
      </c>
    </row>
    <row r="98" spans="8:25" x14ac:dyDescent="0.2">
      <c r="H98">
        <v>0.9</v>
      </c>
      <c r="I98" cm="1">
        <f t="array" ref="I98">RhoP(I$5,$B$5,$H98,$C$5,0,$D$7)</f>
        <v>-86.664540920771529</v>
      </c>
      <c r="J98" cm="1">
        <f t="array" ref="J98">RhoP(J$5,$B$5,$H98,$C$5,0,$D$7)</f>
        <v>-84.541627587568698</v>
      </c>
      <c r="K98" cm="1">
        <f t="array" ref="K98">RhoP(K$5,$B$5,$H98,$C$5,0,$D$7)</f>
        <v>-81.496374700015892</v>
      </c>
      <c r="L98" cm="1">
        <f t="array" ref="L98">RhoP(L$5,$B$5,$H98,$C$5,0,$D$7)</f>
        <v>-77.505757645217741</v>
      </c>
      <c r="M98" cm="1">
        <f t="array" ref="M98">RhoP(M$5,$B$5,$H98,$C$5,0,$D$7)</f>
        <v>-72.651182904195082</v>
      </c>
      <c r="N98" cm="1">
        <f t="array" ref="N98">RhoP(N$5,$B$5,$H98,$C$5,0,$D$7)</f>
        <v>-67.099459943799786</v>
      </c>
      <c r="O98" cm="1">
        <f t="array" ref="O98">RhoP(O$5,$B$5,$H98,$C$5,0,$D$7)</f>
        <v>-61.070764584295283</v>
      </c>
      <c r="P98" cm="1">
        <f t="array" ref="P98">RhoP(P$5,$B$5,$H98,$C$5,0,$D$7)</f>
        <v>-54.803992710897987</v>
      </c>
      <c r="Q98" cm="1">
        <f t="array" ref="Q98">RhoP(Q$5,$B$5,$H98,$C$5,0,$D$7)</f>
        <v>-48.527119824799549</v>
      </c>
      <c r="R98" cm="1">
        <f t="array" ref="R98">RhoP(R$5,$B$5,$H98,$C$5,0,$D$7)</f>
        <v>-42.436420601664423</v>
      </c>
      <c r="S98" cm="1">
        <f t="array" ref="S98">RhoP(S$5,$B$5,$H98,$C$5,0,$D$7)</f>
        <v>-36.685204488746514</v>
      </c>
      <c r="T98" cm="1">
        <f t="array" ref="T98">RhoP(T$5,$B$5,$H98,$C$5,0,$D$7)</f>
        <v>-31.380692898533173</v>
      </c>
      <c r="U98" cm="1">
        <f t="array" ref="U98">RhoP(U$5,$B$5,$H98,$C$5,0,$D$7)</f>
        <v>-26.586768500550551</v>
      </c>
      <c r="V98" cm="1">
        <f t="array" ref="V98">RhoP(V$5,$B$5,$H98,$C$5,0,$D$7)</f>
        <v>-22.330249044173474</v>
      </c>
      <c r="W98" cm="1">
        <f t="array" ref="W98">RhoP(W$5,$B$5,$H98,$C$5,0,$D$7)</f>
        <v>-18.608715802051261</v>
      </c>
      <c r="X98" cm="1">
        <f t="array" ref="X98">RhoP(X$5,$B$5,$H98,$C$5,0,$D$7)</f>
        <v>-15.398474228507226</v>
      </c>
      <c r="Y98" cm="1">
        <f t="array" ref="Y98">RhoP(Y$5,$B$5,$H98,$C$5,0,$D$7)</f>
        <v>-12.661761696303445</v>
      </c>
    </row>
    <row r="99" spans="8:25" x14ac:dyDescent="0.2">
      <c r="H99">
        <v>1</v>
      </c>
      <c r="I99" cm="1">
        <f t="array" ref="I99">RhoP(I$5,$B$5,$H99,$C$5,0,$D$7)</f>
        <v>-95.596857167456889</v>
      </c>
      <c r="J99" cm="1">
        <f t="array" ref="J99">RhoP(J$5,$B$5,$H99,$C$5,0,$D$7)</f>
        <v>-93.039121185323026</v>
      </c>
      <c r="K99" cm="1">
        <f t="array" ref="K99">RhoP(K$5,$B$5,$H99,$C$5,0,$D$7)</f>
        <v>-89.515635172001197</v>
      </c>
      <c r="L99" cm="1">
        <f t="array" ref="L99">RhoP(L$5,$B$5,$H99,$C$5,0,$D$7)</f>
        <v>-85.040177182801159</v>
      </c>
      <c r="M99" cm="1">
        <f t="array" ref="M99">RhoP(M$5,$B$5,$H99,$C$5,0,$D$7)</f>
        <v>-79.722509078333061</v>
      </c>
      <c r="N99" cm="1">
        <f t="array" ref="N99">RhoP(N$5,$B$5,$H99,$C$5,0,$D$7)</f>
        <v>-73.744682235929218</v>
      </c>
      <c r="O99" cm="1">
        <f t="array" ref="O99">RhoP(O$5,$B$5,$H99,$C$5,0,$D$7)</f>
        <v>-67.329392708838</v>
      </c>
      <c r="P99" cm="1">
        <f t="array" ref="P99">RhoP(P$5,$B$5,$H99,$C$5,0,$D$7)</f>
        <v>-60.708914287474698</v>
      </c>
      <c r="Q99" cm="1">
        <f t="array" ref="Q99">RhoP(Q$5,$B$5,$H99,$C$5,0,$D$7)</f>
        <v>-54.10007490839682</v>
      </c>
      <c r="R99" cm="1">
        <f t="array" ref="R99">RhoP(R$5,$B$5,$H99,$C$5,0,$D$7)</f>
        <v>-47.687551231937881</v>
      </c>
      <c r="S99" cm="1">
        <f t="array" ref="S99">RhoP(S$5,$B$5,$H99,$C$5,0,$D$7)</f>
        <v>-41.615360732585692</v>
      </c>
      <c r="T99" cm="1">
        <f t="array" ref="T99">RhoP(T$5,$B$5,$H99,$C$5,0,$D$7)</f>
        <v>-35.985059430073733</v>
      </c>
      <c r="U99" cm="1">
        <f t="array" ref="U99">RhoP(U$5,$B$5,$H99,$C$5,0,$D$7)</f>
        <v>-30.858646759735258</v>
      </c>
      <c r="V99" cm="1">
        <f t="array" ref="V99">RhoP(V$5,$B$5,$H99,$C$5,0,$D$7)</f>
        <v>-26.264243948021651</v>
      </c>
      <c r="W99" cm="1">
        <f t="array" ref="W99">RhoP(W$5,$B$5,$H99,$C$5,0,$D$7)</f>
        <v>-22.20297125661569</v>
      </c>
      <c r="X99" cm="1">
        <f t="array" ref="X99">RhoP(X$5,$B$5,$H99,$C$5,0,$D$7)</f>
        <v>-18.655900747507157</v>
      </c>
      <c r="Y99" cm="1">
        <f t="array" ref="Y99">RhoP(Y$5,$B$5,$H99,$C$5,0,$D$7)</f>
        <v>-15.590384736980177</v>
      </c>
    </row>
    <row r="100" spans="8:25" x14ac:dyDescent="0.2">
      <c r="H100">
        <v>2</v>
      </c>
      <c r="I100" cm="1">
        <f t="array" ref="I100">RhoP(I$5,$B$5,$H100,$C$5,0,$D$7)</f>
        <v>-179.27899437333633</v>
      </c>
      <c r="J100" cm="1">
        <f t="array" ref="J100">RhoP(J$5,$B$5,$H100,$C$5,0,$D$7)</f>
        <v>-172.72488638506934</v>
      </c>
      <c r="K100" cm="1">
        <f t="array" ref="K100">RhoP(K$5,$B$5,$H100,$C$5,0,$D$7)</f>
        <v>-165.20578868565337</v>
      </c>
      <c r="L100" cm="1">
        <f t="array" ref="L100">RhoP(L$5,$B$5,$H100,$C$5,0,$D$7)</f>
        <v>-156.91096395405174</v>
      </c>
      <c r="M100" cm="1">
        <f t="array" ref="M100">RhoP(M$5,$B$5,$H100,$C$5,0,$D$7)</f>
        <v>-148.04925745616106</v>
      </c>
      <c r="N100" cm="1">
        <f t="array" ref="N100">RhoP(N$5,$B$5,$H100,$C$5,0,$D$7)</f>
        <v>-138.82985664860107</v>
      </c>
      <c r="O100" cm="1">
        <f t="array" ref="O100">RhoP(O$5,$B$5,$H100,$C$5,0,$D$7)</f>
        <v>-129.44838850232225</v>
      </c>
      <c r="P100" cm="1">
        <f t="array" ref="P100">RhoP(P$5,$B$5,$H100,$C$5,0,$D$7)</f>
        <v>-120.07810348839539</v>
      </c>
      <c r="Q100" cm="1">
        <f t="array" ref="Q100">RhoP(Q$5,$B$5,$H100,$C$5,0,$D$7)</f>
        <v>-110.86531138504709</v>
      </c>
      <c r="R100" cm="1">
        <f t="array" ref="R100">RhoP(R$5,$B$5,$H100,$C$5,0,$D$7)</f>
        <v>-101.92804553013124</v>
      </c>
      <c r="S100" cm="1">
        <f t="array" ref="S100">RhoP(S$5,$B$5,$H100,$C$5,0,$D$7)</f>
        <v>-93.35697263426313</v>
      </c>
      <c r="T100" cm="1">
        <f t="array" ref="T100">RhoP(T$5,$B$5,$H100,$C$5,0,$D$7)</f>
        <v>-85.217715397490352</v>
      </c>
      <c r="U100" cm="1">
        <f t="array" ref="U100">RhoP(U$5,$B$5,$H100,$C$5,0,$D$7)</f>
        <v>-77.553939892221237</v>
      </c>
      <c r="V100" cm="1">
        <f t="array" ref="V100">RhoP(V$5,$B$5,$H100,$C$5,0,$D$7)</f>
        <v>-70.390737490687044</v>
      </c>
      <c r="W100" cm="1">
        <f t="array" ref="W100">RhoP(W$5,$B$5,$H100,$C$5,0,$D$7)</f>
        <v>-63.737982812093172</v>
      </c>
      <c r="X100" cm="1">
        <f t="array" ref="X100">RhoP(X$5,$B$5,$H100,$C$5,0,$D$7)</f>
        <v>-57.59346885548976</v>
      </c>
      <c r="Y100" cm="1">
        <f t="array" ref="Y100">RhoP(Y$5,$B$5,$H100,$C$5,0,$D$7)</f>
        <v>-51.945709399191088</v>
      </c>
    </row>
    <row r="101" spans="8:25" x14ac:dyDescent="0.2">
      <c r="H101">
        <v>3</v>
      </c>
      <c r="I101" cm="1">
        <f t="array" ref="I101">RhoP(I$5,$B$5,$H101,$C$5,0,$D$7)</f>
        <v>-256.78638170961966</v>
      </c>
      <c r="J101" cm="1">
        <f t="array" ref="J101">RhoP(J$5,$B$5,$H101,$C$5,0,$D$7)</f>
        <v>-247.10158142886695</v>
      </c>
      <c r="K101" cm="1">
        <f t="array" ref="K101">RhoP(K$5,$B$5,$H101,$C$5,0,$D$7)</f>
        <v>-236.65161061527402</v>
      </c>
      <c r="L101" cm="1">
        <f t="array" ref="L101">RhoP(L$5,$B$5,$H101,$C$5,0,$D$7)</f>
        <v>-225.65495032723408</v>
      </c>
      <c r="M101" cm="1">
        <f t="array" ref="M101">RhoP(M$5,$B$5,$H101,$C$5,0,$D$7)</f>
        <v>-214.31725195190504</v>
      </c>
      <c r="N101" cm="1">
        <f t="array" ref="N101">RhoP(N$5,$B$5,$H101,$C$5,0,$D$7)</f>
        <v>-202.82342641574002</v>
      </c>
      <c r="O101" cm="1">
        <f t="array" ref="O101">RhoP(O$5,$B$5,$H101,$C$5,0,$D$7)</f>
        <v>-191.33364425328784</v>
      </c>
      <c r="P101" cm="1">
        <f t="array" ref="P101">RhoP(P$5,$B$5,$H101,$C$5,0,$D$7)</f>
        <v>-179.98214198901894</v>
      </c>
      <c r="Q101" cm="1">
        <f t="array" ref="Q101">RhoP(Q$5,$B$5,$H101,$C$5,0,$D$7)</f>
        <v>-168.87790619090958</v>
      </c>
      <c r="R101" cm="1">
        <f t="array" ref="R101">RhoP(R$5,$B$5,$H101,$C$5,0,$D$7)</f>
        <v>-158.10651312244383</v>
      </c>
      <c r="S101" cm="1">
        <f t="array" ref="S101">RhoP(S$5,$B$5,$H101,$C$5,0,$D$7)</f>
        <v>-147.73259413933513</v>
      </c>
      <c r="T101" cm="1">
        <f t="array" ref="T101">RhoP(T$5,$B$5,$H101,$C$5,0,$D$7)</f>
        <v>-137.80255722579832</v>
      </c>
      <c r="U101" cm="1">
        <f t="array" ref="U101">RhoP(U$5,$B$5,$H101,$C$5,0,$D$7)</f>
        <v>-128.34731996842194</v>
      </c>
      <c r="V101" cm="1">
        <f t="array" ref="V101">RhoP(V$5,$B$5,$H101,$C$5,0,$D$7)</f>
        <v>-119.38490201379494</v>
      </c>
      <c r="W101" cm="1">
        <f t="array" ref="W101">RhoP(W$5,$B$5,$H101,$C$5,0,$D$7)</f>
        <v>-110.92279122342143</v>
      </c>
      <c r="X101" cm="1">
        <f t="array" ref="X101">RhoP(X$5,$B$5,$H101,$C$5,0,$D$7)</f>
        <v>-102.96004319123742</v>
      </c>
      <c r="Y101" cm="1">
        <f t="array" ref="Y101">RhoP(Y$5,$B$5,$H101,$C$5,0,$D$7)</f>
        <v>-95.489103756833387</v>
      </c>
    </row>
    <row r="102" spans="8:25" x14ac:dyDescent="0.2">
      <c r="H102">
        <v>4</v>
      </c>
      <c r="I102" cm="1">
        <f t="array" ref="I102">RhoP(I$5,$B$5,$H102,$C$5,0,$D$7)</f>
        <v>-330.88619900105743</v>
      </c>
      <c r="J102" cm="1">
        <f t="array" ref="J102">RhoP(J$5,$B$5,$H102,$C$5,0,$D$7)</f>
        <v>-318.70353394131871</v>
      </c>
      <c r="K102" cm="1">
        <f t="array" ref="K102">RhoP(K$5,$B$5,$H102,$C$5,0,$D$7)</f>
        <v>-305.95598963054812</v>
      </c>
      <c r="L102" cm="1">
        <f t="array" ref="L102">RhoP(L$5,$B$5,$H102,$C$5,0,$D$7)</f>
        <v>-292.85488771785356</v>
      </c>
      <c r="M102" cm="1">
        <f t="array" ref="M102">RhoP(M$5,$B$5,$H102,$C$5,0,$D$7)</f>
        <v>-279.58587625836896</v>
      </c>
      <c r="N102" cm="1">
        <f t="array" ref="N102">RhoP(N$5,$B$5,$H102,$C$5,0,$D$7)</f>
        <v>-266.30737119348515</v>
      </c>
      <c r="O102" cm="1">
        <f t="array" ref="O102">RhoP(O$5,$B$5,$H102,$C$5,0,$D$7)</f>
        <v>-253.15111590315632</v>
      </c>
      <c r="P102" cm="1">
        <f t="array" ref="P102">RhoP(P$5,$B$5,$H102,$C$5,0,$D$7)</f>
        <v>-240.22399761725208</v>
      </c>
      <c r="Q102" cm="1">
        <f t="array" ref="Q102">RhoP(Q$5,$B$5,$H102,$C$5,0,$D$7)</f>
        <v>-227.61052302236479</v>
      </c>
      <c r="R102" cm="1">
        <f t="array" ref="R102">RhoP(R$5,$B$5,$H102,$C$5,0,$D$7)</f>
        <v>-215.37555560688662</v>
      </c>
      <c r="S102" cm="1">
        <f t="array" ref="S102">RhoP(S$5,$B$5,$H102,$C$5,0,$D$7)</f>
        <v>-203.56706241422415</v>
      </c>
      <c r="T102" cm="1">
        <f t="array" ref="T102">RhoP(T$5,$B$5,$H102,$C$5,0,$D$7)</f>
        <v>-192.21871941265309</v>
      </c>
      <c r="U102" cm="1">
        <f t="array" ref="U102">RhoP(U$5,$B$5,$H102,$C$5,0,$D$7)</f>
        <v>-181.35229356803777</v>
      </c>
      <c r="V102" cm="1">
        <f t="array" ref="V102">RhoP(V$5,$B$5,$H102,$C$5,0,$D$7)</f>
        <v>-170.97976498941946</v>
      </c>
      <c r="W102" cm="1">
        <f t="array" ref="W102">RhoP(W$5,$B$5,$H102,$C$5,0,$D$7)</f>
        <v>-161.10518122145066</v>
      </c>
      <c r="X102" cm="1">
        <f t="array" ref="X102">RhoP(X$5,$B$5,$H102,$C$5,0,$D$7)</f>
        <v>-151.72625308121351</v>
      </c>
      <c r="Y102" cm="1">
        <f t="array" ref="Y102">RhoP(Y$5,$B$5,$H102,$C$5,0,$D$7)</f>
        <v>-142.83571112354716</v>
      </c>
    </row>
    <row r="103" spans="8:25" x14ac:dyDescent="0.2">
      <c r="H103">
        <v>5</v>
      </c>
      <c r="I103" cm="1">
        <f t="array" ref="I103">RhoP(I$5,$B$5,$H103,$C$5,0,$D$7)</f>
        <v>-402.70142293204839</v>
      </c>
      <c r="J103" cm="1">
        <f t="array" ref="J103">RhoP(J$5,$B$5,$H103,$C$5,0,$D$7)</f>
        <v>-388.45819777009785</v>
      </c>
      <c r="K103" cm="1">
        <f t="array" ref="K103">RhoP(K$5,$B$5,$H103,$C$5,0,$D$7)</f>
        <v>-373.82699537451458</v>
      </c>
      <c r="L103" cm="1">
        <f t="array" ref="L103">RhoP(L$5,$B$5,$H103,$C$5,0,$D$7)</f>
        <v>-359.00190517536214</v>
      </c>
      <c r="M103" cm="1">
        <f t="array" ref="M103">RhoP(M$5,$B$5,$H103,$C$5,0,$D$7)</f>
        <v>-344.1464906013303</v>
      </c>
      <c r="N103" cm="1">
        <f t="array" ref="N103">RhoP(N$5,$B$5,$H103,$C$5,0,$D$7)</f>
        <v>-329.39567853055053</v>
      </c>
      <c r="O103" cm="1">
        <f t="array" ref="O103">RhoP(O$5,$B$5,$H103,$C$5,0,$D$7)</f>
        <v>-314.85852336066733</v>
      </c>
      <c r="P103" cm="1">
        <f t="array" ref="P103">RhoP(P$5,$B$5,$H103,$C$5,0,$D$7)</f>
        <v>-300.62131035960545</v>
      </c>
      <c r="Q103" cm="1">
        <f t="array" ref="Q103">RhoP(Q$5,$B$5,$H103,$C$5,0,$D$7)</f>
        <v>-286.75067475462072</v>
      </c>
      <c r="R103" cm="1">
        <f t="array" ref="R103">RhoP(R$5,$B$5,$H103,$C$5,0,$D$7)</f>
        <v>-273.29655259278366</v>
      </c>
      <c r="S103" cm="1">
        <f t="array" ref="S103">RhoP(S$5,$B$5,$H103,$C$5,0,$D$7)</f>
        <v>-260.2948690108625</v>
      </c>
      <c r="T103" cm="1">
        <f t="array" ref="T103">RhoP(T$5,$B$5,$H103,$C$5,0,$D$7)</f>
        <v>-247.7699254578053</v>
      </c>
      <c r="U103" cm="1">
        <f t="array" ref="U103">RhoP(U$5,$B$5,$H103,$C$5,0,$D$7)</f>
        <v>-235.73648104321256</v>
      </c>
      <c r="V103" cm="1">
        <f t="array" ref="V103">RhoP(V$5,$B$5,$H103,$C$5,0,$D$7)</f>
        <v>-224.20154235855063</v>
      </c>
      <c r="W103" cm="1">
        <f t="array" ref="W103">RhoP(W$5,$B$5,$H103,$C$5,0,$D$7)</f>
        <v>-213.16588608881554</v>
      </c>
      <c r="X103" cm="1">
        <f t="array" ref="X103">RhoP(X$5,$B$5,$H103,$C$5,0,$D$7)</f>
        <v>-202.62534298220109</v>
      </c>
      <c r="Y103" cm="1">
        <f t="array" ref="Y103">RhoP(Y$5,$B$5,$H103,$C$5,0,$D$7)</f>
        <v>-192.57187255069329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6616D-3B34-AD4A-A0EB-206BE5ECBFB2}">
  <sheetPr codeName="Foglio3"/>
  <dimension ref="C1:AD116"/>
  <sheetViews>
    <sheetView topLeftCell="J90" zoomScale="106" zoomScaleNormal="106" workbookViewId="0">
      <selection activeCell="E44" sqref="E44"/>
    </sheetView>
  </sheetViews>
  <sheetFormatPr baseColWidth="10" defaultRowHeight="15" x14ac:dyDescent="0.2"/>
  <sheetData>
    <row r="1" spans="3:30" x14ac:dyDescent="0.2">
      <c r="I1" t="s">
        <v>34</v>
      </c>
    </row>
    <row r="2" spans="3:30" ht="29" x14ac:dyDescent="0.35">
      <c r="C2" s="27" t="s">
        <v>44</v>
      </c>
      <c r="D2">
        <v>6.89</v>
      </c>
      <c r="F2" s="17" t="s">
        <v>45</v>
      </c>
      <c r="G2" s="17"/>
      <c r="H2" t="s">
        <v>35</v>
      </c>
      <c r="J2" s="8">
        <v>46157</v>
      </c>
      <c r="K2" s="8">
        <v>46192</v>
      </c>
      <c r="L2" s="8">
        <v>46283</v>
      </c>
      <c r="M2" s="8">
        <v>46374</v>
      </c>
      <c r="N2" s="8">
        <v>46465</v>
      </c>
      <c r="O2" s="8">
        <v>46556</v>
      </c>
      <c r="P2" s="8">
        <v>46920</v>
      </c>
    </row>
    <row r="3" spans="3:30" x14ac:dyDescent="0.2">
      <c r="I3" s="12">
        <v>5.6</v>
      </c>
      <c r="J3" s="16">
        <v>114.2791</v>
      </c>
      <c r="K3" s="16">
        <v>91.877099999999999</v>
      </c>
      <c r="L3" s="16">
        <v>73.288899999999998</v>
      </c>
      <c r="M3" s="16">
        <v>67.235900000000001</v>
      </c>
      <c r="N3" s="16">
        <v>63.125100000000003</v>
      </c>
      <c r="O3" s="13">
        <v>67.706900000000005</v>
      </c>
      <c r="P3" s="13">
        <v>68.872900000000001</v>
      </c>
    </row>
    <row r="4" spans="3:30" ht="16" x14ac:dyDescent="0.2">
      <c r="I4" s="15">
        <v>6</v>
      </c>
      <c r="J4" s="13">
        <v>100.5277</v>
      </c>
      <c r="K4" s="16">
        <v>83.1126</v>
      </c>
      <c r="L4" s="13">
        <v>68.568899999999999</v>
      </c>
      <c r="M4" s="13">
        <v>63.013100000000001</v>
      </c>
      <c r="N4" s="13">
        <v>59.612699999999997</v>
      </c>
      <c r="O4" s="16">
        <v>64.227199999999996</v>
      </c>
      <c r="P4" s="16">
        <v>65.578999999999994</v>
      </c>
      <c r="Q4" s="7"/>
      <c r="R4" s="7"/>
      <c r="S4" s="7"/>
      <c r="T4" s="7"/>
      <c r="AA4" s="6"/>
      <c r="AB4" s="6"/>
      <c r="AC4" s="6"/>
      <c r="AD4" s="6"/>
    </row>
    <row r="5" spans="3:30" ht="16" x14ac:dyDescent="0.2">
      <c r="I5" s="12">
        <v>6.4</v>
      </c>
      <c r="J5" s="13">
        <v>87.930300000000003</v>
      </c>
      <c r="K5" s="16">
        <v>76.605199999999996</v>
      </c>
      <c r="L5" s="13">
        <v>64.480900000000005</v>
      </c>
      <c r="M5" s="13">
        <v>60.695599999999999</v>
      </c>
      <c r="N5" s="13">
        <v>57.430300000000003</v>
      </c>
      <c r="O5" s="13">
        <v>61.632300000000001</v>
      </c>
      <c r="P5" s="13">
        <v>62.453400000000002</v>
      </c>
      <c r="Q5" s="7"/>
      <c r="R5" s="7"/>
      <c r="S5" s="7"/>
      <c r="T5" s="7"/>
      <c r="AA5" s="6"/>
      <c r="AB5" s="6"/>
      <c r="AC5" s="6"/>
      <c r="AD5" s="6"/>
    </row>
    <row r="6" spans="3:30" ht="16" x14ac:dyDescent="0.2">
      <c r="I6" s="15">
        <v>6.8</v>
      </c>
      <c r="J6" s="13">
        <v>79.768299999999996</v>
      </c>
      <c r="K6" s="13">
        <v>71.442300000000003</v>
      </c>
      <c r="L6" s="13">
        <v>61.162300000000002</v>
      </c>
      <c r="M6" s="13">
        <v>57.8748</v>
      </c>
      <c r="N6" s="13">
        <v>55.2273</v>
      </c>
      <c r="O6" s="16">
        <v>58.943300000000001</v>
      </c>
      <c r="P6" s="16">
        <v>60.033099999999997</v>
      </c>
      <c r="Q6" s="7"/>
      <c r="R6" s="7"/>
      <c r="S6" s="7"/>
      <c r="T6" s="7"/>
      <c r="AA6" s="6"/>
      <c r="AB6" s="6"/>
      <c r="AC6" s="6"/>
      <c r="AD6" s="6"/>
    </row>
    <row r="7" spans="3:30" ht="16" x14ac:dyDescent="0.2">
      <c r="I7" s="12">
        <v>7.2</v>
      </c>
      <c r="J7" s="13">
        <v>73.406999999999996</v>
      </c>
      <c r="K7" s="13">
        <v>67.550299999999993</v>
      </c>
      <c r="L7" s="13">
        <v>59.513500000000001</v>
      </c>
      <c r="M7" s="13">
        <v>55.6252</v>
      </c>
      <c r="N7" s="13">
        <v>53.829500000000003</v>
      </c>
      <c r="O7" s="13">
        <v>57.168300000000002</v>
      </c>
      <c r="P7" s="13">
        <v>58.523200000000003</v>
      </c>
      <c r="Q7" s="7"/>
      <c r="R7" s="7"/>
      <c r="S7" s="7"/>
      <c r="T7" s="7"/>
      <c r="AA7" s="6"/>
      <c r="AB7" s="6"/>
      <c r="AC7" s="6"/>
      <c r="AD7" s="6"/>
    </row>
    <row r="8" spans="3:30" ht="16" x14ac:dyDescent="0.2">
      <c r="I8" s="15">
        <v>7.6</v>
      </c>
      <c r="J8" s="13">
        <v>69.980999999999995</v>
      </c>
      <c r="K8" s="13">
        <v>64.609800000000007</v>
      </c>
      <c r="L8" s="13">
        <v>57.0518</v>
      </c>
      <c r="M8" s="13">
        <v>54.727200000000003</v>
      </c>
      <c r="N8" s="13">
        <v>52.04</v>
      </c>
      <c r="O8" s="16">
        <v>55.650599999999997</v>
      </c>
      <c r="P8" s="16">
        <v>56.770099999999999</v>
      </c>
      <c r="Q8" s="7"/>
      <c r="R8" s="7"/>
      <c r="S8" s="7"/>
      <c r="T8" s="7"/>
      <c r="AA8" s="6"/>
      <c r="AB8" s="6"/>
      <c r="AC8" s="6"/>
      <c r="AD8" s="6"/>
    </row>
    <row r="9" spans="3:30" ht="16" x14ac:dyDescent="0.2">
      <c r="I9" s="12">
        <v>8</v>
      </c>
      <c r="J9" s="16">
        <v>68.353800000000007</v>
      </c>
      <c r="K9" s="13">
        <v>62.5379</v>
      </c>
      <c r="L9" s="13">
        <v>56.067900000000002</v>
      </c>
      <c r="M9" s="13">
        <v>53.347200000000001</v>
      </c>
      <c r="N9" s="13">
        <v>50.569099999999999</v>
      </c>
      <c r="O9" s="13">
        <v>54.044600000000003</v>
      </c>
      <c r="P9" s="13">
        <v>55.0685</v>
      </c>
      <c r="Q9" s="7"/>
      <c r="R9" s="7"/>
      <c r="S9" s="7"/>
      <c r="T9" s="7"/>
      <c r="AA9" s="6"/>
      <c r="AB9" s="6"/>
      <c r="AC9" s="6"/>
      <c r="AD9" s="6"/>
    </row>
    <row r="10" spans="3:30" ht="16" x14ac:dyDescent="0.2">
      <c r="AA10" s="6"/>
      <c r="AB10" s="6"/>
      <c r="AC10" s="6"/>
      <c r="AD10" s="6"/>
    </row>
    <row r="11" spans="3:30" x14ac:dyDescent="0.2">
      <c r="I11" s="8"/>
      <c r="M11" s="7"/>
      <c r="N11" s="7"/>
      <c r="O11" s="7"/>
      <c r="P11" s="7"/>
      <c r="Q11" s="7"/>
      <c r="R11" s="7"/>
      <c r="S11" s="7"/>
    </row>
    <row r="12" spans="3:30" x14ac:dyDescent="0.2">
      <c r="C12" s="4">
        <v>46126</v>
      </c>
    </row>
    <row r="13" spans="3:30" x14ac:dyDescent="0.2">
      <c r="I13" s="8"/>
      <c r="M13" s="7"/>
      <c r="N13" s="7"/>
      <c r="O13" s="7"/>
      <c r="P13" s="7"/>
      <c r="Q13" s="7"/>
      <c r="R13" s="7"/>
      <c r="S13" s="7"/>
    </row>
    <row r="14" spans="3:30" x14ac:dyDescent="0.2">
      <c r="I14" s="8"/>
      <c r="M14" s="7"/>
      <c r="N14" s="7"/>
      <c r="O14" s="7"/>
      <c r="P14" s="7"/>
      <c r="Q14" s="7"/>
      <c r="R14" s="7"/>
      <c r="S14" s="7"/>
    </row>
    <row r="15" spans="3:30" x14ac:dyDescent="0.2">
      <c r="D15" s="4"/>
    </row>
    <row r="18" spans="6:18" x14ac:dyDescent="0.2">
      <c r="J18" s="8">
        <v>46157</v>
      </c>
      <c r="K18" s="8">
        <v>46192</v>
      </c>
      <c r="L18" s="8">
        <v>46283</v>
      </c>
      <c r="M18" s="8">
        <v>46374</v>
      </c>
      <c r="N18" s="8">
        <v>46465</v>
      </c>
      <c r="O18" s="8">
        <v>46556</v>
      </c>
      <c r="P18" s="8">
        <v>46920</v>
      </c>
    </row>
    <row r="19" spans="6:18" x14ac:dyDescent="0.2">
      <c r="F19" s="17" t="s">
        <v>86</v>
      </c>
      <c r="G19" s="17"/>
      <c r="I19" s="12">
        <v>5.6</v>
      </c>
      <c r="J19" s="13">
        <v>56.1233</v>
      </c>
      <c r="K19" s="13">
        <v>54.6892</v>
      </c>
      <c r="L19" s="13">
        <v>50.148800000000001</v>
      </c>
      <c r="M19" s="13">
        <v>48.290700000000001</v>
      </c>
      <c r="N19" s="13">
        <v>46.378300000000003</v>
      </c>
      <c r="O19" s="13">
        <v>42.551299999999998</v>
      </c>
      <c r="P19" s="13">
        <v>38.360300000000002</v>
      </c>
    </row>
    <row r="20" spans="6:18" x14ac:dyDescent="0.2">
      <c r="I20" s="15">
        <v>5.8</v>
      </c>
      <c r="J20" s="16">
        <v>53.742100000000001</v>
      </c>
      <c r="K20" s="16">
        <v>53.254899999999999</v>
      </c>
      <c r="L20" s="16">
        <v>48.643799999999999</v>
      </c>
      <c r="M20" s="16">
        <v>47.286499999999997</v>
      </c>
      <c r="N20" s="16">
        <v>45.893599999999999</v>
      </c>
      <c r="O20" s="17">
        <v>41</v>
      </c>
      <c r="P20" s="20">
        <v>37</v>
      </c>
      <c r="R20" s="17" t="s">
        <v>87</v>
      </c>
    </row>
    <row r="21" spans="6:18" x14ac:dyDescent="0.2">
      <c r="I21" s="15">
        <v>6</v>
      </c>
      <c r="J21" s="16">
        <v>50.667740000000002</v>
      </c>
      <c r="K21" s="16">
        <v>50.741500000000002</v>
      </c>
      <c r="L21" s="16">
        <v>47.710299999999997</v>
      </c>
      <c r="M21" s="16">
        <v>46.3003</v>
      </c>
      <c r="N21" s="16">
        <v>44.640799999999999</v>
      </c>
      <c r="O21" s="16">
        <v>40.596600000000002</v>
      </c>
      <c r="P21" s="16">
        <v>37.625599999999999</v>
      </c>
      <c r="R21" s="18">
        <v>46556</v>
      </c>
    </row>
    <row r="22" spans="6:18" x14ac:dyDescent="0.2">
      <c r="I22" s="15">
        <v>6.2</v>
      </c>
      <c r="J22" s="16">
        <v>47.1783</v>
      </c>
      <c r="K22" s="16">
        <v>49.321399999999997</v>
      </c>
      <c r="L22" s="16">
        <v>46.2913</v>
      </c>
      <c r="M22" s="16">
        <v>45.104799999999997</v>
      </c>
      <c r="N22" s="16">
        <v>43.589399999999998</v>
      </c>
      <c r="O22" s="21">
        <v>39</v>
      </c>
      <c r="P22" s="21">
        <v>36</v>
      </c>
      <c r="R22" s="19" t="s">
        <v>88</v>
      </c>
    </row>
    <row r="23" spans="6:18" x14ac:dyDescent="0.2">
      <c r="I23" s="15">
        <v>6.4</v>
      </c>
      <c r="J23" s="16">
        <v>44.373199999999997</v>
      </c>
      <c r="K23" s="16">
        <v>46.509300000000003</v>
      </c>
      <c r="L23" s="16">
        <v>44.932200000000002</v>
      </c>
      <c r="M23" s="16">
        <v>44.198999999999998</v>
      </c>
      <c r="N23" s="16">
        <v>43.086500000000001</v>
      </c>
      <c r="O23" s="13">
        <v>38.855600000000003</v>
      </c>
      <c r="P23" s="13">
        <v>35.011699999999998</v>
      </c>
      <c r="R23" s="17" t="s">
        <v>89</v>
      </c>
    </row>
    <row r="24" spans="6:18" x14ac:dyDescent="0.2">
      <c r="I24" s="15">
        <v>6.6</v>
      </c>
      <c r="J24" s="16">
        <v>41.324399999999997</v>
      </c>
      <c r="K24" s="16">
        <v>44.456899999999997</v>
      </c>
      <c r="L24" s="16">
        <v>43.777900000000002</v>
      </c>
      <c r="M24" s="16">
        <v>43.447000000000003</v>
      </c>
      <c r="N24" s="16">
        <v>43.0792</v>
      </c>
      <c r="O24" s="21">
        <v>38.86</v>
      </c>
      <c r="P24" s="20">
        <v>33</v>
      </c>
      <c r="R24" s="17" t="s">
        <v>90</v>
      </c>
    </row>
    <row r="25" spans="6:18" x14ac:dyDescent="0.2">
      <c r="I25" s="15">
        <v>6.8</v>
      </c>
      <c r="J25" s="16">
        <v>37.508499999999998</v>
      </c>
      <c r="K25" s="16">
        <v>42.297199999999997</v>
      </c>
      <c r="L25" s="16">
        <v>42.192500000000003</v>
      </c>
      <c r="M25" s="16">
        <v>42.4011</v>
      </c>
      <c r="N25" s="16">
        <v>41.897199999999998</v>
      </c>
      <c r="O25" s="16">
        <v>38.929600000000001</v>
      </c>
      <c r="P25" s="16">
        <v>32.729199999999999</v>
      </c>
    </row>
    <row r="26" spans="6:18" x14ac:dyDescent="0.2">
      <c r="I26" s="15">
        <v>7</v>
      </c>
      <c r="J26" s="16">
        <v>31.2227</v>
      </c>
      <c r="K26" s="16">
        <v>39.450000000000003</v>
      </c>
      <c r="L26" s="16">
        <v>41.202199999999998</v>
      </c>
      <c r="M26" s="16">
        <v>41.508400000000002</v>
      </c>
      <c r="N26" s="16">
        <v>41.1965</v>
      </c>
      <c r="O26" s="21">
        <v>36</v>
      </c>
      <c r="P26" s="20">
        <v>32</v>
      </c>
    </row>
    <row r="27" spans="6:18" x14ac:dyDescent="0.2">
      <c r="I27" s="15">
        <v>7.2</v>
      </c>
      <c r="J27" s="16">
        <v>20.601500000000001</v>
      </c>
      <c r="K27" s="16">
        <v>37.340899999999998</v>
      </c>
      <c r="L27" s="16">
        <v>39.6327</v>
      </c>
      <c r="M27" s="16">
        <v>40.985399999999998</v>
      </c>
      <c r="N27" s="16">
        <v>40.4452</v>
      </c>
      <c r="O27" s="13">
        <v>35.065399999999997</v>
      </c>
      <c r="P27" s="13">
        <v>31.839700000000001</v>
      </c>
    </row>
    <row r="28" spans="6:18" x14ac:dyDescent="0.2">
      <c r="I28" s="15">
        <v>7.4</v>
      </c>
      <c r="K28" s="16">
        <v>33.077500000000001</v>
      </c>
      <c r="L28" s="16">
        <v>37.952599999999997</v>
      </c>
      <c r="M28" s="16">
        <v>39.520499999999998</v>
      </c>
      <c r="N28" s="16">
        <v>39.489400000000003</v>
      </c>
      <c r="O28" s="21">
        <v>34</v>
      </c>
      <c r="P28" s="20">
        <v>31</v>
      </c>
    </row>
    <row r="29" spans="6:18" x14ac:dyDescent="0.2">
      <c r="I29" s="15">
        <v>7.6</v>
      </c>
      <c r="K29" s="16">
        <v>29.3218</v>
      </c>
      <c r="L29" s="16">
        <v>37.243099999999998</v>
      </c>
      <c r="M29" s="16">
        <v>38.640099999999997</v>
      </c>
      <c r="N29" s="16">
        <v>38.517299999999999</v>
      </c>
      <c r="O29" s="16">
        <v>33.470300000000002</v>
      </c>
      <c r="P29" s="16">
        <v>30.346499999999999</v>
      </c>
    </row>
    <row r="30" spans="6:18" x14ac:dyDescent="0.2">
      <c r="I30" s="15">
        <v>7.8</v>
      </c>
      <c r="L30" s="16">
        <v>35.857900000000001</v>
      </c>
      <c r="M30" s="16">
        <v>38.020800000000001</v>
      </c>
      <c r="N30" s="16">
        <v>37.778300000000002</v>
      </c>
      <c r="O30" s="21">
        <v>32</v>
      </c>
      <c r="P30" s="20">
        <v>29</v>
      </c>
    </row>
    <row r="31" spans="6:18" x14ac:dyDescent="0.2">
      <c r="I31" s="15">
        <v>8</v>
      </c>
      <c r="L31" s="16">
        <v>34.751199999999997</v>
      </c>
      <c r="M31" s="16">
        <v>36.887599999999999</v>
      </c>
      <c r="N31" s="16">
        <v>37.4544</v>
      </c>
      <c r="O31" s="13">
        <v>31.460799999999999</v>
      </c>
      <c r="P31" s="13">
        <v>28.514199999999999</v>
      </c>
    </row>
    <row r="43" spans="5:15" ht="26" x14ac:dyDescent="0.3">
      <c r="E43" s="26" t="s">
        <v>112</v>
      </c>
    </row>
    <row r="44" spans="5:15" x14ac:dyDescent="0.2">
      <c r="I44" s="8">
        <v>46157</v>
      </c>
      <c r="J44" s="8">
        <v>46192</v>
      </c>
      <c r="K44" s="8">
        <v>46283</v>
      </c>
      <c r="L44" s="8">
        <v>46374</v>
      </c>
      <c r="M44" s="8">
        <v>46465</v>
      </c>
      <c r="N44" s="8">
        <v>46556</v>
      </c>
      <c r="O44" s="8">
        <v>46920</v>
      </c>
    </row>
    <row r="45" spans="5:15" x14ac:dyDescent="0.2">
      <c r="H45" s="12">
        <v>5.6</v>
      </c>
      <c r="I45" s="16">
        <v>0.74450000000000005</v>
      </c>
      <c r="J45" s="16">
        <v>0.73119999999999996</v>
      </c>
      <c r="K45" s="16">
        <v>0.72430000000000005</v>
      </c>
      <c r="L45" s="16">
        <v>0.72460000000000002</v>
      </c>
      <c r="M45" s="16">
        <v>0.72729999999999995</v>
      </c>
      <c r="N45" s="13">
        <v>0.71220000000000006</v>
      </c>
      <c r="O45" s="13">
        <v>0.72599999999999998</v>
      </c>
    </row>
    <row r="46" spans="5:15" x14ac:dyDescent="0.2">
      <c r="H46" s="15">
        <v>6</v>
      </c>
      <c r="I46" s="16">
        <v>0.68010000000000004</v>
      </c>
      <c r="J46" s="16">
        <v>0.67279999999999995</v>
      </c>
      <c r="K46" s="16">
        <v>0.67410000000000003</v>
      </c>
      <c r="L46" s="16">
        <v>0.68</v>
      </c>
      <c r="M46" s="16">
        <v>0.68620000000000003</v>
      </c>
      <c r="N46" s="16">
        <v>0.6744</v>
      </c>
      <c r="O46" s="16">
        <v>0.69520000000000004</v>
      </c>
    </row>
    <row r="47" spans="5:15" ht="29" x14ac:dyDescent="0.35">
      <c r="F47" s="25" t="s">
        <v>47</v>
      </c>
      <c r="H47" s="12">
        <v>6.4</v>
      </c>
      <c r="I47" s="16">
        <v>0.59489999999999998</v>
      </c>
      <c r="J47" s="16">
        <v>0.60129999999999995</v>
      </c>
      <c r="K47" s="16">
        <v>0.61719999999999997</v>
      </c>
      <c r="L47" s="16">
        <v>0.60629999999999995</v>
      </c>
      <c r="M47" s="16">
        <v>0.6421</v>
      </c>
      <c r="N47" s="13">
        <v>0.63480000000000003</v>
      </c>
      <c r="O47" s="13">
        <v>0.6633</v>
      </c>
    </row>
    <row r="48" spans="5:15" x14ac:dyDescent="0.2">
      <c r="H48" s="15">
        <v>6.8</v>
      </c>
      <c r="I48" s="16">
        <v>0.49049999999999999</v>
      </c>
      <c r="J48" s="16">
        <v>0.52049999999999996</v>
      </c>
      <c r="K48" s="16">
        <v>0.55700000000000005</v>
      </c>
      <c r="L48" s="16">
        <v>0.57909999999999995</v>
      </c>
      <c r="M48" s="16">
        <v>0.59550000000000003</v>
      </c>
      <c r="N48" s="16">
        <v>0.59379999999999999</v>
      </c>
      <c r="O48" s="16">
        <v>0.63049999999999995</v>
      </c>
    </row>
    <row r="49" spans="6:15" x14ac:dyDescent="0.2">
      <c r="H49" s="12">
        <v>7.2</v>
      </c>
      <c r="I49" s="16">
        <v>0.37890000000000001</v>
      </c>
      <c r="J49" s="16">
        <v>0.43530000000000002</v>
      </c>
      <c r="K49" s="16">
        <v>0.49330000000000002</v>
      </c>
      <c r="L49" s="16">
        <v>0.5272</v>
      </c>
      <c r="M49" s="16">
        <v>0.54800000000000004</v>
      </c>
      <c r="N49" s="13">
        <v>0.55210000000000004</v>
      </c>
      <c r="O49" s="13">
        <v>0.59870000000000001</v>
      </c>
    </row>
    <row r="50" spans="6:15" x14ac:dyDescent="0.2">
      <c r="H50" s="15">
        <v>7.6</v>
      </c>
      <c r="I50" s="16">
        <v>0.2752</v>
      </c>
      <c r="J50" s="16">
        <v>0.35210000000000002</v>
      </c>
      <c r="K50" s="16">
        <v>0.43209999999999998</v>
      </c>
      <c r="L50" s="16">
        <v>0.44700000000000001</v>
      </c>
      <c r="M50" s="16">
        <v>0.50360000000000005</v>
      </c>
      <c r="N50" s="16">
        <v>0.51090000000000002</v>
      </c>
      <c r="O50" s="16">
        <v>0.56610000000000005</v>
      </c>
    </row>
    <row r="51" spans="6:15" x14ac:dyDescent="0.2">
      <c r="H51" s="12">
        <v>8</v>
      </c>
      <c r="I51" s="16">
        <v>0.18779999999999999</v>
      </c>
      <c r="J51" s="16">
        <v>0.2762</v>
      </c>
      <c r="K51" s="16">
        <v>0.3725</v>
      </c>
      <c r="L51" s="13">
        <v>0.4239</v>
      </c>
      <c r="M51" s="16">
        <v>0.45760000000000001</v>
      </c>
      <c r="N51" s="13">
        <v>0.47049999999999997</v>
      </c>
      <c r="O51" s="13">
        <v>0.53449999999999998</v>
      </c>
    </row>
    <row r="57" spans="6:15" x14ac:dyDescent="0.2">
      <c r="I57" s="8">
        <v>46157</v>
      </c>
      <c r="J57" s="8">
        <v>46192</v>
      </c>
      <c r="K57" s="8">
        <v>46283</v>
      </c>
      <c r="L57" s="8">
        <v>46374</v>
      </c>
      <c r="M57" s="8">
        <v>46465</v>
      </c>
      <c r="N57" s="8">
        <v>46556</v>
      </c>
      <c r="O57" s="8">
        <v>46920</v>
      </c>
    </row>
    <row r="58" spans="6:15" x14ac:dyDescent="0.2">
      <c r="H58" s="12">
        <v>5.6</v>
      </c>
      <c r="I58" s="16">
        <v>0.1489</v>
      </c>
      <c r="J58" s="16">
        <v>0.12939999999999999</v>
      </c>
      <c r="K58" s="16">
        <v>0.1067</v>
      </c>
      <c r="L58" s="16">
        <v>9.2799999999999994E-2</v>
      </c>
      <c r="M58" s="16">
        <v>8.4000000000000005E-2</v>
      </c>
      <c r="N58" s="13">
        <v>7.4200000000000002E-2</v>
      </c>
      <c r="O58" s="13">
        <v>5.6399999999999999E-2</v>
      </c>
    </row>
    <row r="59" spans="6:15" ht="29" x14ac:dyDescent="0.35">
      <c r="F59" s="25" t="s">
        <v>36</v>
      </c>
      <c r="H59" s="15">
        <v>6</v>
      </c>
      <c r="I59" s="16">
        <v>0.1903</v>
      </c>
      <c r="J59" s="16">
        <v>0.15770000000000001</v>
      </c>
      <c r="K59" s="16">
        <v>0.1227</v>
      </c>
      <c r="L59" s="16">
        <v>0.1047</v>
      </c>
      <c r="M59" s="16">
        <v>9.4200000000000006E-2</v>
      </c>
      <c r="N59" s="16">
        <v>8.2600000000000007E-2</v>
      </c>
      <c r="O59" s="16">
        <v>6.2199999999999998E-2</v>
      </c>
    </row>
    <row r="60" spans="6:15" x14ac:dyDescent="0.2">
      <c r="H60" s="12">
        <v>6.4</v>
      </c>
      <c r="I60" s="16">
        <v>0.2215</v>
      </c>
      <c r="J60" s="16">
        <v>0.182</v>
      </c>
      <c r="K60" s="16">
        <v>0.13830000000000001</v>
      </c>
      <c r="L60" s="16">
        <v>0.11700000000000001</v>
      </c>
      <c r="M60" s="16">
        <v>0.10340000000000001</v>
      </c>
      <c r="N60" s="13">
        <v>9.0399999999999994E-2</v>
      </c>
      <c r="O60" s="13">
        <v>6.7799999999999999E-2</v>
      </c>
    </row>
    <row r="61" spans="6:15" x14ac:dyDescent="0.2">
      <c r="H61" s="15">
        <v>6.8</v>
      </c>
      <c r="I61" s="16">
        <v>0.26850000000000002</v>
      </c>
      <c r="J61" s="16">
        <v>0.20250000000000001</v>
      </c>
      <c r="K61" s="16">
        <v>0.16059999999999999</v>
      </c>
      <c r="L61" s="16">
        <v>0.1265</v>
      </c>
      <c r="M61" s="16">
        <v>0.1123</v>
      </c>
      <c r="N61" s="16">
        <v>9.7000000000000003E-2</v>
      </c>
      <c r="O61" s="16">
        <v>7.2900000000000006E-2</v>
      </c>
    </row>
    <row r="62" spans="6:15" x14ac:dyDescent="0.2">
      <c r="H62" s="12">
        <v>7.2</v>
      </c>
      <c r="I62" s="16">
        <v>0.27139999999999997</v>
      </c>
      <c r="J62" s="16">
        <v>0.2114</v>
      </c>
      <c r="K62" s="16">
        <v>0.15790000000000001</v>
      </c>
      <c r="L62" s="16">
        <v>0.13189999999999999</v>
      </c>
      <c r="M62" s="16">
        <v>0.11840000000000001</v>
      </c>
      <c r="N62" s="13">
        <v>0.1023</v>
      </c>
      <c r="O62" s="13">
        <v>7.6999999999999999E-2</v>
      </c>
    </row>
    <row r="63" spans="6:15" x14ac:dyDescent="0.2">
      <c r="H63" s="15">
        <v>7.6</v>
      </c>
      <c r="I63" s="16">
        <v>0.24909999999999999</v>
      </c>
      <c r="J63" s="16">
        <v>0.2074</v>
      </c>
      <c r="K63" s="16">
        <v>0.16039999999999999</v>
      </c>
      <c r="L63" s="16">
        <v>0.13769999999999999</v>
      </c>
      <c r="M63" s="16">
        <v>0.1207</v>
      </c>
      <c r="N63" s="16">
        <v>0.1062</v>
      </c>
      <c r="O63" s="16">
        <v>8.09E-2</v>
      </c>
    </row>
    <row r="64" spans="6:15" x14ac:dyDescent="0.2">
      <c r="H64" s="12">
        <v>8</v>
      </c>
      <c r="I64" s="16">
        <v>0.20810000000000001</v>
      </c>
      <c r="J64" s="16">
        <v>0.19270000000000001</v>
      </c>
      <c r="K64" s="16">
        <v>0.15759999999999999</v>
      </c>
      <c r="L64" s="13">
        <v>0.13650000000000001</v>
      </c>
      <c r="M64" s="16">
        <v>0.12280000000000001</v>
      </c>
      <c r="N64" s="13">
        <v>0.1085</v>
      </c>
      <c r="O64" s="13">
        <v>8.3799999999999999E-2</v>
      </c>
    </row>
    <row r="76" spans="6:15" x14ac:dyDescent="0.2">
      <c r="I76" s="8">
        <v>46157</v>
      </c>
      <c r="J76" s="8">
        <v>46192</v>
      </c>
      <c r="K76" s="8">
        <v>46283</v>
      </c>
      <c r="L76" s="8">
        <v>46374</v>
      </c>
      <c r="M76" s="8">
        <v>46465</v>
      </c>
      <c r="N76" s="8">
        <v>46556</v>
      </c>
      <c r="O76" s="8">
        <v>46920</v>
      </c>
    </row>
    <row r="77" spans="6:15" x14ac:dyDescent="0.2">
      <c r="H77" s="12">
        <v>5.6</v>
      </c>
      <c r="I77" s="16">
        <v>6.3E-3</v>
      </c>
      <c r="J77" s="16">
        <v>9.1999999999999998E-3</v>
      </c>
      <c r="K77" s="16">
        <v>1.4E-2</v>
      </c>
      <c r="L77" s="16">
        <v>1.7299999999999999E-2</v>
      </c>
      <c r="M77" s="16">
        <v>2.1700000000000001E-2</v>
      </c>
      <c r="N77" s="13">
        <v>2.3300000000000001E-2</v>
      </c>
      <c r="O77" s="13">
        <v>2.8500000000000001E-2</v>
      </c>
    </row>
    <row r="78" spans="6:15" ht="29" x14ac:dyDescent="0.35">
      <c r="F78" s="25" t="s">
        <v>91</v>
      </c>
      <c r="H78" s="15">
        <v>6</v>
      </c>
      <c r="I78" s="16">
        <v>6.6E-3</v>
      </c>
      <c r="J78" s="16">
        <v>1.03E-2</v>
      </c>
      <c r="K78" s="16">
        <v>1.5800000000000002E-2</v>
      </c>
      <c r="L78" s="16">
        <v>1.9599999999999999E-2</v>
      </c>
      <c r="M78" s="16">
        <v>2.2599999999999999E-2</v>
      </c>
      <c r="N78" s="16">
        <v>2.4400000000000002E-2</v>
      </c>
      <c r="O78" s="16">
        <v>0.03</v>
      </c>
    </row>
    <row r="79" spans="6:15" x14ac:dyDescent="0.2">
      <c r="H79" s="12">
        <v>6.4</v>
      </c>
      <c r="I79" s="16">
        <v>7.4000000000000003E-3</v>
      </c>
      <c r="J79" s="16">
        <v>1.0699999999999999E-2</v>
      </c>
      <c r="K79" s="16">
        <v>1.6400000000000001E-2</v>
      </c>
      <c r="L79" s="16">
        <v>2.0400000000000001E-2</v>
      </c>
      <c r="M79" s="16">
        <v>2.35E-2</v>
      </c>
      <c r="N79" s="13">
        <v>2.5399999999999999E-2</v>
      </c>
      <c r="O79" s="13">
        <v>3.1399999999999997E-2</v>
      </c>
    </row>
    <row r="80" spans="6:15" x14ac:dyDescent="0.2">
      <c r="H80" s="15">
        <v>6.8</v>
      </c>
      <c r="I80" s="16">
        <v>7.6E-3</v>
      </c>
      <c r="J80" s="16">
        <v>1.11E-2</v>
      </c>
      <c r="K80" s="16">
        <v>1.67E-2</v>
      </c>
      <c r="L80" s="16">
        <v>2.1100000000000001E-2</v>
      </c>
      <c r="M80" s="16">
        <v>2.4400000000000002E-2</v>
      </c>
      <c r="N80" s="16">
        <v>2.64E-2</v>
      </c>
      <c r="O80" s="16">
        <v>3.2800000000000003E-2</v>
      </c>
    </row>
    <row r="81" spans="6:15" x14ac:dyDescent="0.2">
      <c r="H81" s="12">
        <v>7.2</v>
      </c>
      <c r="I81" s="16">
        <v>7.3000000000000001E-3</v>
      </c>
      <c r="J81" s="16">
        <v>1.06E-2</v>
      </c>
      <c r="K81" s="16">
        <v>1.7600000000000001E-2</v>
      </c>
      <c r="L81" s="16">
        <v>2.1899999999999999E-2</v>
      </c>
      <c r="M81" s="16">
        <v>2.53E-2</v>
      </c>
      <c r="N81" s="13">
        <v>2.7400000000000001E-2</v>
      </c>
      <c r="O81" s="13">
        <v>3.4099999999999998E-2</v>
      </c>
    </row>
    <row r="82" spans="6:15" x14ac:dyDescent="0.2">
      <c r="H82" s="15">
        <v>7.6</v>
      </c>
      <c r="I82" s="16">
        <v>6.4000000000000003E-3</v>
      </c>
      <c r="J82" s="16">
        <v>1.0500000000000001E-2</v>
      </c>
      <c r="K82" s="16">
        <v>1.67E-2</v>
      </c>
      <c r="L82" s="16">
        <v>2.12E-2</v>
      </c>
      <c r="M82" s="16">
        <v>2.4199999999999999E-2</v>
      </c>
      <c r="N82" s="16">
        <v>2.6200000000000001E-2</v>
      </c>
      <c r="O82" s="16">
        <v>3.27E-2</v>
      </c>
    </row>
    <row r="83" spans="6:15" x14ac:dyDescent="0.2">
      <c r="H83" s="12">
        <v>8</v>
      </c>
      <c r="I83" s="16">
        <v>4.8999999999999998E-3</v>
      </c>
      <c r="J83" s="16">
        <v>9.5999999999999992E-3</v>
      </c>
      <c r="K83" s="16">
        <v>1.7299999999999999E-2</v>
      </c>
      <c r="L83" s="13">
        <v>2.1499999999999998E-2</v>
      </c>
      <c r="M83" s="16">
        <v>2.5000000000000001E-2</v>
      </c>
      <c r="N83" s="13">
        <v>2.7099999999999999E-2</v>
      </c>
      <c r="O83" s="13">
        <v>3.3500000000000002E-2</v>
      </c>
    </row>
    <row r="92" spans="6:15" x14ac:dyDescent="0.2">
      <c r="I92" s="8">
        <v>46157</v>
      </c>
      <c r="J92" s="8">
        <v>46192</v>
      </c>
      <c r="K92" s="8">
        <v>46283</v>
      </c>
      <c r="L92" s="8">
        <v>46374</v>
      </c>
      <c r="M92" s="8">
        <v>46465</v>
      </c>
      <c r="N92" s="8">
        <v>46556</v>
      </c>
      <c r="O92" s="8">
        <v>46920</v>
      </c>
    </row>
    <row r="93" spans="6:15" x14ac:dyDescent="0.2">
      <c r="H93" s="12">
        <v>5.6</v>
      </c>
      <c r="I93" s="16">
        <v>-1.21E-2</v>
      </c>
      <c r="J93" s="16">
        <v>-6.7000000000000002E-3</v>
      </c>
      <c r="K93" s="16">
        <v>-3.5000000000000001E-3</v>
      </c>
      <c r="L93" s="16">
        <v>-2.5999999999999999E-3</v>
      </c>
      <c r="M93" s="16">
        <v>-2.2000000000000001E-3</v>
      </c>
      <c r="N93" s="13">
        <v>-2E-3</v>
      </c>
      <c r="O93" s="13">
        <v>-1.4E-3</v>
      </c>
    </row>
    <row r="94" spans="6:15" x14ac:dyDescent="0.2">
      <c r="H94" s="15">
        <v>6</v>
      </c>
      <c r="I94" s="16">
        <v>-1.11E-2</v>
      </c>
      <c r="J94" s="16">
        <v>-6.7999999999999996E-3</v>
      </c>
      <c r="K94" s="16">
        <v>-3.7000000000000002E-3</v>
      </c>
      <c r="L94" s="16">
        <v>-2.7000000000000001E-3</v>
      </c>
      <c r="M94" s="16">
        <v>-2.2000000000000001E-3</v>
      </c>
      <c r="N94" s="16">
        <v>-2E-3</v>
      </c>
      <c r="O94" s="16">
        <v>-1.4E-3</v>
      </c>
    </row>
    <row r="95" spans="6:15" x14ac:dyDescent="0.2">
      <c r="H95" s="12">
        <v>6.4</v>
      </c>
      <c r="I95" s="16">
        <v>-1.0999999999999999E-2</v>
      </c>
      <c r="J95" s="16">
        <v>-6.4999999999999997E-3</v>
      </c>
      <c r="K95" s="16">
        <v>-3.5999999999999999E-3</v>
      </c>
      <c r="L95" s="16">
        <v>-2.7000000000000001E-3</v>
      </c>
      <c r="M95" s="16">
        <v>-2.2000000000000001E-3</v>
      </c>
      <c r="N95" s="13">
        <v>-2E-3</v>
      </c>
      <c r="O95" s="13">
        <v>-1.4E-3</v>
      </c>
    </row>
    <row r="96" spans="6:15" ht="29" x14ac:dyDescent="0.35">
      <c r="F96" s="25" t="s">
        <v>92</v>
      </c>
      <c r="H96" s="15">
        <v>6.8</v>
      </c>
      <c r="I96" s="16">
        <v>-1.0200000000000001E-2</v>
      </c>
      <c r="J96" s="16">
        <v>-6.1999999999999998E-3</v>
      </c>
      <c r="K96" s="16">
        <v>-3.5000000000000001E-3</v>
      </c>
      <c r="L96" s="16">
        <v>-2.5999999999999999E-3</v>
      </c>
      <c r="M96" s="16">
        <v>-2.2000000000000001E-3</v>
      </c>
      <c r="N96" s="16">
        <v>-2E-3</v>
      </c>
      <c r="O96" s="16">
        <v>-1.4E-3</v>
      </c>
    </row>
    <row r="97" spans="6:15" x14ac:dyDescent="0.2">
      <c r="H97" s="12">
        <v>7.2</v>
      </c>
      <c r="I97" s="16">
        <v>-8.9999999999999993E-3</v>
      </c>
      <c r="J97" s="16">
        <v>-5.5999999999999999E-3</v>
      </c>
      <c r="K97" s="16">
        <v>-3.5000000000000001E-3</v>
      </c>
      <c r="L97" s="16">
        <v>-2.5999999999999999E-3</v>
      </c>
      <c r="M97" s="16">
        <v>-2.2000000000000001E-3</v>
      </c>
      <c r="N97" s="13">
        <v>-1.9E-3</v>
      </c>
      <c r="O97" s="13">
        <v>-1.4E-3</v>
      </c>
    </row>
    <row r="98" spans="6:15" x14ac:dyDescent="0.2">
      <c r="H98" s="15">
        <v>7.6</v>
      </c>
      <c r="I98" s="16">
        <v>-7.6E-3</v>
      </c>
      <c r="J98" s="16">
        <v>-5.4999999999999997E-3</v>
      </c>
      <c r="K98" s="16">
        <v>-3.2000000000000002E-3</v>
      </c>
      <c r="L98" s="16">
        <v>-2.3999999999999998E-3</v>
      </c>
      <c r="M98" s="16">
        <v>-2E-3</v>
      </c>
      <c r="N98" s="16">
        <v>-1.9E-3</v>
      </c>
      <c r="O98" s="16">
        <v>-1.2999999999999999E-3</v>
      </c>
    </row>
    <row r="99" spans="6:15" x14ac:dyDescent="0.2">
      <c r="H99" s="12">
        <v>8</v>
      </c>
      <c r="I99" s="16">
        <v>-5.8999999999999999E-3</v>
      </c>
      <c r="J99" s="16">
        <v>-4.7000000000000002E-3</v>
      </c>
      <c r="K99" s="16">
        <v>-3.2000000000000002E-3</v>
      </c>
      <c r="L99" s="13">
        <v>-2.5000000000000001E-3</v>
      </c>
      <c r="M99" s="16">
        <v>-2E-3</v>
      </c>
      <c r="N99" s="13">
        <v>-1.9E-3</v>
      </c>
      <c r="O99" s="13">
        <v>-1.2999999999999999E-3</v>
      </c>
    </row>
    <row r="109" spans="6:15" x14ac:dyDescent="0.2">
      <c r="I109" s="8">
        <v>46157</v>
      </c>
      <c r="J109" s="8">
        <v>46192</v>
      </c>
      <c r="K109" s="8">
        <v>46283</v>
      </c>
      <c r="L109" s="8">
        <v>46374</v>
      </c>
      <c r="M109" s="8">
        <v>46465</v>
      </c>
      <c r="N109" s="8">
        <v>46556</v>
      </c>
      <c r="O109" s="8">
        <v>46920</v>
      </c>
    </row>
    <row r="110" spans="6:15" x14ac:dyDescent="0.2">
      <c r="H110" s="12">
        <v>5.6</v>
      </c>
      <c r="I110" s="16">
        <v>2.8999999999999998E-3</v>
      </c>
      <c r="J110" s="16">
        <v>5.8999999999999999E-3</v>
      </c>
      <c r="K110" s="16">
        <v>1.29E-2</v>
      </c>
      <c r="L110" s="16">
        <v>1.9400000000000001E-2</v>
      </c>
      <c r="M110" s="16">
        <v>2.5399999999999999E-2</v>
      </c>
      <c r="N110" s="13">
        <v>2.75E-2</v>
      </c>
      <c r="O110" s="13">
        <v>3.9199999999999999E-2</v>
      </c>
    </row>
    <row r="111" spans="6:15" ht="29" x14ac:dyDescent="0.35">
      <c r="F111" s="25" t="s">
        <v>93</v>
      </c>
      <c r="H111" s="15">
        <v>6</v>
      </c>
      <c r="I111" s="16">
        <v>2.8999999999999998E-3</v>
      </c>
      <c r="J111" s="16">
        <v>5.7999999999999996E-3</v>
      </c>
      <c r="K111" s="16">
        <v>1.2699999999999999E-2</v>
      </c>
      <c r="L111" s="16">
        <v>1.9099999999999999E-2</v>
      </c>
      <c r="M111" s="16">
        <v>2.52E-2</v>
      </c>
      <c r="N111" s="16">
        <v>2.75E-2</v>
      </c>
      <c r="O111" s="16">
        <v>4.0099999999999997E-2</v>
      </c>
    </row>
    <row r="112" spans="6:15" x14ac:dyDescent="0.2">
      <c r="H112" s="12">
        <v>6.4</v>
      </c>
      <c r="I112" s="16">
        <v>2.5999999999999999E-3</v>
      </c>
      <c r="J112" s="16">
        <v>5.4000000000000003E-3</v>
      </c>
      <c r="K112" s="16">
        <v>1.2200000000000001E-2</v>
      </c>
      <c r="L112" s="16">
        <v>1.8599999999999998E-2</v>
      </c>
      <c r="M112" s="16">
        <v>2.47E-2</v>
      </c>
      <c r="N112" s="13">
        <v>2.7300000000000001E-2</v>
      </c>
      <c r="O112" s="13">
        <v>4.0500000000000001E-2</v>
      </c>
    </row>
    <row r="113" spans="8:15" x14ac:dyDescent="0.2">
      <c r="H113" s="15">
        <v>6.8</v>
      </c>
      <c r="I113" s="16">
        <v>2.3E-3</v>
      </c>
      <c r="J113" s="16">
        <v>4.8999999999999998E-3</v>
      </c>
      <c r="K113" s="16">
        <v>1.15E-2</v>
      </c>
      <c r="L113" s="16">
        <v>1.78E-2</v>
      </c>
      <c r="M113" s="16">
        <v>2.3900000000000001E-2</v>
      </c>
      <c r="N113" s="16">
        <v>2.6599999999999999E-2</v>
      </c>
      <c r="O113" s="16">
        <v>4.0399999999999998E-2</v>
      </c>
    </row>
    <row r="114" spans="8:15" x14ac:dyDescent="0.2">
      <c r="H114" s="12">
        <v>7.2</v>
      </c>
      <c r="I114" s="16">
        <v>1.8E-3</v>
      </c>
      <c r="J114" s="16">
        <v>4.1999999999999997E-3</v>
      </c>
      <c r="K114" s="16">
        <v>1.0500000000000001E-2</v>
      </c>
      <c r="L114" s="16">
        <v>1.67E-2</v>
      </c>
      <c r="M114" s="16">
        <v>2.2700000000000001E-2</v>
      </c>
      <c r="N114" s="13">
        <v>2.5700000000000001E-2</v>
      </c>
      <c r="O114" s="13">
        <v>0.04</v>
      </c>
    </row>
    <row r="115" spans="8:15" x14ac:dyDescent="0.2">
      <c r="H115" s="15">
        <v>7.6</v>
      </c>
      <c r="I115" s="16">
        <v>1.2999999999999999E-3</v>
      </c>
      <c r="J115" s="16">
        <v>3.5000000000000001E-3</v>
      </c>
      <c r="K115" s="16">
        <v>9.4000000000000004E-3</v>
      </c>
      <c r="L115" s="16">
        <v>1.47E-2</v>
      </c>
      <c r="M115" s="16">
        <v>2.1299999999999999E-2</v>
      </c>
      <c r="N115" s="16">
        <v>2.4500000000000001E-2</v>
      </c>
      <c r="O115" s="16">
        <v>3.9300000000000002E-2</v>
      </c>
    </row>
    <row r="116" spans="8:15" x14ac:dyDescent="0.2">
      <c r="H116" s="12">
        <v>8</v>
      </c>
      <c r="I116" s="16">
        <v>8.9999999999999998E-4</v>
      </c>
      <c r="J116" s="16">
        <v>2.8E-3</v>
      </c>
      <c r="K116" s="16">
        <v>8.3000000000000001E-3</v>
      </c>
      <c r="L116" s="13">
        <v>1.41E-2</v>
      </c>
      <c r="M116" s="16">
        <v>1.9900000000000001E-2</v>
      </c>
      <c r="N116" s="13">
        <v>2.3199999999999998E-2</v>
      </c>
      <c r="O116" s="13">
        <v>3.8399999999999997E-2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7A123-FD50-C242-9459-A2D6380B4509}">
  <sheetPr codeName="Foglio7"/>
  <dimension ref="B3:M90"/>
  <sheetViews>
    <sheetView tabSelected="1" topLeftCell="G66" zoomScaleNormal="100" workbookViewId="0">
      <selection activeCell="C19" sqref="C19"/>
    </sheetView>
  </sheetViews>
  <sheetFormatPr baseColWidth="10" defaultRowHeight="15" x14ac:dyDescent="0.2"/>
  <sheetData>
    <row r="3" spans="2:12" x14ac:dyDescent="0.2">
      <c r="C3" t="s">
        <v>44</v>
      </c>
      <c r="D3">
        <v>6.89</v>
      </c>
      <c r="H3" t="s">
        <v>94</v>
      </c>
    </row>
    <row r="4" spans="2:12" x14ac:dyDescent="0.2">
      <c r="H4" t="s">
        <v>95</v>
      </c>
    </row>
    <row r="5" spans="2:12" x14ac:dyDescent="0.2">
      <c r="B5" t="s">
        <v>96</v>
      </c>
      <c r="C5" s="8">
        <v>46126</v>
      </c>
    </row>
    <row r="6" spans="2:12" ht="19" x14ac:dyDescent="0.25">
      <c r="B6" t="s">
        <v>97</v>
      </c>
      <c r="C6" s="8">
        <v>46283</v>
      </c>
      <c r="G6" s="38"/>
      <c r="H6" s="37" t="s">
        <v>39</v>
      </c>
      <c r="I6" s="33" t="s">
        <v>36</v>
      </c>
      <c r="J6" s="33" t="s">
        <v>91</v>
      </c>
      <c r="K6" s="33" t="s">
        <v>104</v>
      </c>
      <c r="L6" s="33" t="s">
        <v>105</v>
      </c>
    </row>
    <row r="7" spans="2:12" ht="19" x14ac:dyDescent="0.25">
      <c r="G7" s="35" t="s">
        <v>106</v>
      </c>
      <c r="H7" s="34" cm="1">
        <f t="array" ref="H7">DeltaC(D3,E8,E9,E10,E11,E12)</f>
        <v>0.53690526607370948</v>
      </c>
      <c r="I7" s="34" cm="1">
        <f t="array" ref="I7">GammaCP(D3,E8,E9,E10,E11,E12)</f>
        <v>0.13667523394387057</v>
      </c>
      <c r="J7" s="34" cm="1">
        <f t="array" ref="J7">Vega(D3,E8,E9,E10,E11,E12)</f>
        <v>1.7069424001796616</v>
      </c>
      <c r="K7" s="34" cm="1">
        <f t="array" ref="K7">ThetaC(D3,E8,E9,E10,E11,E12)</f>
        <v>-0.90952320067075043</v>
      </c>
      <c r="L7" s="34" cm="1">
        <f t="array" ref="L7">RhoC(D3,E8,E9,E10,E11,E12)</f>
        <v>1.1627636810047308</v>
      </c>
    </row>
    <row r="8" spans="2:12" ht="19" x14ac:dyDescent="0.25">
      <c r="D8" t="s">
        <v>102</v>
      </c>
      <c r="E8">
        <v>6.8</v>
      </c>
      <c r="G8" s="35" t="s">
        <v>107</v>
      </c>
      <c r="H8" s="36">
        <v>0.55700000000000005</v>
      </c>
      <c r="I8" s="36">
        <v>0.16059999999999999</v>
      </c>
      <c r="J8" s="36">
        <v>1.67E-2</v>
      </c>
      <c r="K8" s="36">
        <v>-3.5000000000000001E-3</v>
      </c>
      <c r="L8" s="36">
        <v>1.15E-2</v>
      </c>
    </row>
    <row r="9" spans="2:12" x14ac:dyDescent="0.2">
      <c r="B9" t="s">
        <v>100</v>
      </c>
      <c r="D9" t="s">
        <v>98</v>
      </c>
      <c r="E9">
        <f>(C6-C5)/365</f>
        <v>0.43013698630136987</v>
      </c>
    </row>
    <row r="10" spans="2:12" x14ac:dyDescent="0.2">
      <c r="D10" t="s">
        <v>99</v>
      </c>
      <c r="E10" s="1">
        <v>2.4369999999999999E-2</v>
      </c>
    </row>
    <row r="11" spans="2:12" x14ac:dyDescent="0.2">
      <c r="D11" t="s">
        <v>103</v>
      </c>
      <c r="E11">
        <v>0.1</v>
      </c>
    </row>
    <row r="12" spans="2:12" x14ac:dyDescent="0.2">
      <c r="D12" t="s">
        <v>101</v>
      </c>
      <c r="E12" s="22">
        <v>0.61162300000000003</v>
      </c>
      <c r="J12" s="23"/>
      <c r="K12" s="23"/>
      <c r="L12" s="23"/>
    </row>
    <row r="13" spans="2:12" x14ac:dyDescent="0.2">
      <c r="J13" t="s">
        <v>108</v>
      </c>
    </row>
    <row r="14" spans="2:12" x14ac:dyDescent="0.2">
      <c r="J14" t="s">
        <v>110</v>
      </c>
    </row>
    <row r="15" spans="2:12" x14ac:dyDescent="0.2">
      <c r="J15" t="s">
        <v>109</v>
      </c>
    </row>
    <row r="19" spans="3:13" ht="31" x14ac:dyDescent="0.35">
      <c r="C19" s="9" t="s">
        <v>113</v>
      </c>
    </row>
    <row r="21" spans="3:13" x14ac:dyDescent="0.2">
      <c r="G21" s="8">
        <v>46157</v>
      </c>
      <c r="H21" s="8">
        <v>46192</v>
      </c>
      <c r="I21" s="8">
        <v>46283</v>
      </c>
      <c r="J21" s="8">
        <v>46374</v>
      </c>
      <c r="K21" s="8">
        <v>46465</v>
      </c>
      <c r="L21" s="8">
        <v>46556</v>
      </c>
      <c r="M21" s="8">
        <v>46920</v>
      </c>
    </row>
    <row r="22" spans="3:13" x14ac:dyDescent="0.2">
      <c r="F22" s="12">
        <v>5.6</v>
      </c>
      <c r="G22" s="16" cm="1">
        <f t="array" ref="G22">DeltaC($D$3,$F22,(G$21-$C$5)/365,$E$10,$E$11,'Part 2'!J3/100)</f>
        <v>0.77266755926954755</v>
      </c>
      <c r="H22" s="16" cm="1">
        <f t="array" ref="H22">DeltaC($D$3,$F22,(H$21-$C$5)/365,$E$10,$E$11,'Part 2'!K3/100)</f>
        <v>0.74166922707326111</v>
      </c>
      <c r="I22" s="16" cm="1">
        <f t="array" ref="I22">DeltaC($D$3,$F22,(I$21-$C$5)/365,$E$10,$E$11,'Part 2'!L3/100)</f>
        <v>0.69644778997871448</v>
      </c>
      <c r="J22" s="16" cm="1">
        <f t="array" ref="J22">DeltaC($D$3,$F22,(J$21-$C$5)/365,$E$10,$E$11,'Part 2'!M3/100)</f>
        <v>0.66497511409176635</v>
      </c>
      <c r="K22" s="16" cm="1">
        <f t="array" ref="K22">DeltaC($D$3,$F22,(K$21-$C$5)/365,$E$10,$E$11,'Part 2'!N3/100)</f>
        <v>0.63952023356331922</v>
      </c>
      <c r="L22" s="16" cm="1">
        <f t="array" ref="L22">DeltaC($D$3,$F22,(L$21-$C$5)/365,$E$10,$E$11,'Part 2'!O3/100)</f>
        <v>0.62340829683162313</v>
      </c>
      <c r="M22" s="16" cm="1">
        <f t="array" ref="M22">DeltaC($D$3,$F22,(M$21-$C$5)/365,$E$10,$E$11,'Part 2'!P3/100)</f>
        <v>0.57026817886774006</v>
      </c>
    </row>
    <row r="23" spans="3:13" x14ac:dyDescent="0.2">
      <c r="F23" s="15">
        <v>6</v>
      </c>
      <c r="G23" s="16" cm="1">
        <f t="array" ref="G23">DeltaC($D$3,$F23,(G$21-$C$5)/365,$E$10,$E$11,'Part 2'!J4/100)</f>
        <v>0.71850567434527901</v>
      </c>
      <c r="H23" s="16" cm="1">
        <f t="array" ref="H23">DeltaC($D$3,$F23,(H$21-$C$5)/365,$E$10,$E$11,'Part 2'!K4/100)</f>
        <v>0.68914971045972706</v>
      </c>
      <c r="I23" s="16" cm="1">
        <f t="array" ref="I23">DeltaC($D$3,$F23,(I$21-$C$5)/365,$E$10,$E$11,'Part 2'!L4/100)</f>
        <v>0.64875430328018091</v>
      </c>
      <c r="J23" s="16" cm="1">
        <f t="array" ref="J23">DeltaC($D$3,$F23,(J$21-$C$5)/365,$E$10,$E$11,'Part 2'!M4/100)</f>
        <v>0.62162683244641781</v>
      </c>
      <c r="K23" s="16" cm="1">
        <f t="array" ref="K23">DeltaC($D$3,$F23,(K$21-$C$5)/365,$E$10,$E$11,'Part 2'!N4/100)</f>
        <v>0.59921204316278054</v>
      </c>
      <c r="L23" s="16" cm="1">
        <f t="array" ref="L23">DeltaC($D$3,$F23,(L$21-$C$5)/365,$E$10,$E$11,'Part 2'!O4/100)</f>
        <v>0.58882822226500509</v>
      </c>
      <c r="M23" s="16" cm="1">
        <f t="array" ref="M23">DeltaC($D$3,$F23,(M$21-$C$5)/365,$E$10,$E$11,'Part 2'!P4/100)</f>
        <v>0.54383444295038819</v>
      </c>
    </row>
    <row r="24" spans="3:13" ht="29" x14ac:dyDescent="0.35">
      <c r="D24" s="25" t="s">
        <v>39</v>
      </c>
      <c r="F24" s="12">
        <v>6.4</v>
      </c>
      <c r="G24" s="16" cm="1">
        <f t="array" ref="G24">DeltaC($D$3,$F24,(G$21-$C$5)/365,$E$10,$E$11,'Part 2'!J5/100)</f>
        <v>0.646568253279039</v>
      </c>
      <c r="H24" s="16" cm="1">
        <f t="array" ref="H24">DeltaC($D$3,$F24,(H$21-$C$5)/365,$E$10,$E$11,'Part 2'!K5/100)</f>
        <v>0.62444727258979049</v>
      </c>
      <c r="I24" s="16" cm="1">
        <f t="array" ref="I24">DeltaC($D$3,$F24,(I$21-$C$5)/365,$E$10,$E$11,'Part 2'!L5/100)</f>
        <v>0.59516908238517563</v>
      </c>
      <c r="J24" s="16" cm="1">
        <f t="array" ref="J24">DeltaC($D$3,$F24,(J$21-$C$5)/365,$E$10,$E$11,'Part 2'!M5/100)</f>
        <v>0.57550255818285845</v>
      </c>
      <c r="K24" s="16" cm="1">
        <f t="array" ref="K24">DeltaC($D$3,$F24,(K$21-$C$5)/365,$E$10,$E$11,'Part 2'!N5/100)</f>
        <v>0.55722276385764302</v>
      </c>
      <c r="L24" s="16" cm="1">
        <f t="array" ref="L24">DeltaC($D$3,$F24,(L$21-$C$5)/365,$E$10,$E$11,'Part 2'!O5/100)</f>
        <v>0.55315534486250628</v>
      </c>
      <c r="M24" s="16" cm="1">
        <f t="array" ref="M24">DeltaC($D$3,$F24,(M$21-$C$5)/365,$E$10,$E$11,'Part 2'!P5/100)</f>
        <v>0.51595885667208308</v>
      </c>
    </row>
    <row r="25" spans="3:13" x14ac:dyDescent="0.2">
      <c r="F25" s="15">
        <v>6.8</v>
      </c>
      <c r="G25" s="16" cm="1">
        <f t="array" ref="G25">DeltaC($D$3,$F25,(G$21-$C$5)/365,$E$10,$E$11,'Part 2'!J6/100)</f>
        <v>0.55299244771242217</v>
      </c>
      <c r="H25" s="16" cm="1">
        <f t="array" ref="H25">DeltaC($D$3,$F25,(H$21-$C$5)/365,$E$10,$E$11,'Part 2'!K6/100)</f>
        <v>0.54965251137727111</v>
      </c>
      <c r="I25" s="16" cm="1">
        <f t="array" ref="I25">DeltaC($D$3,$F25,(I$21-$C$5)/365,$E$10,$E$11,'Part 2'!L6/100)</f>
        <v>0.53690526607370948</v>
      </c>
      <c r="J25" s="16" cm="1">
        <f t="array" ref="J25">DeltaC($D$3,$F25,(J$21-$C$5)/365,$E$10,$E$11,'Part 2'!M6/100)</f>
        <v>0.52594120461986893</v>
      </c>
      <c r="K25" s="16" cm="1">
        <f t="array" ref="K25">DeltaC($D$3,$F25,(K$21-$C$5)/365,$E$10,$E$11,'Part 2'!N6/100)</f>
        <v>0.51316159400584571</v>
      </c>
      <c r="L25" s="16" cm="1">
        <f t="array" ref="L25">DeltaC($D$3,$F25,(L$21-$C$5)/365,$E$10,$E$11,'Part 2'!O6/100)</f>
        <v>0.51529083137438314</v>
      </c>
      <c r="M25" s="16" cm="1">
        <f t="array" ref="M25">DeltaC($D$3,$F25,(M$21-$C$5)/365,$E$10,$E$11,'Part 2'!P6/100)</f>
        <v>0.48840810329358392</v>
      </c>
    </row>
    <row r="26" spans="3:13" x14ac:dyDescent="0.2">
      <c r="F26" s="12">
        <v>7.2</v>
      </c>
      <c r="G26" s="16" cm="1">
        <f t="array" ref="G26">DeltaC($D$3,$F26,(G$21-$C$5)/365,$E$10,$E$11,'Part 2'!J7/100)</f>
        <v>0.44496992872602303</v>
      </c>
      <c r="H26" s="16" cm="1">
        <f t="array" ref="H26">DeltaC($D$3,$F26,(H$21-$C$5)/365,$E$10,$E$11,'Part 2'!K7/100)</f>
        <v>0.46864156328254841</v>
      </c>
      <c r="I26" s="16" cm="1">
        <f t="array" ref="I26">DeltaC($D$3,$F26,(I$21-$C$5)/365,$E$10,$E$11,'Part 2'!L7/100)</f>
        <v>0.47858979521009898</v>
      </c>
      <c r="J26" s="16" cm="1">
        <f t="array" ref="J26">DeltaC($D$3,$F26,(J$21-$C$5)/365,$E$10,$E$11,'Part 2'!M7/100)</f>
        <v>0.47505677082040604</v>
      </c>
      <c r="K26" s="16" cm="1">
        <f t="array" ref="K26">DeltaC($D$3,$F26,(K$21-$C$5)/365,$E$10,$E$11,'Part 2'!N7/100)</f>
        <v>0.46988126140160458</v>
      </c>
      <c r="L26" s="16" cm="1">
        <f t="array" ref="L26">DeltaC($D$3,$F26,(L$21-$C$5)/365,$E$10,$E$11,'Part 2'!O7/100)</f>
        <v>0.47832927222912858</v>
      </c>
      <c r="M26" s="16" cm="1">
        <f t="array" ref="M26">DeltaC($D$3,$F26,(M$21-$C$5)/365,$E$10,$E$11,'Part 2'!P7/100)</f>
        <v>0.46286246529975111</v>
      </c>
    </row>
    <row r="27" spans="3:13" x14ac:dyDescent="0.2">
      <c r="F27" s="15">
        <v>7.6</v>
      </c>
      <c r="G27" s="16" cm="1">
        <f t="array" ref="G27">DeltaC($D$3,$F27,(G$21-$C$5)/365,$E$10,$E$11,'Part 2'!J8/100)</f>
        <v>0.33786678366063688</v>
      </c>
      <c r="H27" s="16" cm="1">
        <f t="array" ref="H27">DeltaC($D$3,$F27,(H$21-$C$5)/365,$E$10,$E$11,'Part 2'!K8/100)</f>
        <v>0.38675942937112584</v>
      </c>
      <c r="I27" s="16" cm="1">
        <f t="array" ref="I27">DeltaC($D$3,$F27,(I$21-$C$5)/365,$E$10,$E$11,'Part 2'!L8/100)</f>
        <v>0.41732172640660692</v>
      </c>
      <c r="J27" s="16" cm="1">
        <f t="array" ref="J27">DeltaC($D$3,$F27,(J$21-$C$5)/365,$E$10,$E$11,'Part 2'!M8/100)</f>
        <v>0.42780489149015244</v>
      </c>
      <c r="K27" s="16" cm="1">
        <f t="array" ref="K27">DeltaC($D$3,$F27,(K$21-$C$5)/365,$E$10,$E$11,'Part 2'!N8/100)</f>
        <v>0.42483977300853909</v>
      </c>
      <c r="L27" s="16" cm="1">
        <f t="array" ref="L27">DeltaC($D$3,$F27,(L$21-$C$5)/365,$E$10,$E$11,'Part 2'!O8/100)</f>
        <v>0.44164463221735523</v>
      </c>
      <c r="M27" s="16" cm="1">
        <f t="array" ref="M27">DeltaC($D$3,$F27,(M$21-$C$5)/365,$E$10,$E$11,'Part 2'!P8/100)</f>
        <v>0.43589708566493213</v>
      </c>
    </row>
    <row r="28" spans="3:13" x14ac:dyDescent="0.2">
      <c r="F28" s="12">
        <v>8</v>
      </c>
      <c r="G28" s="16" cm="1">
        <f t="array" ref="G28">DeltaC($D$3,$F28,(G$21-$C$5)/365,$E$10,$E$11,'Part 2'!J9/100)</f>
        <v>0.2453742973929231</v>
      </c>
      <c r="H28" s="16" cm="1">
        <f t="array" ref="H28">DeltaC($D$3,$F28,(H$21-$C$5)/365,$E$10,$E$11,'Part 2'!K9/100)</f>
        <v>0.30990606697983547</v>
      </c>
      <c r="I28" s="16" cm="1">
        <f t="array" ref="I28">DeltaC($D$3,$F28,(I$21-$C$5)/365,$E$10,$E$11,'Part 2'!L9/100)</f>
        <v>0.36205783310509404</v>
      </c>
      <c r="J28" s="16" cm="1">
        <f t="array" ref="J28">DeltaC($D$3,$F28,(J$21-$C$5)/365,$E$10,$E$11,'Part 2'!M9/100)</f>
        <v>0.37975539951376119</v>
      </c>
      <c r="K28" s="16" cm="1">
        <f t="array" ref="K28">DeltaC($D$3,$F28,(K$21-$C$5)/365,$E$10,$E$11,'Part 2'!N9/100)</f>
        <v>0.38094605827508821</v>
      </c>
      <c r="L28" s="16" cm="1">
        <f t="array" ref="L28">DeltaC($D$3,$F28,(L$21-$C$5)/365,$E$10,$E$11,'Part 2'!O9/100)</f>
        <v>0.40436670114241924</v>
      </c>
      <c r="M28" s="16" cm="1">
        <f t="array" ref="M28">DeltaC($D$3,$F28,(M$21-$C$5)/365,$E$10,$E$11,'Part 2'!P9/100)</f>
        <v>0.40855197622299499</v>
      </c>
    </row>
    <row r="32" spans="3:13" x14ac:dyDescent="0.2">
      <c r="G32" s="8">
        <v>46157</v>
      </c>
      <c r="H32" s="8">
        <v>46192</v>
      </c>
      <c r="I32" s="8">
        <v>46283</v>
      </c>
      <c r="J32" s="8">
        <v>46374</v>
      </c>
      <c r="K32" s="8">
        <v>46465</v>
      </c>
      <c r="L32" s="8">
        <v>46556</v>
      </c>
      <c r="M32" s="8">
        <v>46920</v>
      </c>
    </row>
    <row r="33" spans="4:13" x14ac:dyDescent="0.2">
      <c r="F33" s="12">
        <v>5.6</v>
      </c>
      <c r="G33" s="16" cm="1">
        <f t="array" ref="G33">GammaCP($D$3,$F33,(G$21-$C$5)/365,$E$10,$E$11,'Part 2'!J3/100)</f>
        <v>0.12819124703279619</v>
      </c>
      <c r="H33" s="16" cm="1">
        <f t="array" ref="H33">GammaCP($D$3,$F33,(H$21-$C$5)/365,$E$10,$E$11,'Part 2'!K3/100)</f>
        <v>0.11463987119578781</v>
      </c>
      <c r="I33" s="16" cm="1">
        <f t="array" ref="I33">GammaCP($D$3,$F33,(I$21-$C$5)/365,$E$10,$E$11,'Part 2'!L3/100)</f>
        <v>9.6153613847938607E-2</v>
      </c>
      <c r="J33" s="16" cm="1">
        <f t="array" ref="J33">GammaCP($D$3,$F33,(J$21-$C$5)/365,$E$10,$E$11,'Part 2'!M3/100)</f>
        <v>8.3518752029888274E-2</v>
      </c>
      <c r="K33" s="16" cm="1">
        <f t="array" ref="K33">GammaCP($D$3,$F33,(K$21-$C$5)/365,$E$10,$E$11,'Part 2'!N3/100)</f>
        <v>7.5391663630228284E-2</v>
      </c>
      <c r="L33" s="16" cm="1">
        <f t="array" ref="L33">GammaCP($D$3,$F33,(L$21-$C$5)/365,$E$10,$E$11,'Part 2'!O3/100)</f>
        <v>6.0911919129445824E-2</v>
      </c>
      <c r="M33" s="16" cm="1">
        <f t="array" ref="M33">GammaCP($D$3,$F33,(M$21-$C$5)/365,$E$10,$E$11,'Part 2'!P3/100)</f>
        <v>3.9419617176514397E-2</v>
      </c>
    </row>
    <row r="34" spans="4:13" ht="29" x14ac:dyDescent="0.35">
      <c r="D34" s="25" t="s">
        <v>36</v>
      </c>
      <c r="F34" s="15">
        <v>6</v>
      </c>
      <c r="G34" s="16" cm="1">
        <f t="array" ref="G34">GammaCP($D$3,$F34,(G$21-$C$5)/365,$E$10,$E$11,'Part 2'!J4/100)</f>
        <v>0.16401217519218753</v>
      </c>
      <c r="H34" s="16" cm="1">
        <f t="array" ref="H34">GammaCP($D$3,$F34,(H$21-$C$5)/365,$E$10,$E$11,'Part 2'!K4/100)</f>
        <v>0.13986031639874533</v>
      </c>
      <c r="I34" s="16" cm="1">
        <f t="array" ref="I34">GammaCP($D$3,$F34,(I$21-$C$5)/365,$E$10,$E$11,'Part 2'!L4/100)</f>
        <v>0.11094723847301401</v>
      </c>
      <c r="J34" s="16" cm="1">
        <f t="array" ref="J34">GammaCP($D$3,$F34,(J$21-$C$5)/365,$E$10,$E$11,'Part 2'!M4/100)</f>
        <v>9.5075677174850909E-2</v>
      </c>
      <c r="K34" s="16" cm="1">
        <f t="array" ref="K34">GammaCP($D$3,$F34,(K$21-$C$5)/365,$E$10,$E$11,'Part 2'!N4/100)</f>
        <v>8.4589386766574196E-2</v>
      </c>
      <c r="L34" s="16" cm="1">
        <f t="array" ref="L34">GammaCP($D$3,$F34,(L$21-$C$5)/365,$E$10,$E$11,'Part 2'!O4/100)</f>
        <v>6.7619175581512245E-2</v>
      </c>
      <c r="M34" s="16" cm="1">
        <f t="array" ref="M34">GammaCP($D$3,$F34,(M$21-$C$5)/365,$E$10,$E$11,'Part 2'!P4/100)</f>
        <v>4.3394362491357794E-2</v>
      </c>
    </row>
    <row r="35" spans="4:13" x14ac:dyDescent="0.2">
      <c r="F35" s="12">
        <v>6.4</v>
      </c>
      <c r="G35" s="16" cm="1">
        <f t="array" ref="G35">GammaCP($D$3,$F35,(G$21-$C$5)/365,$E$10,$E$11,'Part 2'!J5/100)</f>
        <v>0.20755829048516264</v>
      </c>
      <c r="H35" s="16" cm="1">
        <f t="array" ref="H35">GammaCP($D$3,$F35,(H$21-$C$5)/365,$E$10,$E$11,'Part 2'!K5/100)</f>
        <v>0.16434351791942445</v>
      </c>
      <c r="I35" s="16" cm="1">
        <f t="array" ref="I35">GammaCP($D$3,$F35,(I$21-$C$5)/365,$E$10,$E$11,'Part 2'!L5/100)</f>
        <v>0.12503921869295406</v>
      </c>
      <c r="J35" s="16" cm="1">
        <f t="array" ref="J35">GammaCP($D$3,$F35,(J$21-$C$5)/365,$E$10,$E$11,'Part 2'!M5/100)</f>
        <v>0.10352894430793692</v>
      </c>
      <c r="K35" s="16" cm="1">
        <f t="array" ref="K35">GammaCP($D$3,$F35,(K$21-$C$5)/365,$E$10,$E$11,'Part 2'!N5/100)</f>
        <v>9.1591543976689782E-2</v>
      </c>
      <c r="L35" s="16" cm="1">
        <f t="array" ref="L35">GammaCP($D$3,$F35,(L$21-$C$5)/365,$E$10,$E$11,'Part 2'!O5/100)</f>
        <v>7.3291190614021215E-2</v>
      </c>
      <c r="M35" s="16" cm="1">
        <f t="array" ref="M35">GammaCP($D$3,$F35,(M$21-$C$5)/365,$E$10,$E$11,'Part 2'!P5/100)</f>
        <v>4.7362434609089142E-2</v>
      </c>
    </row>
    <row r="36" spans="4:13" x14ac:dyDescent="0.2">
      <c r="F36" s="15">
        <v>6.8</v>
      </c>
      <c r="G36" s="16" cm="1">
        <f t="array" ref="G36">GammaCP($D$3,$F36,(G$21-$C$5)/365,$E$10,$E$11,'Part 2'!J6/100)</f>
        <v>0.244377795829436</v>
      </c>
      <c r="H36" s="16" cm="1">
        <f t="array" ref="H36">GammaCP($D$3,$F36,(H$21-$C$5)/365,$E$10,$E$11,'Part 2'!K6/100)</f>
        <v>0.18508041859018631</v>
      </c>
      <c r="I36" s="16" cm="1">
        <f t="array" ref="I36">GammaCP($D$3,$F36,(I$21-$C$5)/365,$E$10,$E$11,'Part 2'!L6/100)</f>
        <v>0.13667523394387057</v>
      </c>
      <c r="J36" s="16" cm="1">
        <f t="array" ref="J36">GammaCP($D$3,$F36,(J$21-$C$5)/365,$E$10,$E$11,'Part 2'!M6/100)</f>
        <v>0.11198690645940497</v>
      </c>
      <c r="K36" s="16" cm="1">
        <f t="array" ref="K36">GammaCP($D$3,$F36,(K$21-$C$5)/365,$E$10,$E$11,'Part 2'!N6/100)</f>
        <v>9.7896811226177174E-2</v>
      </c>
      <c r="L36" s="16" cm="1">
        <f t="array" ref="L36">GammaCP($D$3,$F36,(L$21-$C$5)/365,$E$10,$E$11,'Part 2'!O6/100)</f>
        <v>7.883469974604905E-2</v>
      </c>
      <c r="M36" s="16" cm="1">
        <f t="array" ref="M36">GammaCP($D$3,$F36,(M$21-$C$5)/365,$E$10,$E$11,'Part 2'!P6/100)</f>
        <v>5.0702073598878003E-2</v>
      </c>
    </row>
    <row r="37" spans="4:13" x14ac:dyDescent="0.2">
      <c r="F37" s="12">
        <v>7.2</v>
      </c>
      <c r="G37" s="16" cm="1">
        <f t="array" ref="G37">GammaCP($D$3,$F37,(G$21-$C$5)/365,$E$10,$E$11,'Part 2'!J7/100)</f>
        <v>0.26615161222031536</v>
      </c>
      <c r="H37" s="16" cm="1">
        <f t="array" ref="H37">GammaCP($D$3,$F37,(H$21-$C$5)/365,$E$10,$E$11,'Part 2'!K7/100)</f>
        <v>0.19763986325563598</v>
      </c>
      <c r="I37" s="16" cm="1">
        <f t="array" ref="I37">GammaCP($D$3,$F37,(I$21-$C$5)/365,$E$10,$E$11,'Part 2'!L7/100)</f>
        <v>0.14209904330826661</v>
      </c>
      <c r="J37" s="16" cm="1">
        <f t="array" ref="J37">GammaCP($D$3,$F37,(J$21-$C$5)/365,$E$10,$E$11,'Part 2'!M7/100)</f>
        <v>0.11795980330498557</v>
      </c>
      <c r="K37" s="16" cm="1">
        <f t="array" ref="K37">GammaCP($D$3,$F37,(K$21-$C$5)/365,$E$10,$E$11,'Part 2'!N7/100)</f>
        <v>0.10163621277061885</v>
      </c>
      <c r="L37" s="16" cm="1">
        <f t="array" ref="L37">GammaCP($D$3,$F37,(L$21-$C$5)/365,$E$10,$E$11,'Part 2'!O7/100)</f>
        <v>8.2564654340619603E-2</v>
      </c>
      <c r="M37" s="16" cm="1">
        <f t="array" ref="M37">GammaCP($D$3,$F37,(M$21-$C$5)/365,$E$10,$E$11,'Part 2'!P7/100)</f>
        <v>5.3001333743035055E-2</v>
      </c>
    </row>
    <row r="38" spans="4:13" x14ac:dyDescent="0.2">
      <c r="F38" s="15">
        <v>7.6</v>
      </c>
      <c r="G38" s="16" cm="1">
        <f t="array" ref="G38">GammaCP($D$3,$F38,(G$21-$C$5)/365,$E$10,$E$11,'Part 2'!J8/100)</f>
        <v>0.25876783742434767</v>
      </c>
      <c r="H38" s="16" cm="1">
        <f t="array" ref="H38">GammaCP($D$3,$F38,(H$21-$C$5)/365,$E$10,$E$11,'Part 2'!K8/100)</f>
        <v>0.19959784534804309</v>
      </c>
      <c r="I38" s="16" cm="1">
        <f t="array" ref="I38">GammaCP($D$3,$F38,(I$21-$C$5)/365,$E$10,$E$11,'Part 2'!L8/100)</f>
        <v>0.14629875862332123</v>
      </c>
      <c r="J38" s="16" cm="1">
        <f t="array" ref="J38">GammaCP($D$3,$F38,(J$21-$C$5)/365,$E$10,$E$11,'Part 2'!M8/100)</f>
        <v>0.11925337796850674</v>
      </c>
      <c r="K38" s="16" cm="1">
        <f t="array" ref="K38">GammaCP($D$3,$F38,(K$21-$C$5)/365,$E$10,$E$11,'Part 2'!N8/100)</f>
        <v>0.10483365220011326</v>
      </c>
      <c r="L38" s="16" cm="1">
        <f t="array" ref="L38">GammaCP($D$3,$F38,(L$21-$C$5)/365,$E$10,$E$11,'Part 2'!O8/100)</f>
        <v>8.5203278991146214E-2</v>
      </c>
      <c r="M38" s="16" cm="1">
        <f t="array" ref="M38">GammaCP($D$3,$F38,(M$21-$C$5)/365,$E$10,$E$11,'Part 2'!P8/100)</f>
        <v>5.5327121549487754E-2</v>
      </c>
    </row>
    <row r="39" spans="4:13" x14ac:dyDescent="0.2">
      <c r="F39" s="12">
        <v>8</v>
      </c>
      <c r="G39" s="16" cm="1">
        <f t="array" ref="G39">GammaCP($D$3,$F39,(G$21-$C$5)/365,$E$10,$E$11,'Part 2'!J9/100)</f>
        <v>0.22832953361254385</v>
      </c>
      <c r="H39" s="16" cm="1">
        <f t="array" ref="H39">GammaCP($D$3,$F39,(H$21-$C$5)/365,$E$10,$E$11,'Part 2'!K9/100)</f>
        <v>0.19054926782785458</v>
      </c>
      <c r="I39" s="16" cm="1">
        <f t="array" ref="I39">GammaCP($D$3,$F39,(I$21-$C$5)/365,$E$10,$E$11,'Part 2'!L9/100)</f>
        <v>0.14371926398800919</v>
      </c>
      <c r="J39" s="16" cm="1">
        <f t="array" ref="J39">GammaCP($D$3,$F39,(J$21-$C$5)/365,$E$10,$E$11,'Part 2'!M9/100)</f>
        <v>0.11962670322504192</v>
      </c>
      <c r="K39" s="16" cm="1">
        <f t="array" ref="K39">GammaCP($D$3,$F39,(K$21-$C$5)/365,$E$10,$E$11,'Part 2'!N9/100)</f>
        <v>0.10597801686143293</v>
      </c>
      <c r="L39" s="16" cm="1">
        <f t="array" ref="L39">GammaCP($D$3,$F39,(L$21-$C$5)/365,$E$10,$E$11,'Part 2'!O9/100)</f>
        <v>8.7177260280751137E-2</v>
      </c>
      <c r="M39" s="16" cm="1">
        <f t="array" ref="M39">GammaCP($D$3,$F39,(M$21-$C$5)/365,$E$10,$E$11,'Part 2'!P9/100)</f>
        <v>5.7341113705295883E-2</v>
      </c>
    </row>
    <row r="46" spans="4:13" x14ac:dyDescent="0.2">
      <c r="G46" s="8">
        <v>46157</v>
      </c>
      <c r="H46" s="8">
        <v>46192</v>
      </c>
      <c r="I46" s="8">
        <v>46283</v>
      </c>
      <c r="J46" s="8">
        <v>46374</v>
      </c>
      <c r="K46" s="8">
        <v>46465</v>
      </c>
      <c r="L46" s="8">
        <v>46556</v>
      </c>
      <c r="M46" s="8">
        <v>46920</v>
      </c>
    </row>
    <row r="47" spans="4:13" x14ac:dyDescent="0.2">
      <c r="F47" s="12">
        <v>5.6</v>
      </c>
      <c r="G47" s="16" cm="1">
        <f t="array" ref="G47">Vega($D$3,$F47,(G$21-$C$5)/365,$E$10,$E$11,'Part 2'!J3/100)/100</f>
        <v>5.9065305826922739E-3</v>
      </c>
      <c r="H47" s="16" cm="1">
        <f t="array" ref="H47">Vega($D$3,$F47,(H$21-$C$5)/365,$E$10,$E$11,'Part 2'!K3/100)/100</f>
        <v>9.0413333762388234E-3</v>
      </c>
      <c r="I47" s="16" cm="1">
        <f t="array" ref="I47">Vega($D$3,$F47,(I$21-$C$5)/365,$E$10,$E$11,'Part 2'!L3/100)/100</f>
        <v>1.4389610766530747E-2</v>
      </c>
      <c r="J47" s="16" cm="1">
        <f t="array" ref="J47">Vega($D$3,$F47,(J$21-$C$5)/365,$E$10,$E$11,'Part 2'!M3/100)/100</f>
        <v>1.8112670184654595E-2</v>
      </c>
      <c r="K47" s="16" cm="1">
        <f t="array" ref="K47">Vega($D$3,$F47,(K$21-$C$5)/365,$E$10,$E$11,'Part 2'!N3/100)/100</f>
        <v>2.0983149914024179E-2</v>
      </c>
      <c r="L47" s="16" cm="1">
        <f t="array" ref="L47">Vega($D$3,$F47,(L$21-$C$5)/365,$E$10,$E$11,'Part 2'!O3/100)/100</f>
        <v>2.3064776342281736E-2</v>
      </c>
      <c r="M47" s="16" cm="1">
        <f t="array" ref="M47">Vega($D$3,$F47,(M$21-$C$5)/365,$E$10,$E$11,'Part 2'!P3/100)/100</f>
        <v>2.8036697386414348E-2</v>
      </c>
    </row>
    <row r="48" spans="4:13" ht="29" x14ac:dyDescent="0.35">
      <c r="D48" s="25" t="s">
        <v>91</v>
      </c>
      <c r="F48" s="15">
        <v>6</v>
      </c>
      <c r="G48" s="16" cm="1">
        <f t="array" ref="G48">Vega($D$3,$F48,(G$21-$C$5)/365,$E$10,$E$11,'Part 2'!J4/100)/100</f>
        <v>6.6476647290911496E-3</v>
      </c>
      <c r="H48" s="16" cm="1">
        <f t="array" ref="H48">Vega($D$3,$F48,(H$21-$C$5)/365,$E$10,$E$11,'Part 2'!K4/100)/100</f>
        <v>9.9781697923090554E-3</v>
      </c>
      <c r="I48" s="16" cm="1">
        <f t="array" ref="I48">Vega($D$3,$F48,(I$21-$C$5)/365,$E$10,$E$11,'Part 2'!L4/100)/100</f>
        <v>1.553420067332565E-2</v>
      </c>
      <c r="J48" s="16" cm="1">
        <f t="array" ref="J48">Vega($D$3,$F48,(J$21-$C$5)/365,$E$10,$E$11,'Part 2'!M4/100)/100</f>
        <v>1.9324022446214575E-2</v>
      </c>
      <c r="K48" s="16" cm="1">
        <f t="array" ref="K48">Vega($D$3,$F48,(K$21-$C$5)/365,$E$10,$E$11,'Part 2'!N4/100)/100</f>
        <v>2.2233096172740639E-2</v>
      </c>
      <c r="L48" s="16" cm="1">
        <f t="array" ref="L48">Vega($D$3,$F48,(L$21-$C$5)/365,$E$10,$E$11,'Part 2'!O4/100)/100</f>
        <v>2.4288623097751611E-2</v>
      </c>
      <c r="M48" s="16" cm="1">
        <f t="array" ref="M48">Vega($D$3,$F48,(M$21-$C$5)/365,$E$10,$E$11,'Part 2'!P4/100)/100</f>
        <v>2.9387604348698585E-2</v>
      </c>
    </row>
    <row r="49" spans="6:13" x14ac:dyDescent="0.2">
      <c r="F49" s="12">
        <v>6.4</v>
      </c>
      <c r="G49" s="16" cm="1">
        <f t="array" ref="G49">Vega($D$3,$F49,(G$21-$C$5)/365,$E$10,$E$11,'Part 2'!J5/100)/100</f>
        <v>7.3584427125857766E-3</v>
      </c>
      <c r="H49" s="16" cm="1">
        <f t="array" ref="H49">Vega($D$3,$F49,(H$21-$C$5)/365,$E$10,$E$11,'Part 2'!K5/100)/100</f>
        <v>1.0806880392902445E-2</v>
      </c>
      <c r="I49" s="16" cm="1">
        <f t="array" ref="I49">Vega($D$3,$F49,(I$21-$C$5)/365,$E$10,$E$11,'Part 2'!L5/100)/100</f>
        <v>1.646351537782139E-2</v>
      </c>
      <c r="J49" s="16" cm="1">
        <f t="array" ref="J49">Vega($D$3,$F49,(J$21-$C$5)/365,$E$10,$E$11,'Part 2'!M5/100)/100</f>
        <v>2.026825010047649E-2</v>
      </c>
      <c r="K49" s="16" cm="1">
        <f t="array" ref="K49">Vega($D$3,$F49,(K$21-$C$5)/365,$E$10,$E$11,'Part 2'!N5/100)/100</f>
        <v>2.3192189053156322E-2</v>
      </c>
      <c r="L49" s="16" cm="1">
        <f t="array" ref="L49">Vega($D$3,$F49,(L$21-$C$5)/365,$E$10,$E$11,'Part 2'!O5/100)/100</f>
        <v>2.5262375538699065E-2</v>
      </c>
      <c r="M49" s="16" cm="1">
        <f t="array" ref="M49">Vega($D$3,$F49,(M$21-$C$5)/365,$E$10,$E$11,'Part 2'!P5/100)/100</f>
        <v>3.0546129391058302E-2</v>
      </c>
    </row>
    <row r="50" spans="6:13" x14ac:dyDescent="0.2">
      <c r="F50" s="15">
        <v>6.8</v>
      </c>
      <c r="G50" s="16" cm="1">
        <f t="array" ref="G50">Vega($D$3,$F50,(G$21-$C$5)/365,$E$10,$E$11,'Part 2'!J6/100)/100</f>
        <v>7.8595802586839385E-3</v>
      </c>
      <c r="H50" s="16" cm="1">
        <f t="array" ref="H50">Vega($D$3,$F50,(H$21-$C$5)/365,$E$10,$E$11,'Part 2'!K6/100)/100</f>
        <v>1.1350249693645816E-2</v>
      </c>
      <c r="I50" s="16" cm="1">
        <f t="array" ref="I50">Vega($D$3,$F50,(I$21-$C$5)/365,$E$10,$E$11,'Part 2'!L6/100)/100</f>
        <v>1.7069424001796615E-2</v>
      </c>
      <c r="J50" s="16" cm="1">
        <f t="array" ref="J50">Vega($D$3,$F50,(J$21-$C$5)/365,$E$10,$E$11,'Part 2'!M6/100)/100</f>
        <v>2.0905184808842198E-2</v>
      </c>
      <c r="K50" s="16" cm="1">
        <f t="array" ref="K50">Vega($D$3,$F50,(K$21-$C$5)/365,$E$10,$E$11,'Part 2'!N6/100)/100</f>
        <v>2.3837880317256425E-2</v>
      </c>
      <c r="L50" s="16" cm="1">
        <f t="array" ref="L50">Vega($D$3,$F50,(L$21-$C$5)/365,$E$10,$E$11,'Part 2'!O6/100)/100</f>
        <v>2.5987583599951368E-2</v>
      </c>
      <c r="M50" s="16" cm="1">
        <f t="array" ref="M50">Vega($D$3,$F50,(M$21-$C$5)/365,$E$10,$E$11,'Part 2'!P6/100)/100</f>
        <v>3.1432764102568983E-2</v>
      </c>
    </row>
    <row r="51" spans="6:13" x14ac:dyDescent="0.2">
      <c r="F51" s="12">
        <v>7.2</v>
      </c>
      <c r="G51" s="16" cm="1">
        <f t="array" ref="G51">Vega($D$3,$F51,(G$21-$C$5)/365,$E$10,$E$11,'Part 2'!J7/100)/100</f>
        <v>7.8772358750993487E-3</v>
      </c>
      <c r="H51" s="16" cm="1">
        <f t="array" ref="H51">Vega($D$3,$F51,(H$21-$C$5)/365,$E$10,$E$11,'Part 2'!K7/100)/100</f>
        <v>1.1460177435116202E-2</v>
      </c>
      <c r="I51" s="16" cm="1">
        <f t="array" ref="I51">Vega($D$3,$F51,(I$21-$C$5)/365,$E$10,$E$11,'Part 2'!L7/100)/100</f>
        <v>1.7268391163923452E-2</v>
      </c>
      <c r="J51" s="16" cm="1">
        <f t="array" ref="J51">Vega($D$3,$F51,(J$21-$C$5)/365,$E$10,$E$11,'Part 2'!M7/100)/100</f>
        <v>2.1164250119209936E-2</v>
      </c>
      <c r="K51" s="16" cm="1">
        <f t="array" ref="K51">Vega($D$3,$F51,(K$21-$C$5)/365,$E$10,$E$11,'Part 2'!N7/100)/100</f>
        <v>2.4122043547209225E-2</v>
      </c>
      <c r="L51" s="16" cm="1">
        <f t="array" ref="L51">Vega($D$3,$F51,(L$21-$C$5)/365,$E$10,$E$11,'Part 2'!O7/100)/100</f>
        <v>2.6397541413323192E-2</v>
      </c>
      <c r="M51" s="16" cm="1">
        <f t="array" ref="M51">Vega($D$3,$F51,(M$21-$C$5)/365,$E$10,$E$11,'Part 2'!P7/100)/100</f>
        <v>3.2031770575531276E-2</v>
      </c>
    </row>
    <row r="52" spans="6:13" x14ac:dyDescent="0.2">
      <c r="F52" s="15">
        <v>7.6</v>
      </c>
      <c r="G52" s="16" cm="1">
        <f t="array" ref="G52">Vega($D$3,$F52,(G$21-$C$5)/365,$E$10,$E$11,'Part 2'!J8/100)/100</f>
        <v>7.3012583113752465E-3</v>
      </c>
      <c r="H52" s="16" cm="1">
        <f t="array" ref="H52">Vega($D$3,$F52,(H$21-$C$5)/365,$E$10,$E$11,'Part 2'!K8/100)/100</f>
        <v>1.1069901597405001E-2</v>
      </c>
      <c r="I52" s="16" cm="1">
        <f t="array" ref="I52">Vega($D$3,$F52,(I$21-$C$5)/365,$E$10,$E$11,'Part 2'!L8/100)/100</f>
        <v>1.7043360250631554E-2</v>
      </c>
      <c r="J52" s="16" cm="1">
        <f t="array" ref="J52">Vega($D$3,$F52,(J$21-$C$5)/365,$E$10,$E$11,'Part 2'!M8/100)/100</f>
        <v>2.1050924752751447E-2</v>
      </c>
      <c r="K52" s="16" cm="1">
        <f t="array" ref="K52">Vega($D$3,$F52,(K$21-$C$5)/365,$E$10,$E$11,'Part 2'!N8/100)/100</f>
        <v>2.4053777062572831E-2</v>
      </c>
      <c r="L52" s="16" cm="1">
        <f t="array" ref="L52">Vega($D$3,$F52,(L$21-$C$5)/365,$E$10,$E$11,'Part 2'!O8/100)/100</f>
        <v>2.6517965095133156E-2</v>
      </c>
      <c r="M52" s="16" cm="1">
        <f t="array" ref="M52">Vega($D$3,$F52,(M$21-$C$5)/365,$E$10,$E$11,'Part 2'!P8/100)/100</f>
        <v>3.2435740498927036E-2</v>
      </c>
    </row>
    <row r="53" spans="6:13" x14ac:dyDescent="0.2">
      <c r="F53" s="12">
        <v>8</v>
      </c>
      <c r="G53" s="16" cm="1">
        <f t="array" ref="G53">Vega($D$3,$F53,(G$21-$C$5)/365,$E$10,$E$11,'Part 2'!J9/100)/100</f>
        <v>6.2926275321045118E-3</v>
      </c>
      <c r="H53" s="16" cm="1">
        <f t="array" ref="H53">Vega($D$3,$F53,(H$21-$C$5)/365,$E$10,$E$11,'Part 2'!K9/100)/100</f>
        <v>1.0229162856160465E-2</v>
      </c>
      <c r="I53" s="16" cm="1">
        <f t="array" ref="I53">Vega($D$3,$F53,(I$21-$C$5)/365,$E$10,$E$11,'Part 2'!L9/100)/100</f>
        <v>1.6454114165236577E-2</v>
      </c>
      <c r="J53" s="16" cm="1">
        <f t="array" ref="J53">Vega($D$3,$F53,(J$21-$C$5)/365,$E$10,$E$11,'Part 2'!M9/100)/100</f>
        <v>2.0584343676569056E-2</v>
      </c>
      <c r="K53" s="16" cm="1">
        <f t="array" ref="K53">Vega($D$3,$F53,(K$21-$C$5)/365,$E$10,$E$11,'Part 2'!N9/100)/100</f>
        <v>2.3629051581704415E-2</v>
      </c>
      <c r="L53" s="16" cm="1">
        <f t="array" ref="L53">Vega($D$3,$F53,(L$21-$C$5)/365,$E$10,$E$11,'Part 2'!O9/100)/100</f>
        <v>2.6349328876778735E-2</v>
      </c>
      <c r="M53" s="16" cm="1">
        <f t="array" ref="M53">Vega($D$3,$F53,(M$21-$C$5)/365,$E$10,$E$11,'Part 2'!P9/100)/100</f>
        <v>3.2608847709539444E-2</v>
      </c>
    </row>
    <row r="64" spans="6:13" x14ac:dyDescent="0.2">
      <c r="G64" s="8">
        <v>46157</v>
      </c>
      <c r="H64" s="8">
        <v>46192</v>
      </c>
      <c r="I64" s="8">
        <v>46283</v>
      </c>
      <c r="J64" s="8">
        <v>46374</v>
      </c>
      <c r="K64" s="8">
        <v>46465</v>
      </c>
      <c r="L64" s="8">
        <v>46556</v>
      </c>
      <c r="M64" s="8">
        <v>46920</v>
      </c>
    </row>
    <row r="65" spans="4:13" x14ac:dyDescent="0.2">
      <c r="F65" s="12">
        <v>5.6</v>
      </c>
      <c r="G65" s="16" cm="1">
        <f t="array" ref="G65">ThetaC($D$3,$F65,(G$21-$C$5)/365,$E$10,$E$11,'Part 2'!J3/100)/252</f>
        <v>-1.4017726454008025E-2</v>
      </c>
      <c r="H65" s="16" cm="1">
        <f t="array" ref="H65">ThetaC($D$3,$F65,(H$21-$C$5)/365,$E$10,$E$11,'Part 2'!K3/100)/252</f>
        <v>-7.4204290672932396E-3</v>
      </c>
      <c r="I65" s="16" cm="1">
        <f t="array" ref="I65">ThetaC($D$3,$F65,(I$21-$C$5)/365,$E$10,$E$11,'Part 2'!L3/100)/252</f>
        <v>-3.254698101893229E-3</v>
      </c>
      <c r="J65" s="16" cm="1">
        <f t="array" ref="J65">ThetaC($D$3,$F65,(J$21-$C$5)/365,$E$10,$E$11,'Part 2'!M3/100)/252</f>
        <v>-2.0053683226272938E-3</v>
      </c>
      <c r="K65" s="16" cm="1">
        <f t="array" ref="K65">ThetaC($D$3,$F65,(K$21-$C$5)/365,$E$10,$E$11,'Part 2'!N3/100)/252</f>
        <v>-1.3292131197314106E-3</v>
      </c>
      <c r="L65" s="16" cm="1">
        <f t="array" ref="L65">ThetaC($D$3,$F65,(L$21-$C$5)/365,$E$10,$E$11,'Part 2'!O3/100)/252</f>
        <v>-1.1456950319398208E-3</v>
      </c>
      <c r="M65" s="16" cm="1">
        <f t="array" ref="M65">ThetaC($D$3,$F65,(M$21-$C$5)/365,$E$10,$E$11,'Part 2'!P3/100)/252</f>
        <v>-3.6674959546838069E-4</v>
      </c>
    </row>
    <row r="66" spans="4:13" ht="29" x14ac:dyDescent="0.35">
      <c r="D66" s="25" t="s">
        <v>92</v>
      </c>
      <c r="F66" s="15">
        <v>6</v>
      </c>
      <c r="G66" s="16" cm="1">
        <f t="array" ref="G66">ThetaC($D$3,$F66,(G$21-$C$5)/365,$E$10,$E$11,'Part 2'!J4/100)/252</f>
        <v>-1.4006014585957176E-2</v>
      </c>
      <c r="H66" s="16" cm="1">
        <f t="array" ref="H66">ThetaC($D$3,$F66,(H$21-$C$5)/365,$E$10,$E$11,'Part 2'!K4/100)/252</f>
        <v>-7.5448515689602209E-3</v>
      </c>
      <c r="I66" s="16" cm="1">
        <f t="array" ref="I66">ThetaC($D$3,$F66,(I$21-$C$5)/365,$E$10,$E$11,'Part 2'!L4/100)/252</f>
        <v>-3.4290537059923692E-3</v>
      </c>
      <c r="J66" s="16" cm="1">
        <f t="array" ref="J66">ThetaC($D$3,$F66,(J$21-$C$5)/365,$E$10,$E$11,'Part 2'!M4/100)/252</f>
        <v>-2.12056503964311E-3</v>
      </c>
      <c r="K66" s="16" cm="1">
        <f t="array" ref="K66">ThetaC($D$3,$F66,(K$21-$C$5)/365,$E$10,$E$11,'Part 2'!N4/100)/252</f>
        <v>-1.438693456852564E-3</v>
      </c>
      <c r="L66" s="16" cm="1">
        <f t="array" ref="L66">ThetaC($D$3,$F66,(L$21-$C$5)/365,$E$10,$E$11,'Part 2'!O4/100)/252</f>
        <v>-1.2375872633314112E-3</v>
      </c>
      <c r="M66" s="16" cm="1">
        <f t="array" ref="M66">ThetaC($D$3,$F66,(M$21-$C$5)/365,$E$10,$E$11,'Part 2'!P4/100)/252</f>
        <v>-4.3860516599078324E-4</v>
      </c>
    </row>
    <row r="67" spans="4:13" x14ac:dyDescent="0.2">
      <c r="F67" s="12">
        <v>6.4</v>
      </c>
      <c r="G67" s="16" cm="1">
        <f t="array" ref="G67">ThetaC($D$3,$F67,(G$21-$C$5)/365,$E$10,$E$11,'Part 2'!J5/100)/252</f>
        <v>-1.3689699891810247E-2</v>
      </c>
      <c r="H67" s="16" cm="1">
        <f t="array" ref="H67">ThetaC($D$3,$F67,(H$21-$C$5)/365,$E$10,$E$11,'Part 2'!K5/100)/252</f>
        <v>-7.6900918463149509E-3</v>
      </c>
      <c r="I67" s="16" cm="1">
        <f t="array" ref="I67">ThetaC($D$3,$F67,(I$21-$C$5)/365,$E$10,$E$11,'Part 2'!L5/100)/252</f>
        <v>-3.5480338035921459E-3</v>
      </c>
      <c r="J67" s="16" cm="1">
        <f t="array" ref="J67">ThetaC($D$3,$F67,(J$21-$C$5)/365,$E$10,$E$11,'Part 2'!M5/100)/252</f>
        <v>-2.2737398114992054E-3</v>
      </c>
      <c r="K67" s="16" cm="1">
        <f t="array" ref="K67">ThetaC($D$3,$F67,(K$21-$C$5)/365,$E$10,$E$11,'Part 2'!N5/100)/252</f>
        <v>-1.5599564329287553E-3</v>
      </c>
      <c r="L67" s="16" cm="1">
        <f t="array" ref="L67">ThetaC($D$3,$F67,(L$21-$C$5)/365,$E$10,$E$11,'Part 2'!O5/100)/252</f>
        <v>-1.3266140418589467E-3</v>
      </c>
      <c r="M67" s="16" cm="1">
        <f t="array" ref="M67">ThetaC($D$3,$F67,(M$21-$C$5)/365,$E$10,$E$11,'Part 2'!P5/100)/252</f>
        <v>-4.9839908468681166E-4</v>
      </c>
    </row>
    <row r="68" spans="4:13" x14ac:dyDescent="0.2">
      <c r="F68" s="15">
        <v>6.8</v>
      </c>
      <c r="G68" s="16" cm="1">
        <f t="array" ref="G68">ThetaC($D$3,$F68,(G$21-$C$5)/365,$E$10,$E$11,'Part 2'!J6/100)/252</f>
        <v>-1.3439723225831457E-2</v>
      </c>
      <c r="H68" s="16" cm="1">
        <f t="array" ref="H68">ThetaC($D$3,$F68,(H$21-$C$5)/365,$E$10,$E$11,'Part 2'!K6/100)/252</f>
        <v>-7.6822960208973567E-3</v>
      </c>
      <c r="I68" s="16" cm="1">
        <f t="array" ref="I68">ThetaC($D$3,$F68,(I$21-$C$5)/365,$E$10,$E$11,'Part 2'!L6/100)/252</f>
        <v>-3.6092190502807556E-3</v>
      </c>
      <c r="J68" s="16" cm="1">
        <f t="array" ref="J68">ThetaC($D$3,$F68,(J$21-$C$5)/365,$E$10,$E$11,'Part 2'!M6/100)/252</f>
        <v>-2.3376364092978657E-3</v>
      </c>
      <c r="K68" s="16" cm="1">
        <f t="array" ref="K68">ThetaC($D$3,$F68,(K$21-$C$5)/365,$E$10,$E$11,'Part 2'!N6/100)/252</f>
        <v>-1.6372535039252646E-3</v>
      </c>
      <c r="L68" s="16" cm="1">
        <f t="array" ref="L68">ThetaC($D$3,$F68,(L$21-$C$5)/365,$E$10,$E$11,'Part 2'!O6/100)/252</f>
        <v>-1.3821496497133747E-3</v>
      </c>
      <c r="M68" s="16" cm="1">
        <f t="array" ref="M68">ThetaC($D$3,$F68,(M$21-$C$5)/365,$E$10,$E$11,'Part 2'!P6/100)/252</f>
        <v>-5.5397387338660092E-4</v>
      </c>
    </row>
    <row r="69" spans="4:13" x14ac:dyDescent="0.2">
      <c r="F69" s="12">
        <v>7.2</v>
      </c>
      <c r="G69" s="16" cm="1">
        <f t="array" ref="G69">ThetaC($D$3,$F69,(G$21-$C$5)/365,$E$10,$E$11,'Part 2'!J7/100)/252</f>
        <v>-1.2546295531471617E-2</v>
      </c>
      <c r="H69" s="16" cm="1">
        <f t="array" ref="H69">ThetaC($D$3,$F69,(H$21-$C$5)/365,$E$10,$E$11,'Part 2'!K7/100)/252</f>
        <v>-7.4663626888507081E-3</v>
      </c>
      <c r="I69" s="16" cm="1">
        <f t="array" ref="I69">ThetaC($D$3,$F69,(I$21-$C$5)/365,$E$10,$E$11,'Part 2'!L7/100)/252</f>
        <v>-3.6716840859161845E-3</v>
      </c>
      <c r="J69" s="16" cm="1">
        <f t="array" ref="J69">ThetaC($D$3,$F69,(J$21-$C$5)/365,$E$10,$E$11,'Part 2'!M7/100)/252</f>
        <v>-2.3656162307122016E-3</v>
      </c>
      <c r="K69" s="16" cm="1">
        <f t="array" ref="K69">ThetaC($D$3,$F69,(K$21-$C$5)/365,$E$10,$E$11,'Part 2'!N7/100)/252</f>
        <v>-1.7041555996278549E-3</v>
      </c>
      <c r="L69" s="16" cm="1">
        <f t="array" ref="L69">ThetaC($D$3,$F69,(L$21-$C$5)/365,$E$10,$E$11,'Part 2'!O7/100)/252</f>
        <v>-1.4367062411677659E-3</v>
      </c>
      <c r="M69" s="16" cm="1">
        <f t="array" ref="M69">ThetaC($D$3,$F69,(M$21-$C$5)/365,$E$10,$E$11,'Part 2'!P7/100)/252</f>
        <v>-6.0965762948455248E-4</v>
      </c>
    </row>
    <row r="70" spans="4:13" x14ac:dyDescent="0.2">
      <c r="F70" s="15">
        <v>7.6</v>
      </c>
      <c r="G70" s="16" cm="1">
        <f t="array" ref="G70">ThetaC($D$3,$F70,(G$21-$C$5)/365,$E$10,$E$11,'Part 2'!J8/100)/252</f>
        <v>-1.1210424748669953E-2</v>
      </c>
      <c r="H70" s="16" cm="1">
        <f t="array" ref="H70">ThetaC($D$3,$F70,(H$21-$C$5)/365,$E$10,$E$11,'Part 2'!K8/100)/252</f>
        <v>-7.0051071331280875E-3</v>
      </c>
      <c r="I70" s="16" cm="1">
        <f t="array" ref="I70">ThetaC($D$3,$F70,(I$21-$C$5)/365,$E$10,$E$11,'Part 2'!L8/100)/252</f>
        <v>-3.5594760209237079E-3</v>
      </c>
      <c r="J70" s="16" cm="1">
        <f t="array" ref="J70">ThetaC($D$3,$F70,(J$21-$C$5)/365,$E$10,$E$11,'Part 2'!M8/100)/252</f>
        <v>-2.4033287632486823E-3</v>
      </c>
      <c r="K70" s="16" cm="1">
        <f t="array" ref="K70">ThetaC($D$3,$F70,(K$21-$C$5)/365,$E$10,$E$11,'Part 2'!N8/100)/252</f>
        <v>-1.7128991571604792E-3</v>
      </c>
      <c r="L70" s="16" cm="1">
        <f t="array" ref="L70">ThetaC($D$3,$F70,(L$21-$C$5)/365,$E$10,$E$11,'Part 2'!O8/100)/252</f>
        <v>-1.4709736702071287E-3</v>
      </c>
      <c r="M70" s="16" cm="1">
        <f t="array" ref="M70">ThetaC($D$3,$F70,(M$21-$C$5)/365,$E$10,$E$11,'Part 2'!P8/100)/252</f>
        <v>-6.4943125323045745E-4</v>
      </c>
    </row>
    <row r="71" spans="4:13" x14ac:dyDescent="0.2">
      <c r="F71" s="12">
        <v>8</v>
      </c>
      <c r="G71" s="16" cm="1">
        <f t="array" ref="G71">ThetaC($D$3,$F71,(G$21-$C$5)/365,$E$10,$E$11,'Part 2'!J9/100)/252</f>
        <v>-9.5233759004206449E-3</v>
      </c>
      <c r="H71" s="16" cm="1">
        <f t="array" ref="H71">ThetaC($D$3,$F71,(H$21-$C$5)/365,$E$10,$E$11,'Part 2'!K9/100)/252</f>
        <v>-6.3475765342803593E-3</v>
      </c>
      <c r="I71" s="16" cm="1">
        <f t="array" ref="I71">ThetaC($D$3,$F71,(I$21-$C$5)/365,$E$10,$E$11,'Part 2'!L9/100)/252</f>
        <v>-3.4560097418387045E-3</v>
      </c>
      <c r="J71" s="16" cm="1">
        <f t="array" ref="J71">ThetaC($D$3,$F71,(J$21-$C$5)/365,$E$10,$E$11,'Part 2'!M9/100)/252</f>
        <v>-2.3581802945187805E-3</v>
      </c>
      <c r="K71" s="16" cm="1">
        <f t="array" ref="K71">ThetaC($D$3,$F71,(K$21-$C$5)/365,$E$10,$E$11,'Part 2'!N9/100)/252</f>
        <v>-1.6954660458542384E-3</v>
      </c>
      <c r="L71" s="16" cm="1">
        <f t="array" ref="L71">ThetaC($D$3,$F71,(L$21-$C$5)/365,$E$10,$E$11,'Part 2'!O9/100)/252</f>
        <v>-1.4747155253193485E-3</v>
      </c>
      <c r="M71" s="16" cm="1">
        <f t="array" ref="M71">ThetaC($D$3,$F71,(M$21-$C$5)/365,$E$10,$E$11,'Part 2'!P9/100)/252</f>
        <v>-6.7786429630844883E-4</v>
      </c>
    </row>
    <row r="83" spans="4:13" x14ac:dyDescent="0.2">
      <c r="G83" s="8">
        <v>46157</v>
      </c>
      <c r="H83" s="8">
        <v>46192</v>
      </c>
      <c r="I83" s="8">
        <v>46283</v>
      </c>
      <c r="J83" s="8">
        <v>46374</v>
      </c>
      <c r="K83" s="8">
        <v>46465</v>
      </c>
      <c r="L83" s="8">
        <v>46556</v>
      </c>
      <c r="M83" s="8">
        <v>46920</v>
      </c>
    </row>
    <row r="84" spans="4:13" x14ac:dyDescent="0.2">
      <c r="F84" s="12">
        <v>5.6</v>
      </c>
      <c r="G84" s="16" cm="1">
        <f t="array" ref="G84">RhoC($D$3,$F84,(G$21-$C$5)/365,$E$10,$E$11,'Part 2'!J3/100)/100</f>
        <v>3.1744207386229482E-3</v>
      </c>
      <c r="H84" s="16" cm="1">
        <f t="array" ref="H84">RhoC($D$3,$F84,(H$21-$C$5)/365,$E$10,$E$11,'Part 2'!K3/100)/100</f>
        <v>6.2304828176680573E-3</v>
      </c>
      <c r="I84" s="16" cm="1">
        <f t="array" ref="I84">RhoC($D$3,$F84,(I$21-$C$5)/365,$E$10,$E$11,'Part 2'!L3/100)/100</f>
        <v>1.3087561751882255E-2</v>
      </c>
      <c r="J84" s="16" cm="1">
        <f t="array" ref="J84">RhoC($D$3,$F84,(J$21-$C$5)/365,$E$10,$E$11,'Part 2'!M3/100)/100</f>
        <v>1.8775239660842151E-2</v>
      </c>
      <c r="K84" s="16" cm="1">
        <f t="array" ref="K84">RhoC($D$3,$F84,(K$21-$C$5)/365,$E$10,$E$11,'Part 2'!N3/100)/100</f>
        <v>2.3825129346816944E-2</v>
      </c>
      <c r="L84" s="16" cm="1">
        <f t="array" ref="L84">RhoC($D$3,$F84,(L$21-$C$5)/365,$E$10,$E$11,'Part 2'!O3/100)/100</f>
        <v>2.68065581876645E-2</v>
      </c>
      <c r="M84" s="16" cm="1">
        <f t="array" ref="M84">RhoC($D$3,$F84,(M$21-$C$5)/365,$E$10,$E$11,'Part 2'!P3/100)/100</f>
        <v>3.7048408928015822E-2</v>
      </c>
    </row>
    <row r="85" spans="4:13" ht="29" x14ac:dyDescent="0.35">
      <c r="D85" s="25" t="s">
        <v>93</v>
      </c>
      <c r="F85" s="15">
        <v>6</v>
      </c>
      <c r="G85" s="16" cm="1">
        <f t="array" ref="G85">RhoC($D$3,$F85,(G$21-$C$5)/365,$E$10,$E$11,'Part 2'!J4/100)/100</f>
        <v>3.1494621438592015E-3</v>
      </c>
      <c r="H85" s="16" cm="1">
        <f t="array" ref="H85">RhoC($D$3,$F85,(H$21-$C$5)/365,$E$10,$E$11,'Part 2'!K4/100)/100</f>
        <v>6.1550996332157739E-3</v>
      </c>
      <c r="I85" s="16" cm="1">
        <f t="array" ref="I85">RhoC($D$3,$F85,(I$21-$C$5)/365,$E$10,$E$11,'Part 2'!L4/100)/100</f>
        <v>1.2875164256952185E-2</v>
      </c>
      <c r="J85" s="16" cm="1">
        <f t="array" ref="J85">RhoC($D$3,$F85,(J$21-$C$5)/365,$E$10,$E$11,'Part 2'!M4/100)/100</f>
        <v>1.857359525725517E-2</v>
      </c>
      <c r="K85" s="16" cm="1">
        <f t="array" ref="K85">RhoC($D$3,$F85,(K$21-$C$5)/365,$E$10,$E$11,'Part 2'!N4/100)/100</f>
        <v>2.3588785825847353E-2</v>
      </c>
      <c r="L85" s="16" cm="1">
        <f t="array" ref="L85">RhoC($D$3,$F85,(L$21-$C$5)/365,$E$10,$E$11,'Part 2'!O4/100)/100</f>
        <v>2.6822639575023066E-2</v>
      </c>
      <c r="M85" s="16" cm="1">
        <f t="array" ref="M85">RhoC($D$3,$F85,(M$21-$C$5)/365,$E$10,$E$11,'Part 2'!P4/100)/100</f>
        <v>3.7725692998811594E-2</v>
      </c>
    </row>
    <row r="86" spans="4:13" x14ac:dyDescent="0.2">
      <c r="F86" s="12">
        <v>6.4</v>
      </c>
      <c r="G86" s="16" cm="1">
        <f t="array" ref="G86">RhoC($D$3,$F86,(G$21-$C$5)/365,$E$10,$E$11,'Part 2'!J5/100)/100</f>
        <v>3.0027916013915827E-3</v>
      </c>
      <c r="H86" s="16" cm="1">
        <f t="array" ref="H86">RhoC($D$3,$F86,(H$21-$C$5)/365,$E$10,$E$11,'Part 2'!K5/100)/100</f>
        <v>5.8602061591399926E-3</v>
      </c>
      <c r="I86" s="16" cm="1">
        <f t="array" ref="I86">RhoC($D$3,$F86,(I$21-$C$5)/365,$E$10,$E$11,'Part 2'!L5/100)/100</f>
        <v>1.2385390595577759E-2</v>
      </c>
      <c r="J86" s="16" cm="1">
        <f t="array" ref="J86">RhoC($D$3,$F86,(J$21-$C$5)/365,$E$10,$E$11,'Part 2'!M5/100)/100</f>
        <v>1.7904996864045751E-2</v>
      </c>
      <c r="K86" s="16" cm="1">
        <f t="array" ref="K86">RhoC($D$3,$F86,(K$21-$C$5)/365,$E$10,$E$11,'Part 2'!N5/100)/100</f>
        <v>2.2863292387873598E-2</v>
      </c>
      <c r="L86" s="16" cm="1">
        <f t="array" ref="L86">RhoC($D$3,$F86,(L$21-$C$5)/365,$E$10,$E$11,'Part 2'!O5/100)/100</f>
        <v>2.6404225275842918E-2</v>
      </c>
      <c r="M86" s="16" cm="1">
        <f t="array" ref="M86">RhoC($D$3,$F86,(M$21-$C$5)/365,$E$10,$E$11,'Part 2'!P5/100)/100</f>
        <v>3.8032630655962706E-2</v>
      </c>
    </row>
    <row r="87" spans="4:13" x14ac:dyDescent="0.2">
      <c r="F87" s="15">
        <v>6.8</v>
      </c>
      <c r="G87" s="16" cm="1">
        <f t="array" ref="G87">RhoC($D$3,$F87,(G$21-$C$5)/365,$E$10,$E$11,'Part 2'!J6/100)/100</f>
        <v>2.6812171603678215E-3</v>
      </c>
      <c r="H87" s="16" cm="1">
        <f t="array" ref="H87">RhoC($D$3,$F87,(H$21-$C$5)/365,$E$10,$E$11,'Part 2'!K6/100)/100</f>
        <v>5.3735459596186167E-3</v>
      </c>
      <c r="I87" s="16" cm="1">
        <f t="array" ref="I87">RhoC($D$3,$F87,(I$21-$C$5)/365,$E$10,$E$11,'Part 2'!L6/100)/100</f>
        <v>1.1627636810047309E-2</v>
      </c>
      <c r="J87" s="16" cm="1">
        <f t="array" ref="J87">RhoC($D$3,$F87,(J$21-$C$5)/365,$E$10,$E$11,'Part 2'!M6/100)/100</f>
        <v>1.7040749537538508E-2</v>
      </c>
      <c r="K87" s="16" cm="1">
        <f t="array" ref="K87">RhoC($D$3,$F87,(K$21-$C$5)/365,$E$10,$E$11,'Part 2'!N6/100)/100</f>
        <v>2.1883391787134429E-2</v>
      </c>
      <c r="L87" s="16" cm="1">
        <f t="array" ref="L87">RhoC($D$3,$F87,(L$21-$C$5)/365,$E$10,$E$11,'Part 2'!O6/100)/100</f>
        <v>2.5725046244765196E-2</v>
      </c>
      <c r="M87" s="16" cm="1">
        <f t="array" ref="M87">RhoC($D$3,$F87,(M$21-$C$5)/365,$E$10,$E$11,'Part 2'!P6/100)/100</f>
        <v>3.783716496445004E-2</v>
      </c>
    </row>
    <row r="88" spans="4:13" x14ac:dyDescent="0.2">
      <c r="F88" s="12">
        <v>7.2</v>
      </c>
      <c r="G88" s="16" cm="1">
        <f t="array" ref="G88">RhoC($D$3,$F88,(G$21-$C$5)/365,$E$10,$E$11,'Part 2'!J7/100)/100</f>
        <v>2.2329240035656108E-3</v>
      </c>
      <c r="H88" s="16" cm="1">
        <f t="array" ref="H88">RhoC($D$3,$F88,(H$21-$C$5)/365,$E$10,$E$11,'Part 2'!K7/100)/100</f>
        <v>4.7344178470361585E-3</v>
      </c>
      <c r="I88" s="16" cm="1">
        <f t="array" ref="I88">RhoC($D$3,$F88,(I$21-$C$5)/365,$E$10,$E$11,'Part 2'!L7/100)/100</f>
        <v>1.0659091902199564E-2</v>
      </c>
      <c r="J88" s="16" cm="1">
        <f t="array" ref="J88">RhoC($D$3,$F88,(J$21-$C$5)/365,$E$10,$E$11,'Part 2'!M7/100)/100</f>
        <v>1.5923993853089832E-2</v>
      </c>
      <c r="K88" s="16" cm="1">
        <f t="array" ref="K88">RhoC($D$3,$F88,(K$21-$C$5)/365,$E$10,$E$11,'Part 2'!N7/100)/100</f>
        <v>2.0641917753831042E-2</v>
      </c>
      <c r="L88" s="16" cm="1">
        <f t="array" ref="L88">RhoC($D$3,$F88,(L$21-$C$5)/365,$E$10,$E$11,'Part 2'!O7/100)/100</f>
        <v>2.4715862574177495E-2</v>
      </c>
      <c r="M88" s="16" cm="1">
        <f t="array" ref="M88">RhoC($D$3,$F88,(M$21-$C$5)/365,$E$10,$E$11,'Part 2'!P7/100)/100</f>
        <v>3.7196733111501616E-2</v>
      </c>
    </row>
    <row r="89" spans="4:13" x14ac:dyDescent="0.2">
      <c r="F89" s="15">
        <v>7.6</v>
      </c>
      <c r="G89" s="16" cm="1">
        <f t="array" ref="G89">RhoC($D$3,$F89,(G$21-$C$5)/365,$E$10,$E$11,'Part 2'!J8/100)/100</f>
        <v>1.7358833892930593E-3</v>
      </c>
      <c r="H89" s="16" cm="1">
        <f t="array" ref="H89">RhoC($D$3,$F89,(H$21-$C$5)/365,$E$10,$E$11,'Part 2'!K8/100)/100</f>
        <v>4.0112610134802381E-3</v>
      </c>
      <c r="I89" s="16" cm="1">
        <f t="array" ref="I89">RhoC($D$3,$F89,(I$21-$C$5)/365,$E$10,$E$11,'Part 2'!L8/100)/100</f>
        <v>9.5731648378405525E-3</v>
      </c>
      <c r="J89" s="16" cm="1">
        <f t="array" ref="J89">RhoC($D$3,$F89,(J$21-$C$5)/365,$E$10,$E$11,'Part 2'!M8/100)/100</f>
        <v>1.4668490835569051E-2</v>
      </c>
      <c r="K89" s="16" cm="1">
        <f t="array" ref="K89">RhoC($D$3,$F89,(K$21-$C$5)/365,$E$10,$E$11,'Part 2'!N8/100)/100</f>
        <v>1.9239760229464668E-2</v>
      </c>
      <c r="L89" s="16" cm="1">
        <f t="array" ref="L89">RhoC($D$3,$F89,(L$21-$C$5)/365,$E$10,$E$11,'Part 2'!O8/100)/100</f>
        <v>2.3516551477162341E-2</v>
      </c>
      <c r="M89" s="16" cm="1">
        <f t="array" ref="M89">RhoC($D$3,$F89,(M$21-$C$5)/365,$E$10,$E$11,'Part 2'!P8/100)/100</f>
        <v>3.6375268691955009E-2</v>
      </c>
    </row>
    <row r="90" spans="4:13" x14ac:dyDescent="0.2">
      <c r="F90" s="12">
        <v>8</v>
      </c>
      <c r="G90" s="16" cm="1">
        <f t="array" ref="G90">RhoC($D$3,$F90,(G$21-$C$5)/365,$E$10,$E$11,'Part 2'!J9/100)/100</f>
        <v>1.28132945613324E-3</v>
      </c>
      <c r="H90" s="16" cm="1">
        <f t="array" ref="H90">RhoC($D$3,$F90,(H$21-$C$5)/365,$E$10,$E$11,'Part 2'!K9/100)/100</f>
        <v>3.2809484125736759E-3</v>
      </c>
      <c r="I90" s="16" cm="1">
        <f t="array" ref="I90">RhoC($D$3,$F90,(I$21-$C$5)/365,$E$10,$E$11,'Part 2'!L9/100)/100</f>
        <v>8.4693277369536392E-3</v>
      </c>
      <c r="J90" s="16" cm="1">
        <f t="array" ref="J90">RhoC($D$3,$F90,(J$21-$C$5)/365,$E$10,$E$11,'Part 2'!M9/100)/100</f>
        <v>1.3333291828179501E-2</v>
      </c>
      <c r="K90" s="16" cm="1">
        <f t="array" ref="K90">RhoC($D$3,$F90,(K$21-$C$5)/365,$E$10,$E$11,'Part 2'!N9/100)/100</f>
        <v>1.7705351223983187E-2</v>
      </c>
      <c r="L90" s="16" cm="1">
        <f t="array" ref="L90">RhoC($D$3,$F90,(L$21-$C$5)/365,$E$10,$E$11,'Part 2'!O9/100)/100</f>
        <v>2.216377696361712E-2</v>
      </c>
      <c r="M90" s="16" cm="1">
        <f t="array" ref="M90">RhoC($D$3,$F90,(M$21-$C$5)/365,$E$10,$E$11,'Part 2'!P9/100)/100</f>
        <v>3.5321270259574648E-2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B7816-AF26-B14C-8B46-A0149832CBF9}">
  <sheetPr codeName="Foglio5"/>
  <dimension ref="A1:Q164"/>
  <sheetViews>
    <sheetView topLeftCell="A143" zoomScale="163" zoomScaleNormal="163" workbookViewId="0">
      <selection activeCell="Q11" sqref="Q11:Q17"/>
    </sheetView>
  </sheetViews>
  <sheetFormatPr baseColWidth="10" defaultRowHeight="15" x14ac:dyDescent="0.2"/>
  <cols>
    <col min="1" max="1" width="14" customWidth="1"/>
    <col min="2" max="2" width="7" customWidth="1"/>
    <col min="3" max="3" width="9" customWidth="1"/>
    <col min="4" max="4" width="13" customWidth="1"/>
    <col min="5" max="6" width="12" customWidth="1"/>
    <col min="7" max="9" width="11" customWidth="1"/>
  </cols>
  <sheetData>
    <row r="1" spans="1:17" ht="17" x14ac:dyDescent="0.2">
      <c r="A1" s="30" t="s">
        <v>52</v>
      </c>
      <c r="B1" s="29"/>
      <c r="C1" s="29"/>
      <c r="D1" s="29"/>
      <c r="E1" s="29"/>
      <c r="F1" s="29"/>
      <c r="G1" s="29"/>
      <c r="H1" s="29"/>
      <c r="I1" s="29"/>
    </row>
    <row r="2" spans="1:17" x14ac:dyDescent="0.2">
      <c r="A2" s="28" t="s">
        <v>53</v>
      </c>
      <c r="B2" s="29"/>
      <c r="C2" s="29"/>
      <c r="D2" s="29"/>
      <c r="E2" s="29"/>
      <c r="F2" s="29"/>
      <c r="G2" s="29"/>
      <c r="H2" s="29"/>
    </row>
    <row r="3" spans="1:17" x14ac:dyDescent="0.2">
      <c r="A3" s="10" t="s">
        <v>54</v>
      </c>
      <c r="B3" s="10" t="s">
        <v>55</v>
      </c>
      <c r="C3" s="10" t="s">
        <v>56</v>
      </c>
      <c r="D3" s="10" t="s">
        <v>57</v>
      </c>
      <c r="E3" s="10" t="s">
        <v>58</v>
      </c>
      <c r="F3" s="10" t="s">
        <v>59</v>
      </c>
      <c r="G3" s="10" t="s">
        <v>60</v>
      </c>
      <c r="H3" s="10" t="s">
        <v>61</v>
      </c>
      <c r="I3" s="10" t="s">
        <v>62</v>
      </c>
    </row>
    <row r="4" spans="1:17" x14ac:dyDescent="0.2">
      <c r="A4" s="11" t="s">
        <v>63</v>
      </c>
      <c r="B4" s="11" t="s">
        <v>64</v>
      </c>
      <c r="C4" s="12">
        <v>5.6</v>
      </c>
      <c r="D4" s="13">
        <v>115.071</v>
      </c>
      <c r="E4" s="13">
        <v>0.74380000000000002</v>
      </c>
      <c r="F4" s="13">
        <v>0.14810000000000001</v>
      </c>
      <c r="G4" s="13">
        <v>6.3E-3</v>
      </c>
      <c r="H4" s="13">
        <v>-1.2200000000000001E-2</v>
      </c>
      <c r="I4" s="13">
        <v>2.8999999999999998E-3</v>
      </c>
    </row>
    <row r="5" spans="1:17" x14ac:dyDescent="0.2">
      <c r="A5" s="14" t="s">
        <v>63</v>
      </c>
      <c r="B5" s="14" t="s">
        <v>64</v>
      </c>
      <c r="C5" s="15">
        <v>5.6</v>
      </c>
      <c r="D5" s="16">
        <v>114.2791</v>
      </c>
      <c r="E5" s="16">
        <v>0.74450000000000005</v>
      </c>
      <c r="F5" s="16">
        <v>0.1489</v>
      </c>
      <c r="G5" s="16">
        <v>6.3E-3</v>
      </c>
      <c r="H5" s="16">
        <v>-1.21E-2</v>
      </c>
      <c r="I5" s="16">
        <v>2.8999999999999998E-3</v>
      </c>
    </row>
    <row r="6" spans="1:17" x14ac:dyDescent="0.2">
      <c r="A6" s="11" t="s">
        <v>63</v>
      </c>
      <c r="B6" s="11" t="s">
        <v>64</v>
      </c>
      <c r="C6" s="12">
        <v>5.8</v>
      </c>
      <c r="D6" s="13">
        <v>106.5997</v>
      </c>
      <c r="E6" s="13">
        <v>0.71650000000000003</v>
      </c>
      <c r="F6" s="13">
        <v>0.1605</v>
      </c>
      <c r="G6" s="13">
        <v>6.4000000000000003E-3</v>
      </c>
      <c r="H6" s="13">
        <v>-1.1599999999999999E-2</v>
      </c>
      <c r="I6" s="13">
        <v>2.8999999999999998E-3</v>
      </c>
    </row>
    <row r="7" spans="1:17" x14ac:dyDescent="0.2">
      <c r="A7" s="14" t="s">
        <v>63</v>
      </c>
      <c r="B7" s="14" t="s">
        <v>64</v>
      </c>
      <c r="C7" s="15">
        <v>5.8</v>
      </c>
      <c r="D7" s="16">
        <v>107.36620000000001</v>
      </c>
      <c r="E7" s="16">
        <v>0.71589999999999998</v>
      </c>
      <c r="F7" s="16">
        <v>0.16750000000000001</v>
      </c>
      <c r="G7" s="16">
        <v>6.4000000000000003E-3</v>
      </c>
      <c r="H7" s="16">
        <v>-1.1599999999999999E-2</v>
      </c>
      <c r="I7" s="16">
        <v>2.8999999999999998E-3</v>
      </c>
    </row>
    <row r="8" spans="1:17" x14ac:dyDescent="0.2">
      <c r="A8" s="11" t="s">
        <v>63</v>
      </c>
      <c r="B8" s="11" t="s">
        <v>64</v>
      </c>
      <c r="C8" s="12">
        <v>6</v>
      </c>
      <c r="D8" s="13">
        <v>100.5277</v>
      </c>
      <c r="E8" s="13">
        <v>0.67989999999999995</v>
      </c>
      <c r="F8" s="13">
        <v>0.18959999999999999</v>
      </c>
      <c r="G8" s="13">
        <v>6.6E-3</v>
      </c>
      <c r="H8" s="13">
        <v>-1.11E-2</v>
      </c>
      <c r="I8" s="13">
        <v>2.8999999999999998E-3</v>
      </c>
    </row>
    <row r="9" spans="1:17" x14ac:dyDescent="0.2">
      <c r="A9" s="14" t="s">
        <v>63</v>
      </c>
      <c r="B9" s="14" t="s">
        <v>64</v>
      </c>
      <c r="C9" s="15">
        <v>6</v>
      </c>
      <c r="D9" s="16">
        <v>99.946700000000007</v>
      </c>
      <c r="E9" s="16">
        <v>0.68010000000000004</v>
      </c>
      <c r="F9" s="16">
        <v>0.1903</v>
      </c>
      <c r="G9" s="16">
        <v>6.6E-3</v>
      </c>
      <c r="H9" s="16">
        <v>-1.11E-2</v>
      </c>
      <c r="I9" s="16">
        <v>2.8999999999999998E-3</v>
      </c>
    </row>
    <row r="10" spans="1:17" x14ac:dyDescent="0.2">
      <c r="A10" s="11" t="s">
        <v>63</v>
      </c>
      <c r="B10" s="11" t="s">
        <v>64</v>
      </c>
      <c r="C10" s="12">
        <v>6.2</v>
      </c>
      <c r="D10" s="13">
        <v>93.945800000000006</v>
      </c>
      <c r="E10" s="13">
        <v>0.54020000000000001</v>
      </c>
      <c r="F10" s="13">
        <v>0.21110000000000001</v>
      </c>
      <c r="G10" s="13">
        <v>7.1999999999999998E-3</v>
      </c>
      <c r="H10" s="13">
        <v>-1.14E-2</v>
      </c>
      <c r="I10" s="13">
        <v>2.8E-3</v>
      </c>
    </row>
    <row r="11" spans="1:17" x14ac:dyDescent="0.2">
      <c r="A11" s="14" t="s">
        <v>63</v>
      </c>
      <c r="B11" s="14" t="s">
        <v>64</v>
      </c>
      <c r="C11" s="15">
        <v>6.2</v>
      </c>
      <c r="D11" s="16">
        <v>93.600499999999997</v>
      </c>
      <c r="E11" s="16">
        <v>0.64039999999999997</v>
      </c>
      <c r="F11" s="16">
        <v>0.219</v>
      </c>
      <c r="G11" s="16">
        <v>7.1999999999999998E-3</v>
      </c>
      <c r="H11" s="16">
        <v>-1.14E-2</v>
      </c>
      <c r="I11" s="16">
        <v>2.8E-3</v>
      </c>
      <c r="M11" s="16">
        <v>0.74450000000000005</v>
      </c>
      <c r="N11" s="16">
        <v>0.1489</v>
      </c>
      <c r="O11" s="16">
        <v>6.3E-3</v>
      </c>
      <c r="P11" s="16">
        <v>-1.21E-2</v>
      </c>
      <c r="Q11" s="16">
        <v>2.8999999999999998E-3</v>
      </c>
    </row>
    <row r="12" spans="1:17" x14ac:dyDescent="0.2">
      <c r="A12" s="11" t="s">
        <v>63</v>
      </c>
      <c r="B12" s="11" t="s">
        <v>64</v>
      </c>
      <c r="C12" s="12">
        <v>6.4</v>
      </c>
      <c r="D12" s="13">
        <v>87.930300000000003</v>
      </c>
      <c r="E12" s="13">
        <v>0.5948</v>
      </c>
      <c r="F12" s="13">
        <v>0.23330000000000001</v>
      </c>
      <c r="G12" s="13">
        <v>7.4000000000000003E-3</v>
      </c>
      <c r="H12" s="13">
        <v>-1.09E-2</v>
      </c>
      <c r="I12" s="13">
        <v>2.5999999999999999E-3</v>
      </c>
      <c r="M12" s="16">
        <v>0.68010000000000004</v>
      </c>
      <c r="N12" s="16">
        <v>0.1903</v>
      </c>
      <c r="O12" s="16">
        <v>6.6E-3</v>
      </c>
      <c r="P12" s="16">
        <v>-1.11E-2</v>
      </c>
      <c r="Q12" s="16">
        <v>2.8999999999999998E-3</v>
      </c>
    </row>
    <row r="13" spans="1:17" x14ac:dyDescent="0.2">
      <c r="A13" s="14" t="s">
        <v>63</v>
      </c>
      <c r="B13" s="14" t="s">
        <v>64</v>
      </c>
      <c r="C13" s="15">
        <v>6.4</v>
      </c>
      <c r="D13" s="16">
        <v>88.609099999999998</v>
      </c>
      <c r="E13" s="16">
        <v>0.59489999999999998</v>
      </c>
      <c r="F13" s="16">
        <v>0.2215</v>
      </c>
      <c r="G13" s="16">
        <v>7.4000000000000003E-3</v>
      </c>
      <c r="H13" s="16">
        <v>-1.0999999999999999E-2</v>
      </c>
      <c r="I13" s="16">
        <v>2.5999999999999999E-3</v>
      </c>
      <c r="M13" s="16">
        <v>0.59489999999999998</v>
      </c>
      <c r="N13" s="16">
        <v>0.2215</v>
      </c>
      <c r="O13" s="16">
        <v>7.4000000000000003E-3</v>
      </c>
      <c r="P13" s="16">
        <v>-1.0999999999999999E-2</v>
      </c>
      <c r="Q13" s="16">
        <v>2.5999999999999999E-3</v>
      </c>
    </row>
    <row r="14" spans="1:17" x14ac:dyDescent="0.2">
      <c r="A14" s="11" t="s">
        <v>63</v>
      </c>
      <c r="B14" s="11" t="s">
        <v>64</v>
      </c>
      <c r="C14" s="12">
        <v>6.6</v>
      </c>
      <c r="D14" s="13">
        <v>84.081400000000002</v>
      </c>
      <c r="E14" s="13">
        <v>0.54479999999999995</v>
      </c>
      <c r="F14" s="13">
        <v>0.25130000000000002</v>
      </c>
      <c r="G14" s="13">
        <v>7.4999999999999997E-3</v>
      </c>
      <c r="H14" s="13">
        <v>-1.06E-2</v>
      </c>
      <c r="I14" s="13">
        <v>2.5000000000000001E-3</v>
      </c>
      <c r="M14" s="16">
        <v>0.49049999999999999</v>
      </c>
      <c r="N14" s="16">
        <v>0.26850000000000002</v>
      </c>
      <c r="O14" s="16">
        <v>7.6E-3</v>
      </c>
      <c r="P14" s="16">
        <v>-1.0200000000000001E-2</v>
      </c>
      <c r="Q14" s="16">
        <v>2.3E-3</v>
      </c>
    </row>
    <row r="15" spans="1:17" x14ac:dyDescent="0.2">
      <c r="A15" s="14" t="s">
        <v>63</v>
      </c>
      <c r="B15" s="14" t="s">
        <v>64</v>
      </c>
      <c r="C15" s="15">
        <v>6.6</v>
      </c>
      <c r="D15" s="16">
        <v>84.081400000000002</v>
      </c>
      <c r="E15" s="16">
        <v>0.54479999999999995</v>
      </c>
      <c r="F15" s="16">
        <v>0.25130000000000002</v>
      </c>
      <c r="G15" s="16">
        <v>7.4999999999999997E-3</v>
      </c>
      <c r="H15" s="16">
        <v>-1.06E-2</v>
      </c>
      <c r="I15" s="16">
        <v>2.5000000000000001E-3</v>
      </c>
      <c r="M15" s="16">
        <v>0.37890000000000001</v>
      </c>
      <c r="N15" s="16">
        <v>0.27139999999999997</v>
      </c>
      <c r="O15" s="16">
        <v>7.3000000000000001E-3</v>
      </c>
      <c r="P15" s="16">
        <v>-8.9999999999999993E-3</v>
      </c>
      <c r="Q15" s="16">
        <v>1.8E-3</v>
      </c>
    </row>
    <row r="16" spans="1:17" x14ac:dyDescent="0.2">
      <c r="A16" s="11" t="s">
        <v>63</v>
      </c>
      <c r="B16" s="11" t="s">
        <v>64</v>
      </c>
      <c r="C16" s="12">
        <v>6.8</v>
      </c>
      <c r="D16" s="13">
        <v>79.768299999999996</v>
      </c>
      <c r="E16" s="13">
        <v>0.4909</v>
      </c>
      <c r="F16" s="13">
        <v>0.26440000000000002</v>
      </c>
      <c r="G16" s="13">
        <v>7.6E-3</v>
      </c>
      <c r="H16" s="13">
        <v>-1.0200000000000001E-2</v>
      </c>
      <c r="I16" s="13">
        <v>2.2000000000000001E-3</v>
      </c>
      <c r="M16" s="16">
        <v>0.2752</v>
      </c>
      <c r="N16" s="16">
        <v>0.24909999999999999</v>
      </c>
      <c r="O16" s="16">
        <v>6.4000000000000003E-3</v>
      </c>
      <c r="P16" s="16">
        <v>-7.6E-3</v>
      </c>
      <c r="Q16" s="16">
        <v>1.2999999999999999E-3</v>
      </c>
    </row>
    <row r="17" spans="1:17" x14ac:dyDescent="0.2">
      <c r="A17" s="14" t="s">
        <v>63</v>
      </c>
      <c r="B17" s="14" t="s">
        <v>64</v>
      </c>
      <c r="C17" s="15">
        <v>6.8</v>
      </c>
      <c r="D17" s="16">
        <v>78.437100000000001</v>
      </c>
      <c r="E17" s="16">
        <v>0.49049999999999999</v>
      </c>
      <c r="F17" s="16">
        <v>0.26850000000000002</v>
      </c>
      <c r="G17" s="16">
        <v>7.6E-3</v>
      </c>
      <c r="H17" s="16">
        <v>-1.0200000000000001E-2</v>
      </c>
      <c r="I17" s="16">
        <v>2.3E-3</v>
      </c>
      <c r="M17" s="16">
        <v>0.18779999999999999</v>
      </c>
      <c r="N17" s="16">
        <v>0.20810000000000001</v>
      </c>
      <c r="O17" s="16">
        <v>4.8999999999999998E-3</v>
      </c>
      <c r="P17" s="16">
        <v>-5.8999999999999999E-3</v>
      </c>
      <c r="Q17" s="16">
        <v>8.9999999999999998E-4</v>
      </c>
    </row>
    <row r="18" spans="1:17" x14ac:dyDescent="0.2">
      <c r="A18" s="11" t="s">
        <v>63</v>
      </c>
      <c r="B18" s="11" t="s">
        <v>64</v>
      </c>
      <c r="C18" s="12">
        <v>7</v>
      </c>
      <c r="D18" s="13">
        <v>76.876999999999995</v>
      </c>
      <c r="E18" s="13">
        <v>0.43390000000000001</v>
      </c>
      <c r="F18" s="13">
        <v>0.27229999999999999</v>
      </c>
      <c r="G18" s="13">
        <v>7.7000000000000002E-3</v>
      </c>
      <c r="H18" s="13">
        <v>-9.4000000000000004E-3</v>
      </c>
      <c r="I18" s="13">
        <v>2E-3</v>
      </c>
    </row>
    <row r="19" spans="1:17" x14ac:dyDescent="0.2">
      <c r="A19" s="14" t="s">
        <v>63</v>
      </c>
      <c r="B19" s="14" t="s">
        <v>64</v>
      </c>
      <c r="C19" s="15">
        <v>7</v>
      </c>
      <c r="D19" s="16">
        <v>77.1999</v>
      </c>
      <c r="E19" s="16">
        <v>0.43459999999999999</v>
      </c>
      <c r="F19" s="16">
        <v>0.2722</v>
      </c>
      <c r="G19" s="16">
        <v>7.7000000000000002E-3</v>
      </c>
      <c r="H19" s="16">
        <v>-9.5999999999999992E-3</v>
      </c>
      <c r="I19" s="16">
        <v>2E-3</v>
      </c>
    </row>
    <row r="20" spans="1:17" x14ac:dyDescent="0.2">
      <c r="A20" s="11" t="s">
        <v>63</v>
      </c>
      <c r="B20" s="11" t="s">
        <v>64</v>
      </c>
      <c r="C20" s="12">
        <v>7.2</v>
      </c>
      <c r="D20" s="13">
        <v>73.406999999999996</v>
      </c>
      <c r="E20" s="13">
        <v>0.377</v>
      </c>
      <c r="F20" s="13">
        <v>0.27350000000000002</v>
      </c>
      <c r="G20" s="13">
        <v>7.3000000000000001E-3</v>
      </c>
      <c r="H20" s="13">
        <v>-8.8999999999999999E-3</v>
      </c>
      <c r="I20" s="13">
        <v>1.8E-3</v>
      </c>
    </row>
    <row r="21" spans="1:17" x14ac:dyDescent="0.2">
      <c r="A21" s="14" t="s">
        <v>63</v>
      </c>
      <c r="B21" s="14" t="s">
        <v>64</v>
      </c>
      <c r="C21" s="15">
        <v>7.2</v>
      </c>
      <c r="D21" s="16">
        <v>74.095699999999994</v>
      </c>
      <c r="E21" s="16">
        <v>0.37890000000000001</v>
      </c>
      <c r="F21" s="16">
        <v>0.27139999999999997</v>
      </c>
      <c r="G21" s="16">
        <v>7.3000000000000001E-3</v>
      </c>
      <c r="H21" s="16">
        <v>-8.9999999999999993E-3</v>
      </c>
      <c r="I21" s="16">
        <v>1.8E-3</v>
      </c>
    </row>
    <row r="22" spans="1:17" x14ac:dyDescent="0.2">
      <c r="A22" s="11" t="s">
        <v>63</v>
      </c>
      <c r="B22" s="11" t="s">
        <v>64</v>
      </c>
      <c r="C22" s="12">
        <v>7.4</v>
      </c>
      <c r="D22" s="13">
        <v>72.395099999999999</v>
      </c>
      <c r="E22" s="13">
        <v>0.32340000000000002</v>
      </c>
      <c r="F22" s="13">
        <v>0.26490000000000002</v>
      </c>
      <c r="G22" s="13">
        <v>7.4000000000000003E-3</v>
      </c>
      <c r="H22" s="13">
        <v>-7.7000000000000002E-3</v>
      </c>
      <c r="I22" s="13">
        <v>1.6000000000000001E-3</v>
      </c>
    </row>
    <row r="23" spans="1:17" x14ac:dyDescent="0.2">
      <c r="A23" s="14" t="s">
        <v>63</v>
      </c>
      <c r="B23" s="14" t="s">
        <v>64</v>
      </c>
      <c r="C23" s="15">
        <v>7.4</v>
      </c>
      <c r="D23" s="16">
        <v>72.734300000000005</v>
      </c>
      <c r="E23" s="16">
        <v>0.3246</v>
      </c>
      <c r="F23" s="16">
        <v>0.26390000000000002</v>
      </c>
      <c r="G23" s="16">
        <v>7.4000000000000003E-3</v>
      </c>
      <c r="H23" s="16">
        <v>-8.0999999999999996E-3</v>
      </c>
      <c r="I23" s="16">
        <v>1.6000000000000001E-3</v>
      </c>
    </row>
    <row r="24" spans="1:17" x14ac:dyDescent="0.2">
      <c r="A24" s="11" t="s">
        <v>63</v>
      </c>
      <c r="B24" s="11" t="s">
        <v>64</v>
      </c>
      <c r="C24" s="12">
        <v>7.6</v>
      </c>
      <c r="D24" s="13">
        <v>69.980999999999995</v>
      </c>
      <c r="E24" s="13">
        <v>0.2722</v>
      </c>
      <c r="F24" s="13">
        <v>0.25059999999999999</v>
      </c>
      <c r="G24" s="13">
        <v>6.4000000000000003E-3</v>
      </c>
      <c r="H24" s="13">
        <v>-7.4999999999999997E-3</v>
      </c>
      <c r="I24" s="13">
        <v>1.2999999999999999E-3</v>
      </c>
    </row>
    <row r="25" spans="1:17" x14ac:dyDescent="0.2">
      <c r="A25" s="14" t="s">
        <v>63</v>
      </c>
      <c r="B25" s="14" t="s">
        <v>64</v>
      </c>
      <c r="C25" s="15">
        <v>7.6</v>
      </c>
      <c r="D25" s="16">
        <v>70.775599999999997</v>
      </c>
      <c r="E25" s="16">
        <v>0.2752</v>
      </c>
      <c r="F25" s="16">
        <v>0.24909999999999999</v>
      </c>
      <c r="G25" s="16">
        <v>6.4000000000000003E-3</v>
      </c>
      <c r="H25" s="16">
        <v>-7.6E-3</v>
      </c>
      <c r="I25" s="16">
        <v>1.2999999999999999E-3</v>
      </c>
    </row>
    <row r="26" spans="1:17" x14ac:dyDescent="0.2">
      <c r="A26" s="11" t="s">
        <v>63</v>
      </c>
      <c r="B26" s="11" t="s">
        <v>64</v>
      </c>
      <c r="C26" s="12">
        <v>7.8</v>
      </c>
      <c r="D26" s="13">
        <v>69.644099999999995</v>
      </c>
      <c r="E26" s="13">
        <v>0.22650000000000001</v>
      </c>
      <c r="F26" s="13">
        <v>0.23080000000000001</v>
      </c>
      <c r="G26" s="13">
        <v>5.1000000000000004E-3</v>
      </c>
      <c r="H26" s="13">
        <v>-5.8999999999999999E-3</v>
      </c>
      <c r="I26" s="13">
        <v>1.1000000000000001E-3</v>
      </c>
    </row>
    <row r="27" spans="1:17" x14ac:dyDescent="0.2">
      <c r="A27" s="14" t="s">
        <v>63</v>
      </c>
      <c r="B27" s="14" t="s">
        <v>64</v>
      </c>
      <c r="C27" s="15">
        <v>7.8</v>
      </c>
      <c r="D27" s="16">
        <v>69.886799999999994</v>
      </c>
      <c r="E27" s="16">
        <v>0.22800000000000001</v>
      </c>
      <c r="F27" s="16">
        <v>0.2306</v>
      </c>
      <c r="G27" s="16">
        <v>6.1999999999999998E-3</v>
      </c>
      <c r="H27" s="16">
        <v>-6.1999999999999998E-3</v>
      </c>
      <c r="I27" s="16">
        <v>1.1000000000000001E-3</v>
      </c>
    </row>
    <row r="28" spans="1:17" x14ac:dyDescent="0.2">
      <c r="A28" s="11" t="s">
        <v>63</v>
      </c>
      <c r="B28" s="11" t="s">
        <v>64</v>
      </c>
      <c r="C28" s="12">
        <v>8</v>
      </c>
      <c r="D28" s="13">
        <v>68.547899999999998</v>
      </c>
      <c r="E28" s="13">
        <v>0.18870000000000001</v>
      </c>
      <c r="F28" s="13">
        <v>0.20810000000000001</v>
      </c>
      <c r="G28" s="13">
        <v>5.1999999999999998E-3</v>
      </c>
      <c r="H28" s="13">
        <v>-5.8999999999999999E-3</v>
      </c>
      <c r="I28" s="13">
        <v>8.9999999999999998E-4</v>
      </c>
    </row>
    <row r="29" spans="1:17" x14ac:dyDescent="0.2">
      <c r="A29" s="14" t="s">
        <v>63</v>
      </c>
      <c r="B29" s="14" t="s">
        <v>64</v>
      </c>
      <c r="C29" s="15">
        <v>8</v>
      </c>
      <c r="D29" s="16">
        <v>68.353800000000007</v>
      </c>
      <c r="E29" s="16">
        <v>0.18779999999999999</v>
      </c>
      <c r="F29" s="16">
        <v>0.20810000000000001</v>
      </c>
      <c r="G29" s="16">
        <v>4.8999999999999998E-3</v>
      </c>
      <c r="H29" s="16">
        <v>-5.8999999999999999E-3</v>
      </c>
      <c r="I29" s="16">
        <v>8.9999999999999998E-4</v>
      </c>
    </row>
    <row r="31" spans="1:17" x14ac:dyDescent="0.2">
      <c r="A31" s="28" t="s">
        <v>65</v>
      </c>
      <c r="B31" s="29"/>
      <c r="C31" s="29"/>
      <c r="D31" s="29"/>
      <c r="E31" s="29"/>
      <c r="F31" s="29"/>
      <c r="G31" s="29"/>
      <c r="H31" s="29"/>
    </row>
    <row r="32" spans="1:17" x14ac:dyDescent="0.2">
      <c r="A32" s="10" t="s">
        <v>54</v>
      </c>
      <c r="B32" s="10" t="s">
        <v>55</v>
      </c>
      <c r="C32" s="10" t="s">
        <v>56</v>
      </c>
      <c r="D32" s="10" t="s">
        <v>57</v>
      </c>
      <c r="E32" s="10" t="s">
        <v>58</v>
      </c>
      <c r="F32" s="10" t="s">
        <v>59</v>
      </c>
      <c r="G32" s="10" t="s">
        <v>60</v>
      </c>
      <c r="H32" s="10" t="s">
        <v>61</v>
      </c>
      <c r="I32" s="10" t="s">
        <v>62</v>
      </c>
    </row>
    <row r="33" spans="1:17" x14ac:dyDescent="0.2">
      <c r="A33" s="11" t="s">
        <v>66</v>
      </c>
      <c r="B33" s="11" t="s">
        <v>64</v>
      </c>
      <c r="C33" s="12">
        <v>5.6</v>
      </c>
      <c r="D33" s="13">
        <v>91.332800000000006</v>
      </c>
      <c r="E33" s="13">
        <v>0.73170000000000002</v>
      </c>
      <c r="F33" s="13">
        <v>0.13009999999999999</v>
      </c>
      <c r="G33" s="13">
        <v>9.1999999999999998E-3</v>
      </c>
      <c r="H33" s="13">
        <v>-6.6E-3</v>
      </c>
      <c r="I33" s="13">
        <v>5.8999999999999999E-3</v>
      </c>
    </row>
    <row r="34" spans="1:17" x14ac:dyDescent="0.2">
      <c r="A34" s="14" t="s">
        <v>66</v>
      </c>
      <c r="B34" s="14" t="s">
        <v>64</v>
      </c>
      <c r="C34" s="15">
        <v>5.6</v>
      </c>
      <c r="D34" s="16">
        <v>91.877099999999999</v>
      </c>
      <c r="E34" s="16">
        <v>0.73119999999999996</v>
      </c>
      <c r="F34" s="16">
        <v>0.12939999999999999</v>
      </c>
      <c r="G34" s="16">
        <v>9.1999999999999998E-3</v>
      </c>
      <c r="H34" s="16">
        <v>-6.7000000000000002E-3</v>
      </c>
      <c r="I34" s="16">
        <v>5.8999999999999999E-3</v>
      </c>
    </row>
    <row r="35" spans="1:17" x14ac:dyDescent="0.2">
      <c r="A35" s="11" t="s">
        <v>66</v>
      </c>
      <c r="B35" s="11" t="s">
        <v>64</v>
      </c>
      <c r="C35" s="12">
        <v>5.8</v>
      </c>
      <c r="D35" s="13">
        <v>87.428799999999995</v>
      </c>
      <c r="E35" s="13">
        <v>0.70340000000000003</v>
      </c>
      <c r="F35" s="13">
        <v>0.14319999999999999</v>
      </c>
      <c r="G35" s="13">
        <v>9.4000000000000004E-3</v>
      </c>
      <c r="H35" s="13">
        <v>-6.4999999999999997E-3</v>
      </c>
      <c r="I35" s="13">
        <v>5.8999999999999999E-3</v>
      </c>
    </row>
    <row r="36" spans="1:17" x14ac:dyDescent="0.2">
      <c r="A36" s="14" t="s">
        <v>66</v>
      </c>
      <c r="B36" s="14" t="s">
        <v>64</v>
      </c>
      <c r="C36" s="15">
        <v>5.8</v>
      </c>
      <c r="D36" s="16">
        <v>87.962500000000006</v>
      </c>
      <c r="E36" s="16">
        <v>0.70309999999999995</v>
      </c>
      <c r="F36" s="16">
        <v>0.1424</v>
      </c>
      <c r="G36" s="16">
        <v>9.4000000000000004E-3</v>
      </c>
      <c r="H36" s="16">
        <v>-6.4999999999999997E-3</v>
      </c>
      <c r="I36" s="16">
        <v>5.7999999999999996E-3</v>
      </c>
    </row>
    <row r="37" spans="1:17" x14ac:dyDescent="0.2">
      <c r="A37" s="11" t="s">
        <v>66</v>
      </c>
      <c r="B37" s="11" t="s">
        <v>64</v>
      </c>
      <c r="C37" s="12">
        <v>6</v>
      </c>
      <c r="D37" s="13">
        <v>82.956800000000001</v>
      </c>
      <c r="E37" s="13">
        <v>0.67259999999999998</v>
      </c>
      <c r="F37" s="13">
        <v>0.15679999999999999</v>
      </c>
      <c r="G37" s="13">
        <v>1.03E-2</v>
      </c>
      <c r="H37" s="13">
        <v>-6.7999999999999996E-3</v>
      </c>
      <c r="I37" s="13">
        <v>5.7999999999999996E-3</v>
      </c>
      <c r="M37" s="16">
        <v>0.73119999999999996</v>
      </c>
      <c r="N37" s="16">
        <v>0.12939999999999999</v>
      </c>
      <c r="O37" s="16">
        <v>9.1999999999999998E-3</v>
      </c>
      <c r="P37" s="16">
        <v>-6.7000000000000002E-3</v>
      </c>
      <c r="Q37" s="16">
        <v>5.8999999999999999E-3</v>
      </c>
    </row>
    <row r="38" spans="1:17" x14ac:dyDescent="0.2">
      <c r="A38" s="14" t="s">
        <v>66</v>
      </c>
      <c r="B38" s="14" t="s">
        <v>64</v>
      </c>
      <c r="C38" s="15">
        <v>6</v>
      </c>
      <c r="D38" s="16">
        <v>83.1126</v>
      </c>
      <c r="E38" s="16">
        <v>0.57279999999999998</v>
      </c>
      <c r="F38" s="16">
        <v>0.15770000000000001</v>
      </c>
      <c r="G38" s="16">
        <v>1.03E-2</v>
      </c>
      <c r="H38" s="16">
        <v>-6.7999999999999996E-3</v>
      </c>
      <c r="I38" s="16">
        <v>5.7999999999999996E-3</v>
      </c>
      <c r="M38" s="16">
        <v>0.57279999999999998</v>
      </c>
      <c r="N38" s="16">
        <v>0.15770000000000001</v>
      </c>
      <c r="O38" s="16">
        <v>1.03E-2</v>
      </c>
      <c r="P38" s="16">
        <v>-6.7999999999999996E-3</v>
      </c>
      <c r="Q38" s="16">
        <v>5.7999999999999996E-3</v>
      </c>
    </row>
    <row r="39" spans="1:17" x14ac:dyDescent="0.2">
      <c r="A39" s="11" t="s">
        <v>66</v>
      </c>
      <c r="B39" s="11" t="s">
        <v>64</v>
      </c>
      <c r="C39" s="12">
        <v>6.2</v>
      </c>
      <c r="D39" s="13">
        <v>79.564599999999999</v>
      </c>
      <c r="E39" s="13">
        <v>0.63839999999999997</v>
      </c>
      <c r="F39" s="13">
        <v>0.16089999999999999</v>
      </c>
      <c r="G39" s="13">
        <v>1.0500000000000001E-2</v>
      </c>
      <c r="H39" s="13">
        <v>-6.6E-3</v>
      </c>
      <c r="I39" s="13">
        <v>5.5999999999999999E-3</v>
      </c>
      <c r="M39" s="16">
        <v>0.60129999999999995</v>
      </c>
      <c r="N39" s="16">
        <v>0.182</v>
      </c>
      <c r="O39" s="16">
        <v>1.0699999999999999E-2</v>
      </c>
      <c r="P39" s="16">
        <v>-6.4999999999999997E-3</v>
      </c>
      <c r="Q39" s="16">
        <v>5.4000000000000003E-3</v>
      </c>
    </row>
    <row r="40" spans="1:17" x14ac:dyDescent="0.2">
      <c r="A40" s="14" t="s">
        <v>66</v>
      </c>
      <c r="B40" s="14" t="s">
        <v>64</v>
      </c>
      <c r="C40" s="15">
        <v>6.2</v>
      </c>
      <c r="D40" s="16">
        <v>79.090299999999999</v>
      </c>
      <c r="E40" s="16">
        <v>0.53539999999999999</v>
      </c>
      <c r="F40" s="16">
        <v>0.1709</v>
      </c>
      <c r="G40" s="16">
        <v>1.0500000000000001E-2</v>
      </c>
      <c r="H40" s="16">
        <v>-6.4000000000000003E-3</v>
      </c>
      <c r="I40" s="16">
        <v>5.4000000000000003E-3</v>
      </c>
      <c r="M40" s="16">
        <v>0.52049999999999996</v>
      </c>
      <c r="N40" s="16">
        <v>0.20250000000000001</v>
      </c>
      <c r="O40" s="16">
        <v>1.11E-2</v>
      </c>
      <c r="P40" s="16">
        <v>-6.1999999999999998E-3</v>
      </c>
      <c r="Q40" s="16">
        <v>4.8999999999999998E-3</v>
      </c>
    </row>
    <row r="41" spans="1:17" x14ac:dyDescent="0.2">
      <c r="A41" s="11" t="s">
        <v>66</v>
      </c>
      <c r="B41" s="11" t="s">
        <v>64</v>
      </c>
      <c r="C41" s="12">
        <v>6.4</v>
      </c>
      <c r="D41" s="13">
        <v>76.139499999999998</v>
      </c>
      <c r="E41" s="13">
        <v>0.60109999999999997</v>
      </c>
      <c r="F41" s="13">
        <v>0.1832</v>
      </c>
      <c r="G41" s="13">
        <v>1.0699999999999999E-2</v>
      </c>
      <c r="H41" s="13">
        <v>-6.4000000000000003E-3</v>
      </c>
      <c r="I41" s="13">
        <v>5.4000000000000003E-3</v>
      </c>
      <c r="M41" s="16">
        <v>0.43530000000000002</v>
      </c>
      <c r="N41" s="16">
        <v>0.2114</v>
      </c>
      <c r="O41" s="16">
        <v>1.06E-2</v>
      </c>
      <c r="P41" s="16">
        <v>-5.5999999999999999E-3</v>
      </c>
      <c r="Q41" s="16">
        <v>4.1999999999999997E-3</v>
      </c>
    </row>
    <row r="42" spans="1:17" x14ac:dyDescent="0.2">
      <c r="A42" s="14" t="s">
        <v>66</v>
      </c>
      <c r="B42" s="14" t="s">
        <v>64</v>
      </c>
      <c r="C42" s="15">
        <v>6.4</v>
      </c>
      <c r="D42" s="16">
        <v>76.605199999999996</v>
      </c>
      <c r="E42" s="16">
        <v>0.60129999999999995</v>
      </c>
      <c r="F42" s="16">
        <v>0.182</v>
      </c>
      <c r="G42" s="16">
        <v>1.0699999999999999E-2</v>
      </c>
      <c r="H42" s="16">
        <v>-6.4999999999999997E-3</v>
      </c>
      <c r="I42" s="16">
        <v>5.4000000000000003E-3</v>
      </c>
      <c r="M42" s="16">
        <v>0.35210000000000002</v>
      </c>
      <c r="N42" s="16">
        <v>0.2074</v>
      </c>
      <c r="O42" s="16">
        <v>1.0500000000000001E-2</v>
      </c>
      <c r="P42" s="16">
        <v>-5.4999999999999997E-3</v>
      </c>
      <c r="Q42" s="16">
        <v>3.5000000000000001E-3</v>
      </c>
    </row>
    <row r="43" spans="1:17" x14ac:dyDescent="0.2">
      <c r="A43" s="11" t="s">
        <v>66</v>
      </c>
      <c r="B43" s="11" t="s">
        <v>64</v>
      </c>
      <c r="C43" s="12">
        <v>6.6</v>
      </c>
      <c r="D43" s="13">
        <v>73.952799999999996</v>
      </c>
      <c r="E43" s="13">
        <v>0.56179999999999997</v>
      </c>
      <c r="F43" s="13">
        <v>0.1938</v>
      </c>
      <c r="G43" s="13">
        <v>1.09E-2</v>
      </c>
      <c r="H43" s="13">
        <v>-6.4000000000000003E-3</v>
      </c>
      <c r="I43" s="13">
        <v>5.1999999999999998E-3</v>
      </c>
      <c r="M43" s="16">
        <v>0.2762</v>
      </c>
      <c r="N43" s="16">
        <v>0.19270000000000001</v>
      </c>
      <c r="O43" s="16">
        <v>9.5999999999999992E-3</v>
      </c>
      <c r="P43" s="16">
        <v>-4.7000000000000002E-3</v>
      </c>
      <c r="Q43" s="16">
        <v>2.8E-3</v>
      </c>
    </row>
    <row r="44" spans="1:17" x14ac:dyDescent="0.2">
      <c r="A44" s="14" t="s">
        <v>66</v>
      </c>
      <c r="B44" s="14" t="s">
        <v>64</v>
      </c>
      <c r="C44" s="15">
        <v>6.6</v>
      </c>
      <c r="D44" s="16">
        <v>74.416600000000003</v>
      </c>
      <c r="E44" s="16">
        <v>0.56220000000000003</v>
      </c>
      <c r="F44" s="16">
        <v>0.19259999999999999</v>
      </c>
      <c r="G44" s="16">
        <v>1.09E-2</v>
      </c>
      <c r="H44" s="16">
        <v>-6.4000000000000003E-3</v>
      </c>
      <c r="I44" s="16">
        <v>5.1999999999999998E-3</v>
      </c>
    </row>
    <row r="45" spans="1:17" x14ac:dyDescent="0.2">
      <c r="A45" s="11" t="s">
        <v>66</v>
      </c>
      <c r="B45" s="11" t="s">
        <v>64</v>
      </c>
      <c r="C45" s="12">
        <v>6.8</v>
      </c>
      <c r="D45" s="13">
        <v>71.442300000000003</v>
      </c>
      <c r="E45" s="13">
        <v>0.52110000000000001</v>
      </c>
      <c r="F45" s="13">
        <v>0.20119999999999999</v>
      </c>
      <c r="G45" s="13">
        <v>1.11E-2</v>
      </c>
      <c r="H45" s="13">
        <v>-6.1999999999999998E-3</v>
      </c>
      <c r="I45" s="13">
        <v>4.8999999999999998E-3</v>
      </c>
    </row>
    <row r="46" spans="1:17" x14ac:dyDescent="0.2">
      <c r="A46" s="14" t="s">
        <v>66</v>
      </c>
      <c r="B46" s="14" t="s">
        <v>64</v>
      </c>
      <c r="C46" s="15">
        <v>6.8</v>
      </c>
      <c r="D46" s="16">
        <v>70.992000000000004</v>
      </c>
      <c r="E46" s="16">
        <v>0.52049999999999996</v>
      </c>
      <c r="F46" s="16">
        <v>0.20250000000000001</v>
      </c>
      <c r="G46" s="16">
        <v>1.11E-2</v>
      </c>
      <c r="H46" s="16">
        <v>-6.1999999999999998E-3</v>
      </c>
      <c r="I46" s="16">
        <v>4.8999999999999998E-3</v>
      </c>
    </row>
    <row r="47" spans="1:17" x14ac:dyDescent="0.2">
      <c r="A47" s="11" t="s">
        <v>66</v>
      </c>
      <c r="B47" s="11" t="s">
        <v>64</v>
      </c>
      <c r="C47" s="12">
        <v>7</v>
      </c>
      <c r="D47" s="13">
        <v>69.233699999999999</v>
      </c>
      <c r="E47" s="13">
        <v>0.47810000000000002</v>
      </c>
      <c r="F47" s="13">
        <v>0.20799999999999999</v>
      </c>
      <c r="G47" s="13">
        <v>1.1299999999999999E-2</v>
      </c>
      <c r="H47" s="13">
        <v>-6.1000000000000004E-3</v>
      </c>
      <c r="I47" s="13">
        <v>4.4999999999999997E-3</v>
      </c>
    </row>
    <row r="48" spans="1:17" x14ac:dyDescent="0.2">
      <c r="A48" s="14" t="s">
        <v>66</v>
      </c>
      <c r="B48" s="14" t="s">
        <v>64</v>
      </c>
      <c r="C48" s="15">
        <v>7</v>
      </c>
      <c r="D48" s="16">
        <v>69.012200000000007</v>
      </c>
      <c r="E48" s="16">
        <v>0.47760000000000002</v>
      </c>
      <c r="F48" s="16">
        <v>0.20860000000000001</v>
      </c>
      <c r="G48" s="16">
        <v>1.1299999999999999E-2</v>
      </c>
      <c r="H48" s="16">
        <v>-6.1000000000000004E-3</v>
      </c>
      <c r="I48" s="16">
        <v>4.4999999999999997E-3</v>
      </c>
    </row>
    <row r="49" spans="1:9" x14ac:dyDescent="0.2">
      <c r="A49" s="11" t="s">
        <v>66</v>
      </c>
      <c r="B49" s="11" t="s">
        <v>64</v>
      </c>
      <c r="C49" s="12">
        <v>7.2</v>
      </c>
      <c r="D49" s="13">
        <v>67.550299999999993</v>
      </c>
      <c r="E49" s="13">
        <v>0.43530000000000002</v>
      </c>
      <c r="F49" s="13">
        <v>0.2114</v>
      </c>
      <c r="G49" s="13">
        <v>1.06E-2</v>
      </c>
      <c r="H49" s="13">
        <v>-5.5999999999999999E-3</v>
      </c>
      <c r="I49" s="13">
        <v>4.1999999999999997E-3</v>
      </c>
    </row>
    <row r="50" spans="1:9" x14ac:dyDescent="0.2">
      <c r="A50" s="14" t="s">
        <v>66</v>
      </c>
      <c r="B50" s="14" t="s">
        <v>64</v>
      </c>
      <c r="C50" s="15">
        <v>7.2</v>
      </c>
      <c r="D50" s="16">
        <v>67.550299999999993</v>
      </c>
      <c r="E50" s="16">
        <v>0.43530000000000002</v>
      </c>
      <c r="F50" s="16">
        <v>0.2114</v>
      </c>
      <c r="G50" s="16">
        <v>1.06E-2</v>
      </c>
      <c r="H50" s="16">
        <v>-5.5999999999999999E-3</v>
      </c>
      <c r="I50" s="16">
        <v>4.1999999999999997E-3</v>
      </c>
    </row>
    <row r="51" spans="1:9" x14ac:dyDescent="0.2">
      <c r="A51" s="11" t="s">
        <v>66</v>
      </c>
      <c r="B51" s="11" t="s">
        <v>64</v>
      </c>
      <c r="C51" s="12">
        <v>7.4</v>
      </c>
      <c r="D51" s="13">
        <v>65.709299999999999</v>
      </c>
      <c r="E51" s="13">
        <v>0.39300000000000002</v>
      </c>
      <c r="F51" s="13">
        <v>0.2109</v>
      </c>
      <c r="G51" s="13">
        <v>1.0800000000000001E-2</v>
      </c>
      <c r="H51" s="13">
        <v>-5.4999999999999997E-3</v>
      </c>
      <c r="I51" s="13">
        <v>3.8E-3</v>
      </c>
    </row>
    <row r="52" spans="1:9" x14ac:dyDescent="0.2">
      <c r="A52" s="14" t="s">
        <v>66</v>
      </c>
      <c r="B52" s="14" t="s">
        <v>64</v>
      </c>
      <c r="C52" s="15">
        <v>7.4</v>
      </c>
      <c r="D52" s="16">
        <v>65.476900000000001</v>
      </c>
      <c r="E52" s="16">
        <v>0.39229999999999998</v>
      </c>
      <c r="F52" s="16">
        <v>0.21160000000000001</v>
      </c>
      <c r="G52" s="16">
        <v>1.0800000000000001E-2</v>
      </c>
      <c r="H52" s="16">
        <v>-5.4999999999999997E-3</v>
      </c>
      <c r="I52" s="16">
        <v>3.8E-3</v>
      </c>
    </row>
    <row r="53" spans="1:9" x14ac:dyDescent="0.2">
      <c r="A53" s="11" t="s">
        <v>66</v>
      </c>
      <c r="B53" s="11" t="s">
        <v>64</v>
      </c>
      <c r="C53" s="12">
        <v>7.6</v>
      </c>
      <c r="D53" s="13">
        <v>64.609800000000007</v>
      </c>
      <c r="E53" s="13">
        <v>0.35120000000000001</v>
      </c>
      <c r="F53" s="13">
        <v>0.20799999999999999</v>
      </c>
      <c r="G53" s="13">
        <v>1.09E-2</v>
      </c>
      <c r="H53" s="13">
        <v>-5.4999999999999997E-3</v>
      </c>
      <c r="I53" s="13">
        <v>3.5000000000000001E-3</v>
      </c>
    </row>
    <row r="54" spans="1:9" x14ac:dyDescent="0.2">
      <c r="A54" s="14" t="s">
        <v>66</v>
      </c>
      <c r="B54" s="14" t="s">
        <v>64</v>
      </c>
      <c r="C54" s="15">
        <v>7.6</v>
      </c>
      <c r="D54" s="16">
        <v>64.838700000000003</v>
      </c>
      <c r="E54" s="16">
        <v>0.35210000000000002</v>
      </c>
      <c r="F54" s="16">
        <v>0.2074</v>
      </c>
      <c r="G54" s="16">
        <v>1.0500000000000001E-2</v>
      </c>
      <c r="H54" s="16">
        <v>-5.4999999999999997E-3</v>
      </c>
      <c r="I54" s="16">
        <v>3.5000000000000001E-3</v>
      </c>
    </row>
    <row r="55" spans="1:9" x14ac:dyDescent="0.2">
      <c r="A55" s="11" t="s">
        <v>66</v>
      </c>
      <c r="B55" s="11" t="s">
        <v>64</v>
      </c>
      <c r="C55" s="12">
        <v>7.8</v>
      </c>
      <c r="D55" s="13">
        <v>63.517499999999998</v>
      </c>
      <c r="E55" s="13">
        <v>0.31280000000000002</v>
      </c>
      <c r="F55" s="13">
        <v>0.2016</v>
      </c>
      <c r="G55" s="13">
        <v>9.4000000000000004E-3</v>
      </c>
      <c r="H55" s="13">
        <v>-4.7000000000000002E-3</v>
      </c>
      <c r="I55" s="13">
        <v>3.0999999999999999E-3</v>
      </c>
    </row>
    <row r="56" spans="1:9" x14ac:dyDescent="0.2">
      <c r="A56" s="14" t="s">
        <v>66</v>
      </c>
      <c r="B56" s="14" t="s">
        <v>64</v>
      </c>
      <c r="C56" s="15">
        <v>7.8</v>
      </c>
      <c r="D56" s="16">
        <v>63.517499999999998</v>
      </c>
      <c r="E56" s="16">
        <v>0.31280000000000002</v>
      </c>
      <c r="F56" s="16">
        <v>0.2016</v>
      </c>
      <c r="G56" s="16">
        <v>9.4000000000000004E-3</v>
      </c>
      <c r="H56" s="16">
        <v>-4.7000000000000002E-3</v>
      </c>
      <c r="I56" s="16">
        <v>3.0999999999999999E-3</v>
      </c>
    </row>
    <row r="57" spans="1:9" x14ac:dyDescent="0.2">
      <c r="A57" s="11" t="s">
        <v>66</v>
      </c>
      <c r="B57" s="11" t="s">
        <v>64</v>
      </c>
      <c r="C57" s="12">
        <v>8</v>
      </c>
      <c r="D57" s="13">
        <v>62.5379</v>
      </c>
      <c r="E57" s="13">
        <v>0.2762</v>
      </c>
      <c r="F57" s="13">
        <v>0.19270000000000001</v>
      </c>
      <c r="G57" s="13">
        <v>9.5999999999999992E-3</v>
      </c>
      <c r="H57" s="13">
        <v>-4.7000000000000002E-3</v>
      </c>
      <c r="I57" s="13">
        <v>2.8E-3</v>
      </c>
    </row>
    <row r="58" spans="1:9" x14ac:dyDescent="0.2">
      <c r="A58" s="14" t="s">
        <v>66</v>
      </c>
      <c r="B58" s="14" t="s">
        <v>64</v>
      </c>
      <c r="C58" s="15">
        <v>8</v>
      </c>
      <c r="D58" s="16">
        <v>62.5379</v>
      </c>
      <c r="E58" s="16">
        <v>0.2762</v>
      </c>
      <c r="F58" s="16">
        <v>0.19270000000000001</v>
      </c>
      <c r="G58" s="16">
        <v>9.5999999999999992E-3</v>
      </c>
      <c r="H58" s="16">
        <v>-4.7000000000000002E-3</v>
      </c>
      <c r="I58" s="16">
        <v>2.8E-3</v>
      </c>
    </row>
    <row r="60" spans="1:9" x14ac:dyDescent="0.2">
      <c r="A60" s="28" t="s">
        <v>67</v>
      </c>
      <c r="B60" s="29"/>
      <c r="C60" s="29"/>
      <c r="D60" s="29"/>
      <c r="E60" s="29"/>
      <c r="F60" s="29"/>
      <c r="G60" s="29"/>
      <c r="H60" s="29"/>
    </row>
    <row r="61" spans="1:9" x14ac:dyDescent="0.2">
      <c r="A61" s="10" t="s">
        <v>54</v>
      </c>
      <c r="B61" s="10" t="s">
        <v>55</v>
      </c>
      <c r="C61" s="10" t="s">
        <v>56</v>
      </c>
      <c r="D61" s="10" t="s">
        <v>57</v>
      </c>
      <c r="E61" s="10" t="s">
        <v>58</v>
      </c>
      <c r="F61" s="10" t="s">
        <v>59</v>
      </c>
      <c r="G61" s="10" t="s">
        <v>60</v>
      </c>
      <c r="H61" s="10" t="s">
        <v>61</v>
      </c>
      <c r="I61" s="10" t="s">
        <v>62</v>
      </c>
    </row>
    <row r="62" spans="1:9" x14ac:dyDescent="0.2">
      <c r="A62" s="11" t="s">
        <v>68</v>
      </c>
      <c r="B62" s="11" t="s">
        <v>64</v>
      </c>
      <c r="C62" s="12">
        <v>5.6</v>
      </c>
      <c r="D62" s="13">
        <v>73.596599999999995</v>
      </c>
      <c r="E62" s="13">
        <v>0.72409999999999997</v>
      </c>
      <c r="F62" s="13">
        <v>0.1062</v>
      </c>
      <c r="G62" s="13">
        <v>1.4E-2</v>
      </c>
      <c r="H62" s="13">
        <v>-3.5000000000000001E-3</v>
      </c>
      <c r="I62" s="13">
        <v>1.2999999999999999E-2</v>
      </c>
    </row>
    <row r="63" spans="1:9" x14ac:dyDescent="0.2">
      <c r="A63" s="14" t="s">
        <v>68</v>
      </c>
      <c r="B63" s="14" t="s">
        <v>64</v>
      </c>
      <c r="C63" s="15">
        <v>5.6</v>
      </c>
      <c r="D63" s="16">
        <v>73.288899999999998</v>
      </c>
      <c r="E63" s="16">
        <v>0.72430000000000005</v>
      </c>
      <c r="F63" s="16">
        <v>0.1067</v>
      </c>
      <c r="G63" s="16">
        <v>1.4E-2</v>
      </c>
      <c r="H63" s="16">
        <v>-3.5000000000000001E-3</v>
      </c>
      <c r="I63" s="16">
        <v>1.29E-2</v>
      </c>
    </row>
    <row r="64" spans="1:9" x14ac:dyDescent="0.2">
      <c r="A64" s="11" t="s">
        <v>68</v>
      </c>
      <c r="B64" s="11" t="s">
        <v>64</v>
      </c>
      <c r="C64" s="12">
        <v>5.8</v>
      </c>
      <c r="D64" s="13">
        <v>71.214600000000004</v>
      </c>
      <c r="E64" s="13">
        <v>0.7</v>
      </c>
      <c r="F64" s="13">
        <v>0.1147</v>
      </c>
      <c r="G64" s="13">
        <v>1.55E-2</v>
      </c>
      <c r="H64" s="13">
        <v>-3.7000000000000002E-3</v>
      </c>
      <c r="I64" s="13">
        <v>1.29E-2</v>
      </c>
    </row>
    <row r="65" spans="1:16" x14ac:dyDescent="0.2">
      <c r="A65" s="14" t="s">
        <v>68</v>
      </c>
      <c r="B65" s="14" t="s">
        <v>64</v>
      </c>
      <c r="C65" s="15">
        <v>5.8</v>
      </c>
      <c r="D65" s="16">
        <v>71.214600000000004</v>
      </c>
      <c r="E65" s="16">
        <v>0.7</v>
      </c>
      <c r="F65" s="16">
        <v>0.1147</v>
      </c>
      <c r="G65" s="16">
        <v>1.55E-2</v>
      </c>
      <c r="H65" s="16">
        <v>-3.7000000000000002E-3</v>
      </c>
      <c r="I65" s="16">
        <v>1.29E-2</v>
      </c>
    </row>
    <row r="66" spans="1:16" x14ac:dyDescent="0.2">
      <c r="A66" s="11" t="s">
        <v>68</v>
      </c>
      <c r="B66" s="11" t="s">
        <v>64</v>
      </c>
      <c r="C66" s="12">
        <v>6</v>
      </c>
      <c r="D66" s="13">
        <v>68.568899999999999</v>
      </c>
      <c r="E66" s="13">
        <v>0.67410000000000003</v>
      </c>
      <c r="F66" s="13">
        <v>0.1227</v>
      </c>
      <c r="G66" s="13">
        <v>1.5800000000000002E-2</v>
      </c>
      <c r="H66" s="13">
        <v>-3.7000000000000002E-3</v>
      </c>
      <c r="I66" s="13">
        <v>1.2699999999999999E-2</v>
      </c>
    </row>
    <row r="67" spans="1:16" x14ac:dyDescent="0.2">
      <c r="A67" s="14" t="s">
        <v>68</v>
      </c>
      <c r="B67" s="14" t="s">
        <v>64</v>
      </c>
      <c r="C67" s="15">
        <v>6</v>
      </c>
      <c r="D67" s="16">
        <v>68.568899999999999</v>
      </c>
      <c r="E67" s="16">
        <v>0.67410000000000003</v>
      </c>
      <c r="F67" s="16">
        <v>0.1227</v>
      </c>
      <c r="G67" s="16">
        <v>1.5800000000000002E-2</v>
      </c>
      <c r="H67" s="16">
        <v>-3.7000000000000002E-3</v>
      </c>
      <c r="I67" s="16">
        <v>1.2699999999999999E-2</v>
      </c>
      <c r="L67" s="16">
        <v>0.72430000000000005</v>
      </c>
      <c r="M67" s="16">
        <v>0.1067</v>
      </c>
      <c r="N67" s="16">
        <v>1.4E-2</v>
      </c>
      <c r="O67" s="16">
        <v>-3.5000000000000001E-3</v>
      </c>
      <c r="P67" s="16">
        <v>1.29E-2</v>
      </c>
    </row>
    <row r="68" spans="1:16" x14ac:dyDescent="0.2">
      <c r="A68" s="11" t="s">
        <v>68</v>
      </c>
      <c r="B68" s="11" t="s">
        <v>64</v>
      </c>
      <c r="C68" s="12">
        <v>6.2</v>
      </c>
      <c r="D68" s="13">
        <v>66.331800000000001</v>
      </c>
      <c r="E68" s="13">
        <v>0.64639999999999997</v>
      </c>
      <c r="F68" s="13">
        <v>0.13059999999999999</v>
      </c>
      <c r="G68" s="13">
        <v>1.61E-2</v>
      </c>
      <c r="H68" s="13">
        <v>-3.5999999999999999E-3</v>
      </c>
      <c r="I68" s="13">
        <v>1.2500000000000001E-2</v>
      </c>
      <c r="L68" s="16">
        <v>0.67410000000000003</v>
      </c>
      <c r="M68" s="16">
        <v>0.1227</v>
      </c>
      <c r="N68" s="16">
        <v>1.5800000000000002E-2</v>
      </c>
      <c r="O68" s="16">
        <v>-3.7000000000000002E-3</v>
      </c>
      <c r="P68" s="16">
        <v>1.2699999999999999E-2</v>
      </c>
    </row>
    <row r="69" spans="1:16" x14ac:dyDescent="0.2">
      <c r="A69" s="14" t="s">
        <v>68</v>
      </c>
      <c r="B69" s="14" t="s">
        <v>64</v>
      </c>
      <c r="C69" s="15">
        <v>6.2</v>
      </c>
      <c r="D69" s="16">
        <v>66.331800000000001</v>
      </c>
      <c r="E69" s="16">
        <v>0.5464</v>
      </c>
      <c r="F69" s="16">
        <v>0.13059999999999999</v>
      </c>
      <c r="G69" s="16">
        <v>1.61E-2</v>
      </c>
      <c r="H69" s="16">
        <v>-3.5999999999999999E-3</v>
      </c>
      <c r="I69" s="16">
        <v>1.2500000000000001E-2</v>
      </c>
      <c r="L69" s="16">
        <v>0.61719999999999997</v>
      </c>
      <c r="M69" s="16">
        <v>0.13830000000000001</v>
      </c>
      <c r="N69" s="16">
        <v>1.6400000000000001E-2</v>
      </c>
      <c r="O69" s="16">
        <v>-3.5999999999999999E-3</v>
      </c>
      <c r="P69" s="16">
        <v>1.2200000000000001E-2</v>
      </c>
    </row>
    <row r="70" spans="1:16" x14ac:dyDescent="0.2">
      <c r="A70" s="11" t="s">
        <v>68</v>
      </c>
      <c r="B70" s="11" t="s">
        <v>64</v>
      </c>
      <c r="C70" s="12">
        <v>6.4</v>
      </c>
      <c r="D70" s="13">
        <v>64.480900000000005</v>
      </c>
      <c r="E70" s="13">
        <v>0.61719999999999997</v>
      </c>
      <c r="F70" s="13">
        <v>0.13830000000000001</v>
      </c>
      <c r="G70" s="13">
        <v>1.6400000000000001E-2</v>
      </c>
      <c r="H70" s="13">
        <v>-3.5999999999999999E-3</v>
      </c>
      <c r="I70" s="13">
        <v>1.2200000000000001E-2</v>
      </c>
      <c r="L70" s="16">
        <v>0.55700000000000005</v>
      </c>
      <c r="M70" s="16">
        <v>0.16059999999999999</v>
      </c>
      <c r="N70" s="16">
        <v>7.0000000000000001E-3</v>
      </c>
      <c r="O70" s="16">
        <v>-3.5000000000000001E-3</v>
      </c>
      <c r="P70" s="16">
        <v>1.15E-2</v>
      </c>
    </row>
    <row r="71" spans="1:16" x14ac:dyDescent="0.2">
      <c r="A71" s="14" t="s">
        <v>68</v>
      </c>
      <c r="B71" s="14" t="s">
        <v>64</v>
      </c>
      <c r="C71" s="15">
        <v>6.4</v>
      </c>
      <c r="D71" s="16">
        <v>64.480900000000005</v>
      </c>
      <c r="E71" s="16">
        <v>0.61719999999999997</v>
      </c>
      <c r="F71" s="16">
        <v>0.13830000000000001</v>
      </c>
      <c r="G71" s="16">
        <v>1.6400000000000001E-2</v>
      </c>
      <c r="H71" s="16">
        <v>-3.5999999999999999E-3</v>
      </c>
      <c r="I71" s="16">
        <v>1.2200000000000001E-2</v>
      </c>
      <c r="L71" s="16">
        <v>0.49330000000000002</v>
      </c>
      <c r="M71" s="16">
        <v>0.15790000000000001</v>
      </c>
      <c r="N71" s="16">
        <v>1.7600000000000001E-2</v>
      </c>
      <c r="O71" s="16">
        <v>-3.5000000000000001E-3</v>
      </c>
      <c r="P71" s="16">
        <v>1.0500000000000001E-2</v>
      </c>
    </row>
    <row r="72" spans="1:16" x14ac:dyDescent="0.2">
      <c r="A72" s="11" t="s">
        <v>68</v>
      </c>
      <c r="B72" s="11" t="s">
        <v>64</v>
      </c>
      <c r="C72" s="12">
        <v>6.6</v>
      </c>
      <c r="D72" s="13">
        <v>63.151899999999998</v>
      </c>
      <c r="E72" s="13">
        <v>0.58730000000000004</v>
      </c>
      <c r="F72" s="13">
        <v>0.14499999999999999</v>
      </c>
      <c r="G72" s="13">
        <v>1.67E-2</v>
      </c>
      <c r="H72" s="13">
        <v>-3.5000000000000001E-3</v>
      </c>
      <c r="I72" s="13">
        <v>1.1900000000000001E-2</v>
      </c>
      <c r="L72" s="16">
        <v>0.43209999999999998</v>
      </c>
      <c r="M72" s="16">
        <v>0.16039999999999999</v>
      </c>
      <c r="N72" s="16">
        <v>1.67E-2</v>
      </c>
      <c r="O72" s="16">
        <v>-3.2000000000000002E-3</v>
      </c>
      <c r="P72" s="16">
        <v>9.4000000000000004E-3</v>
      </c>
    </row>
    <row r="73" spans="1:16" x14ac:dyDescent="0.2">
      <c r="A73" s="14" t="s">
        <v>68</v>
      </c>
      <c r="B73" s="14" t="s">
        <v>64</v>
      </c>
      <c r="C73" s="15">
        <v>6.6</v>
      </c>
      <c r="D73" s="16">
        <v>63.761499999999998</v>
      </c>
      <c r="E73" s="16">
        <v>0.58799999999999997</v>
      </c>
      <c r="F73" s="16">
        <v>0.14349999999999999</v>
      </c>
      <c r="G73" s="16">
        <v>1.67E-2</v>
      </c>
      <c r="H73" s="16">
        <v>-3.5999999999999999E-3</v>
      </c>
      <c r="I73" s="16">
        <v>1.1900000000000001E-2</v>
      </c>
      <c r="L73" s="16">
        <v>0.3725</v>
      </c>
      <c r="M73" s="16">
        <v>0.15759999999999999</v>
      </c>
      <c r="N73" s="16">
        <v>1.7299999999999999E-2</v>
      </c>
      <c r="O73" s="16">
        <v>-3.2000000000000002E-3</v>
      </c>
      <c r="P73" s="16">
        <v>8.3000000000000001E-3</v>
      </c>
    </row>
    <row r="74" spans="1:16" x14ac:dyDescent="0.2">
      <c r="A74" s="11" t="s">
        <v>68</v>
      </c>
      <c r="B74" s="11" t="s">
        <v>64</v>
      </c>
      <c r="C74" s="12">
        <v>6.8</v>
      </c>
      <c r="D74" s="13">
        <v>61.162300000000002</v>
      </c>
      <c r="E74" s="13">
        <v>0.55630000000000002</v>
      </c>
      <c r="F74" s="13">
        <v>0.15079999999999999</v>
      </c>
      <c r="G74" s="13">
        <v>7.0000000000000001E-3</v>
      </c>
      <c r="H74" s="13">
        <v>-3.5000000000000001E-3</v>
      </c>
      <c r="I74" s="13">
        <v>1.15E-2</v>
      </c>
    </row>
    <row r="75" spans="1:16" x14ac:dyDescent="0.2">
      <c r="A75" s="14" t="s">
        <v>68</v>
      </c>
      <c r="B75" s="14" t="s">
        <v>64</v>
      </c>
      <c r="C75" s="15">
        <v>6.8</v>
      </c>
      <c r="D75" s="16">
        <v>61.634</v>
      </c>
      <c r="E75" s="16">
        <v>0.55700000000000005</v>
      </c>
      <c r="F75" s="16">
        <v>0.16059999999999999</v>
      </c>
      <c r="G75" s="16">
        <v>7.0000000000000001E-3</v>
      </c>
      <c r="H75" s="16">
        <v>-3.5000000000000001E-3</v>
      </c>
      <c r="I75" s="16">
        <v>1.15E-2</v>
      </c>
    </row>
    <row r="76" spans="1:16" x14ac:dyDescent="0.2">
      <c r="A76" s="11" t="s">
        <v>68</v>
      </c>
      <c r="B76" s="11" t="s">
        <v>64</v>
      </c>
      <c r="C76" s="12">
        <v>7</v>
      </c>
      <c r="D76" s="13">
        <v>60.396799999999999</v>
      </c>
      <c r="E76" s="13">
        <v>0.52590000000000003</v>
      </c>
      <c r="F76" s="13">
        <v>0.15359999999999999</v>
      </c>
      <c r="G76" s="13">
        <v>1.7299999999999999E-2</v>
      </c>
      <c r="H76" s="13">
        <v>-3.5000000000000001E-3</v>
      </c>
      <c r="I76" s="13">
        <v>1.0999999999999999E-2</v>
      </c>
    </row>
    <row r="77" spans="1:16" x14ac:dyDescent="0.2">
      <c r="A77" s="14" t="s">
        <v>68</v>
      </c>
      <c r="B77" s="14" t="s">
        <v>64</v>
      </c>
      <c r="C77" s="15">
        <v>7</v>
      </c>
      <c r="D77" s="16">
        <v>59.962499999999999</v>
      </c>
      <c r="E77" s="16">
        <v>0.52500000000000002</v>
      </c>
      <c r="F77" s="16">
        <v>0.1547</v>
      </c>
      <c r="G77" s="16">
        <v>1.7299999999999999E-2</v>
      </c>
      <c r="H77" s="16">
        <v>-3.5000000000000001E-3</v>
      </c>
      <c r="I77" s="16">
        <v>1.0999999999999999E-2</v>
      </c>
    </row>
    <row r="78" spans="1:16" x14ac:dyDescent="0.2">
      <c r="A78" s="11" t="s">
        <v>68</v>
      </c>
      <c r="B78" s="11" t="s">
        <v>64</v>
      </c>
      <c r="C78" s="12">
        <v>7.2</v>
      </c>
      <c r="D78" s="13">
        <v>59.513500000000001</v>
      </c>
      <c r="E78" s="13">
        <v>0.49440000000000001</v>
      </c>
      <c r="F78" s="13">
        <v>0.15679999999999999</v>
      </c>
      <c r="G78" s="13">
        <v>1.7600000000000001E-2</v>
      </c>
      <c r="H78" s="13">
        <v>-3.5000000000000001E-3</v>
      </c>
      <c r="I78" s="13">
        <v>1.0500000000000001E-2</v>
      </c>
    </row>
    <row r="79" spans="1:16" x14ac:dyDescent="0.2">
      <c r="A79" s="14" t="s">
        <v>68</v>
      </c>
      <c r="B79" s="14" t="s">
        <v>64</v>
      </c>
      <c r="C79" s="15">
        <v>7.2</v>
      </c>
      <c r="D79" s="16">
        <v>59.086300000000001</v>
      </c>
      <c r="E79" s="16">
        <v>0.49330000000000002</v>
      </c>
      <c r="F79" s="16">
        <v>0.15790000000000001</v>
      </c>
      <c r="G79" s="16">
        <v>1.7600000000000001E-2</v>
      </c>
      <c r="H79" s="16">
        <v>-3.5000000000000001E-3</v>
      </c>
      <c r="I79" s="16">
        <v>1.0500000000000001E-2</v>
      </c>
    </row>
    <row r="80" spans="1:16" x14ac:dyDescent="0.2">
      <c r="A80" s="11" t="s">
        <v>68</v>
      </c>
      <c r="B80" s="11" t="s">
        <v>64</v>
      </c>
      <c r="C80" s="12">
        <v>7.4</v>
      </c>
      <c r="D80" s="13">
        <v>58.249000000000002</v>
      </c>
      <c r="E80" s="13">
        <v>0.46200000000000002</v>
      </c>
      <c r="F80" s="13">
        <v>0.16</v>
      </c>
      <c r="G80" s="13">
        <v>1.6500000000000001E-2</v>
      </c>
      <c r="H80" s="13">
        <v>-3.2000000000000002E-3</v>
      </c>
      <c r="I80" s="13">
        <v>0.01</v>
      </c>
    </row>
    <row r="81" spans="1:9" x14ac:dyDescent="0.2">
      <c r="A81" s="14" t="s">
        <v>68</v>
      </c>
      <c r="B81" s="14" t="s">
        <v>64</v>
      </c>
      <c r="C81" s="15">
        <v>7.4</v>
      </c>
      <c r="D81" s="16">
        <v>58.552500000000002</v>
      </c>
      <c r="E81" s="16">
        <v>0.46300000000000002</v>
      </c>
      <c r="F81" s="16">
        <v>0.15920000000000001</v>
      </c>
      <c r="G81" s="16">
        <v>1.6500000000000001E-2</v>
      </c>
      <c r="H81" s="16">
        <v>-3.2000000000000002E-3</v>
      </c>
      <c r="I81" s="16">
        <v>0.01</v>
      </c>
    </row>
    <row r="82" spans="1:9" x14ac:dyDescent="0.2">
      <c r="A82" s="11" t="s">
        <v>68</v>
      </c>
      <c r="B82" s="11" t="s">
        <v>64</v>
      </c>
      <c r="C82" s="12">
        <v>7.6</v>
      </c>
      <c r="D82" s="13">
        <v>57.0518</v>
      </c>
      <c r="E82" s="13">
        <v>0.43099999999999999</v>
      </c>
      <c r="F82" s="13">
        <v>0.16059999999999999</v>
      </c>
      <c r="G82" s="13">
        <v>1.67E-2</v>
      </c>
      <c r="H82" s="13">
        <v>-3.2000000000000002E-3</v>
      </c>
      <c r="I82" s="13">
        <v>9.4000000000000004E-3</v>
      </c>
    </row>
    <row r="83" spans="1:9" x14ac:dyDescent="0.2">
      <c r="A83" s="14" t="s">
        <v>68</v>
      </c>
      <c r="B83" s="14" t="s">
        <v>64</v>
      </c>
      <c r="C83" s="15">
        <v>7.6</v>
      </c>
      <c r="D83" s="16">
        <v>57.350499999999997</v>
      </c>
      <c r="E83" s="16">
        <v>0.43209999999999998</v>
      </c>
      <c r="F83" s="16">
        <v>0.16039999999999999</v>
      </c>
      <c r="G83" s="16">
        <v>1.67E-2</v>
      </c>
      <c r="H83" s="16">
        <v>-3.2000000000000002E-3</v>
      </c>
      <c r="I83" s="16">
        <v>9.4000000000000004E-3</v>
      </c>
    </row>
    <row r="84" spans="1:9" x14ac:dyDescent="0.2">
      <c r="A84" s="11" t="s">
        <v>68</v>
      </c>
      <c r="B84" s="11" t="s">
        <v>64</v>
      </c>
      <c r="C84" s="12">
        <v>7.8</v>
      </c>
      <c r="D84" s="13">
        <v>56.332000000000001</v>
      </c>
      <c r="E84" s="13">
        <v>0.4007</v>
      </c>
      <c r="F84" s="13">
        <v>0.15989999999999999</v>
      </c>
      <c r="G84" s="13">
        <v>1.7000000000000001E-2</v>
      </c>
      <c r="H84" s="13">
        <v>-3.2000000000000002E-3</v>
      </c>
      <c r="I84" s="13">
        <v>8.8000000000000005E-3</v>
      </c>
    </row>
    <row r="85" spans="1:9" x14ac:dyDescent="0.2">
      <c r="A85" s="14" t="s">
        <v>68</v>
      </c>
      <c r="B85" s="14" t="s">
        <v>64</v>
      </c>
      <c r="C85" s="15">
        <v>7.8</v>
      </c>
      <c r="D85" s="16">
        <v>56.478999999999999</v>
      </c>
      <c r="E85" s="16">
        <v>0.40129999999999999</v>
      </c>
      <c r="F85" s="16">
        <v>0.1595</v>
      </c>
      <c r="G85" s="16">
        <v>1.7000000000000001E-2</v>
      </c>
      <c r="H85" s="16">
        <v>-3.2000000000000002E-3</v>
      </c>
      <c r="I85" s="16">
        <v>8.8999999999999999E-3</v>
      </c>
    </row>
    <row r="86" spans="1:9" x14ac:dyDescent="0.2">
      <c r="A86" s="11" t="s">
        <v>68</v>
      </c>
      <c r="B86" s="11" t="s">
        <v>64</v>
      </c>
      <c r="C86" s="12">
        <v>8</v>
      </c>
      <c r="D86" s="13">
        <v>56.067900000000002</v>
      </c>
      <c r="E86" s="13">
        <v>0.37180000000000002</v>
      </c>
      <c r="F86" s="13">
        <v>0.158</v>
      </c>
      <c r="G86" s="13">
        <v>1.7299999999999999E-2</v>
      </c>
      <c r="H86" s="13">
        <v>-3.2000000000000002E-3</v>
      </c>
      <c r="I86" s="13">
        <v>8.3000000000000001E-3</v>
      </c>
    </row>
    <row r="87" spans="1:9" x14ac:dyDescent="0.2">
      <c r="A87" s="14" t="s">
        <v>68</v>
      </c>
      <c r="B87" s="14" t="s">
        <v>64</v>
      </c>
      <c r="C87" s="15">
        <v>8</v>
      </c>
      <c r="D87" s="16">
        <v>56.212800000000001</v>
      </c>
      <c r="E87" s="16">
        <v>0.3725</v>
      </c>
      <c r="F87" s="16">
        <v>0.15759999999999999</v>
      </c>
      <c r="G87" s="16">
        <v>1.7299999999999999E-2</v>
      </c>
      <c r="H87" s="16">
        <v>-3.2000000000000002E-3</v>
      </c>
      <c r="I87" s="16">
        <v>8.3000000000000001E-3</v>
      </c>
    </row>
    <row r="89" spans="1:9" x14ac:dyDescent="0.2">
      <c r="A89" s="28" t="s">
        <v>69</v>
      </c>
      <c r="B89" s="29"/>
      <c r="C89" s="29"/>
      <c r="D89" s="29"/>
      <c r="E89" s="29"/>
      <c r="F89" s="29"/>
      <c r="G89" s="29"/>
      <c r="H89" s="29"/>
    </row>
    <row r="90" spans="1:9" x14ac:dyDescent="0.2">
      <c r="A90" s="10" t="s">
        <v>54</v>
      </c>
      <c r="B90" s="10" t="s">
        <v>55</v>
      </c>
      <c r="C90" s="10" t="s">
        <v>56</v>
      </c>
      <c r="D90" s="10" t="s">
        <v>57</v>
      </c>
      <c r="E90" s="10" t="s">
        <v>58</v>
      </c>
      <c r="F90" s="10" t="s">
        <v>59</v>
      </c>
      <c r="G90" s="10" t="s">
        <v>60</v>
      </c>
      <c r="H90" s="10" t="s">
        <v>61</v>
      </c>
      <c r="I90" s="10" t="s">
        <v>62</v>
      </c>
    </row>
    <row r="91" spans="1:9" x14ac:dyDescent="0.2">
      <c r="A91" s="11" t="s">
        <v>70</v>
      </c>
      <c r="B91" s="11" t="s">
        <v>64</v>
      </c>
      <c r="C91" s="12">
        <v>5.6</v>
      </c>
      <c r="D91" s="13">
        <v>67.235900000000001</v>
      </c>
      <c r="E91" s="13">
        <v>0.72460000000000002</v>
      </c>
      <c r="F91" s="13">
        <v>9.2799999999999994E-2</v>
      </c>
      <c r="G91" s="13">
        <v>1.7299999999999999E-2</v>
      </c>
      <c r="H91" s="13">
        <v>-2.5999999999999999E-3</v>
      </c>
      <c r="I91" s="13">
        <v>1.9400000000000001E-2</v>
      </c>
    </row>
    <row r="92" spans="1:9" x14ac:dyDescent="0.2">
      <c r="A92" s="14" t="s">
        <v>70</v>
      </c>
      <c r="B92" s="14" t="s">
        <v>64</v>
      </c>
      <c r="C92" s="15">
        <v>5.6</v>
      </c>
      <c r="D92" s="16">
        <v>67.235900000000001</v>
      </c>
      <c r="E92" s="16">
        <v>0.72460000000000002</v>
      </c>
      <c r="F92" s="16">
        <v>9.2799999999999994E-2</v>
      </c>
      <c r="G92" s="16">
        <v>1.7299999999999999E-2</v>
      </c>
      <c r="H92" s="16">
        <v>-2.5999999999999999E-3</v>
      </c>
      <c r="I92" s="16">
        <v>1.9400000000000001E-2</v>
      </c>
    </row>
    <row r="93" spans="1:9" x14ac:dyDescent="0.2">
      <c r="A93" s="11" t="s">
        <v>70</v>
      </c>
      <c r="B93" s="11" t="s">
        <v>64</v>
      </c>
      <c r="C93" s="12">
        <v>5.8</v>
      </c>
      <c r="D93" s="13">
        <v>65.021199999999993</v>
      </c>
      <c r="E93" s="13">
        <v>0.70289999999999997</v>
      </c>
      <c r="F93" s="13">
        <v>9.9000000000000005E-2</v>
      </c>
      <c r="G93" s="13">
        <v>1.9199999999999998E-2</v>
      </c>
      <c r="H93" s="13">
        <v>-2.7000000000000001E-3</v>
      </c>
      <c r="I93" s="13">
        <v>1.9300000000000001E-2</v>
      </c>
    </row>
    <row r="94" spans="1:9" x14ac:dyDescent="0.2">
      <c r="A94" s="14" t="s">
        <v>70</v>
      </c>
      <c r="B94" s="14" t="s">
        <v>64</v>
      </c>
      <c r="C94" s="15">
        <v>5.8</v>
      </c>
      <c r="D94" s="16">
        <v>65.281999999999996</v>
      </c>
      <c r="E94" s="16">
        <v>0.70289999999999997</v>
      </c>
      <c r="F94" s="16">
        <v>9.8599999999999993E-2</v>
      </c>
      <c r="G94" s="16">
        <v>1.9199999999999998E-2</v>
      </c>
      <c r="H94" s="16">
        <v>-2.7000000000000001E-3</v>
      </c>
      <c r="I94" s="16">
        <v>1.9300000000000001E-2</v>
      </c>
    </row>
    <row r="95" spans="1:9" x14ac:dyDescent="0.2">
      <c r="A95" s="11" t="s">
        <v>70</v>
      </c>
      <c r="B95" s="11" t="s">
        <v>64</v>
      </c>
      <c r="C95" s="12">
        <v>6</v>
      </c>
      <c r="D95" s="13">
        <v>63.013100000000001</v>
      </c>
      <c r="E95" s="13">
        <v>0.67989999999999995</v>
      </c>
      <c r="F95" s="13">
        <v>0.1052</v>
      </c>
      <c r="G95" s="13">
        <v>1.9599999999999999E-2</v>
      </c>
      <c r="H95" s="13">
        <v>-2.7000000000000001E-3</v>
      </c>
      <c r="I95" s="13">
        <v>1.9199999999999998E-2</v>
      </c>
    </row>
    <row r="96" spans="1:9" x14ac:dyDescent="0.2">
      <c r="A96" s="14" t="s">
        <v>70</v>
      </c>
      <c r="B96" s="14" t="s">
        <v>64</v>
      </c>
      <c r="C96" s="15">
        <v>6</v>
      </c>
      <c r="D96" s="16">
        <v>63.268599999999999</v>
      </c>
      <c r="E96" s="16">
        <v>0.68</v>
      </c>
      <c r="F96" s="16">
        <v>0.1047</v>
      </c>
      <c r="G96" s="16">
        <v>1.9599999999999999E-2</v>
      </c>
      <c r="H96" s="16">
        <v>-2.7000000000000001E-3</v>
      </c>
      <c r="I96" s="16">
        <v>1.9099999999999999E-2</v>
      </c>
    </row>
    <row r="97" spans="1:16" x14ac:dyDescent="0.2">
      <c r="A97" s="11" t="s">
        <v>70</v>
      </c>
      <c r="B97" s="11" t="s">
        <v>64</v>
      </c>
      <c r="C97" s="12">
        <v>6.2</v>
      </c>
      <c r="D97" s="13">
        <v>61.582099999999997</v>
      </c>
      <c r="E97" s="13">
        <v>0.65590000000000004</v>
      </c>
      <c r="F97" s="13">
        <v>0.11070000000000001</v>
      </c>
      <c r="G97" s="13">
        <v>0.03</v>
      </c>
      <c r="H97" s="13">
        <v>-2.7000000000000001E-3</v>
      </c>
      <c r="I97" s="13">
        <v>1.6899999999999998E-2</v>
      </c>
    </row>
    <row r="98" spans="1:16" x14ac:dyDescent="0.2">
      <c r="A98" s="14" t="s">
        <v>70</v>
      </c>
      <c r="B98" s="14" t="s">
        <v>64</v>
      </c>
      <c r="C98" s="15">
        <v>6.2</v>
      </c>
      <c r="D98" s="16">
        <v>61.582099999999997</v>
      </c>
      <c r="E98" s="16">
        <v>0.65590000000000004</v>
      </c>
      <c r="F98" s="16">
        <v>0.11070000000000001</v>
      </c>
      <c r="G98" s="16">
        <v>0.03</v>
      </c>
      <c r="H98" s="16">
        <v>-2.7000000000000001E-3</v>
      </c>
      <c r="I98" s="16">
        <v>1.89E-2</v>
      </c>
      <c r="L98" s="16">
        <v>0.72460000000000002</v>
      </c>
      <c r="M98" s="16">
        <v>9.2799999999999994E-2</v>
      </c>
      <c r="N98" s="16">
        <v>1.7299999999999999E-2</v>
      </c>
      <c r="O98" s="16">
        <v>-2.5999999999999999E-3</v>
      </c>
      <c r="P98" s="16">
        <v>1.9400000000000001E-2</v>
      </c>
    </row>
    <row r="99" spans="1:16" x14ac:dyDescent="0.2">
      <c r="A99" s="11" t="s">
        <v>70</v>
      </c>
      <c r="B99" s="11" t="s">
        <v>64</v>
      </c>
      <c r="C99" s="12">
        <v>6.4</v>
      </c>
      <c r="D99" s="13">
        <v>60.695599999999999</v>
      </c>
      <c r="E99" s="13">
        <v>0.63149999999999995</v>
      </c>
      <c r="F99" s="13">
        <v>0.11550000000000001</v>
      </c>
      <c r="G99" s="13">
        <v>2.0299999999999999E-2</v>
      </c>
      <c r="H99" s="13">
        <v>-2.7000000000000001E-3</v>
      </c>
      <c r="I99" s="13">
        <v>1.8599999999999998E-2</v>
      </c>
      <c r="L99" s="16">
        <v>0.68</v>
      </c>
      <c r="M99" s="16">
        <v>0.1047</v>
      </c>
      <c r="N99" s="16">
        <v>1.9599999999999999E-2</v>
      </c>
      <c r="O99" s="16">
        <v>-2.7000000000000001E-3</v>
      </c>
      <c r="P99" s="16">
        <v>1.9099999999999999E-2</v>
      </c>
    </row>
    <row r="100" spans="1:16" x14ac:dyDescent="0.2">
      <c r="A100" s="14" t="s">
        <v>70</v>
      </c>
      <c r="B100" s="14" t="s">
        <v>64</v>
      </c>
      <c r="C100" s="15">
        <v>6.4</v>
      </c>
      <c r="D100" s="16">
        <v>59.558399999999999</v>
      </c>
      <c r="E100" s="16">
        <v>0.60629999999999995</v>
      </c>
      <c r="F100" s="16">
        <v>0.11700000000000001</v>
      </c>
      <c r="G100" s="16">
        <v>2.0400000000000001E-2</v>
      </c>
      <c r="H100" s="16">
        <v>-2.7000000000000001E-3</v>
      </c>
      <c r="I100" s="16">
        <v>1.8599999999999998E-2</v>
      </c>
      <c r="L100" s="16">
        <v>0.60629999999999995</v>
      </c>
      <c r="M100" s="16">
        <v>0.11700000000000001</v>
      </c>
      <c r="N100" s="16">
        <v>2.0400000000000001E-2</v>
      </c>
      <c r="O100" s="16">
        <v>-2.7000000000000001E-3</v>
      </c>
      <c r="P100" s="16">
        <v>1.8599999999999998E-2</v>
      </c>
    </row>
    <row r="101" spans="1:16" x14ac:dyDescent="0.2">
      <c r="A101" s="11" t="s">
        <v>70</v>
      </c>
      <c r="B101" s="11" t="s">
        <v>64</v>
      </c>
      <c r="C101" s="12">
        <v>6.6</v>
      </c>
      <c r="D101" s="13">
        <v>59.721800000000002</v>
      </c>
      <c r="E101" s="13">
        <v>0.60629999999999995</v>
      </c>
      <c r="F101" s="13">
        <v>0.12039999999999999</v>
      </c>
      <c r="G101" s="13">
        <v>2.07E-2</v>
      </c>
      <c r="H101" s="13">
        <v>-2.7000000000000001E-3</v>
      </c>
      <c r="I101" s="13">
        <v>1.8200000000000001E-2</v>
      </c>
      <c r="L101" s="16">
        <v>0.57909999999999995</v>
      </c>
      <c r="M101" s="16">
        <v>0.1265</v>
      </c>
      <c r="N101" s="16">
        <v>2.1100000000000001E-2</v>
      </c>
      <c r="O101" s="16">
        <v>-2.5999999999999999E-3</v>
      </c>
      <c r="P101" s="16">
        <v>1.78E-2</v>
      </c>
    </row>
    <row r="102" spans="1:16" x14ac:dyDescent="0.2">
      <c r="A102" s="14" t="s">
        <v>70</v>
      </c>
      <c r="B102" s="14" t="s">
        <v>64</v>
      </c>
      <c r="C102" s="15">
        <v>6.6</v>
      </c>
      <c r="D102" s="16">
        <v>58.998199999999997</v>
      </c>
      <c r="E102" s="16">
        <v>0.60529999999999995</v>
      </c>
      <c r="F102" s="16">
        <v>0.122</v>
      </c>
      <c r="G102" s="16">
        <v>2.07E-2</v>
      </c>
      <c r="H102" s="16">
        <v>-2.5999999999999999E-3</v>
      </c>
      <c r="I102" s="16">
        <v>1.8200000000000001E-2</v>
      </c>
      <c r="L102" s="16">
        <v>0.5272</v>
      </c>
      <c r="M102" s="16">
        <v>0.13189999999999999</v>
      </c>
      <c r="N102" s="16">
        <v>2.1899999999999999E-2</v>
      </c>
      <c r="O102" s="16">
        <v>-2.5999999999999999E-3</v>
      </c>
      <c r="P102" s="16">
        <v>1.67E-2</v>
      </c>
    </row>
    <row r="103" spans="1:16" x14ac:dyDescent="0.2">
      <c r="A103" s="11" t="s">
        <v>70</v>
      </c>
      <c r="B103" s="11" t="s">
        <v>64</v>
      </c>
      <c r="C103" s="12">
        <v>6.8</v>
      </c>
      <c r="D103" s="13">
        <v>57.8748</v>
      </c>
      <c r="E103" s="13">
        <v>0.57999999999999996</v>
      </c>
      <c r="F103" s="13">
        <v>0.12540000000000001</v>
      </c>
      <c r="G103" s="13">
        <v>2.1100000000000001E-2</v>
      </c>
      <c r="H103" s="13">
        <v>-2.5999999999999999E-3</v>
      </c>
      <c r="I103" s="13">
        <v>1.78E-2</v>
      </c>
      <c r="L103" s="16">
        <v>0.44700000000000001</v>
      </c>
      <c r="M103" s="16">
        <v>0.13769999999999999</v>
      </c>
      <c r="N103" s="16">
        <v>2.12E-2</v>
      </c>
      <c r="O103" s="16">
        <v>-2.3999999999999998E-3</v>
      </c>
      <c r="P103" s="16">
        <v>1.47E-2</v>
      </c>
    </row>
    <row r="104" spans="1:16" x14ac:dyDescent="0.2">
      <c r="A104" s="14" t="s">
        <v>70</v>
      </c>
      <c r="B104" s="14" t="s">
        <v>64</v>
      </c>
      <c r="C104" s="15">
        <v>6.8</v>
      </c>
      <c r="D104" s="16">
        <v>57.401200000000003</v>
      </c>
      <c r="E104" s="16">
        <v>0.57909999999999995</v>
      </c>
      <c r="F104" s="16">
        <v>0.1265</v>
      </c>
      <c r="G104" s="16">
        <v>2.1100000000000001E-2</v>
      </c>
      <c r="H104" s="16">
        <v>-2.5999999999999999E-3</v>
      </c>
      <c r="I104" s="16">
        <v>1.78E-2</v>
      </c>
      <c r="L104" s="13">
        <v>0.4239</v>
      </c>
      <c r="M104" s="13">
        <v>0.13650000000000001</v>
      </c>
      <c r="N104" s="13">
        <v>2.1499999999999998E-2</v>
      </c>
      <c r="O104" s="13">
        <v>-2.5000000000000001E-3</v>
      </c>
      <c r="P104" s="13">
        <v>1.41E-2</v>
      </c>
    </row>
    <row r="105" spans="1:16" x14ac:dyDescent="0.2">
      <c r="A105" s="11" t="s">
        <v>70</v>
      </c>
      <c r="B105" s="11" t="s">
        <v>64</v>
      </c>
      <c r="C105" s="12">
        <v>7</v>
      </c>
      <c r="D105" s="13">
        <v>56.789099999999998</v>
      </c>
      <c r="E105" s="13">
        <v>0.55369999999999997</v>
      </c>
      <c r="F105" s="13">
        <v>0.12889999999999999</v>
      </c>
      <c r="G105" s="13">
        <v>2.1499999999999998E-2</v>
      </c>
      <c r="H105" s="13">
        <v>-2.5999999999999999E-3</v>
      </c>
      <c r="I105" s="13">
        <v>1.72E-2</v>
      </c>
    </row>
    <row r="106" spans="1:16" x14ac:dyDescent="0.2">
      <c r="A106" s="14" t="s">
        <v>70</v>
      </c>
      <c r="B106" s="14" t="s">
        <v>64</v>
      </c>
      <c r="C106" s="15">
        <v>7</v>
      </c>
      <c r="D106" s="16">
        <v>56.091200000000001</v>
      </c>
      <c r="E106" s="16">
        <v>0.56210000000000004</v>
      </c>
      <c r="F106" s="16">
        <v>0.13059999999999999</v>
      </c>
      <c r="G106" s="16">
        <v>2.1499999999999998E-2</v>
      </c>
      <c r="H106" s="16">
        <v>-2.5999999999999999E-3</v>
      </c>
      <c r="I106" s="16">
        <v>1.7299999999999999E-2</v>
      </c>
    </row>
    <row r="107" spans="1:16" x14ac:dyDescent="0.2">
      <c r="A107" s="11" t="s">
        <v>70</v>
      </c>
      <c r="B107" s="11" t="s">
        <v>64</v>
      </c>
      <c r="C107" s="12">
        <v>7.2</v>
      </c>
      <c r="D107" s="13">
        <v>55.6252</v>
      </c>
      <c r="E107" s="13">
        <v>0.5262</v>
      </c>
      <c r="F107" s="13">
        <v>0.13270000000000001</v>
      </c>
      <c r="G107" s="13">
        <v>2.1899999999999999E-2</v>
      </c>
      <c r="H107" s="13">
        <v>-2.5999999999999999E-3</v>
      </c>
      <c r="I107" s="13">
        <v>1.67E-2</v>
      </c>
    </row>
    <row r="108" spans="1:16" x14ac:dyDescent="0.2">
      <c r="A108" s="14" t="s">
        <v>70</v>
      </c>
      <c r="B108" s="14" t="s">
        <v>64</v>
      </c>
      <c r="C108" s="15">
        <v>7.2</v>
      </c>
      <c r="D108" s="16">
        <v>55.968299999999999</v>
      </c>
      <c r="E108" s="16">
        <v>0.5272</v>
      </c>
      <c r="F108" s="16">
        <v>0.13189999999999999</v>
      </c>
      <c r="G108" s="16">
        <v>2.1899999999999999E-2</v>
      </c>
      <c r="H108" s="16">
        <v>-2.5999999999999999E-3</v>
      </c>
      <c r="I108" s="16">
        <v>1.67E-2</v>
      </c>
    </row>
    <row r="109" spans="1:16" x14ac:dyDescent="0.2">
      <c r="A109" s="11" t="s">
        <v>70</v>
      </c>
      <c r="B109" s="11" t="s">
        <v>64</v>
      </c>
      <c r="C109" s="12">
        <v>7.4</v>
      </c>
      <c r="D109" s="13">
        <v>54.837000000000003</v>
      </c>
      <c r="E109" s="13">
        <v>0.49880000000000002</v>
      </c>
      <c r="F109" s="13">
        <v>0.13569999999999999</v>
      </c>
      <c r="G109" s="13">
        <v>2.2200000000000001E-2</v>
      </c>
      <c r="H109" s="13">
        <v>-2.7000000000000001E-3</v>
      </c>
      <c r="I109" s="13">
        <v>1.61E-2</v>
      </c>
    </row>
    <row r="110" spans="1:16" x14ac:dyDescent="0.2">
      <c r="A110" s="14" t="s">
        <v>70</v>
      </c>
      <c r="B110" s="14" t="s">
        <v>64</v>
      </c>
      <c r="C110" s="15">
        <v>7.4</v>
      </c>
      <c r="D110" s="16">
        <v>54.247700000000002</v>
      </c>
      <c r="E110" s="16">
        <v>0.47349999999999998</v>
      </c>
      <c r="F110" s="16">
        <v>0.1366</v>
      </c>
      <c r="G110" s="16">
        <v>2.0899999999999998E-2</v>
      </c>
      <c r="H110" s="16">
        <v>-2.3999999999999998E-3</v>
      </c>
      <c r="I110" s="16">
        <v>1.54E-2</v>
      </c>
    </row>
    <row r="111" spans="1:16" x14ac:dyDescent="0.2">
      <c r="A111" s="11" t="s">
        <v>70</v>
      </c>
      <c r="B111" s="11" t="s">
        <v>64</v>
      </c>
      <c r="C111" s="12">
        <v>7.6</v>
      </c>
      <c r="D111" s="13">
        <v>54.727200000000003</v>
      </c>
      <c r="E111" s="13">
        <v>0.4753</v>
      </c>
      <c r="F111" s="13">
        <v>0.13550000000000001</v>
      </c>
      <c r="G111" s="13">
        <v>2.0799999999999999E-2</v>
      </c>
      <c r="H111" s="13">
        <v>-2.5000000000000001E-3</v>
      </c>
      <c r="I111" s="13">
        <v>1.54E-2</v>
      </c>
    </row>
    <row r="112" spans="1:16" x14ac:dyDescent="0.2">
      <c r="A112" s="14" t="s">
        <v>70</v>
      </c>
      <c r="B112" s="14" t="s">
        <v>64</v>
      </c>
      <c r="C112" s="15">
        <v>7.6</v>
      </c>
      <c r="D112" s="16">
        <v>53.217300000000002</v>
      </c>
      <c r="E112" s="16">
        <v>0.44700000000000001</v>
      </c>
      <c r="F112" s="16">
        <v>0.13769999999999999</v>
      </c>
      <c r="G112" s="16">
        <v>2.12E-2</v>
      </c>
      <c r="H112" s="16">
        <v>-2.3999999999999998E-3</v>
      </c>
      <c r="I112" s="16">
        <v>1.47E-2</v>
      </c>
    </row>
    <row r="113" spans="1:16" x14ac:dyDescent="0.2">
      <c r="A113" s="11" t="s">
        <v>70</v>
      </c>
      <c r="B113" s="11" t="s">
        <v>64</v>
      </c>
      <c r="C113" s="12">
        <v>7.8</v>
      </c>
      <c r="D113" s="13">
        <v>53.825099999999999</v>
      </c>
      <c r="E113" s="13">
        <v>0.44990000000000002</v>
      </c>
      <c r="F113" s="13">
        <v>0.1361</v>
      </c>
      <c r="G113" s="13">
        <v>2.12E-2</v>
      </c>
      <c r="H113" s="13">
        <v>-2.5000000000000001E-3</v>
      </c>
      <c r="I113" s="13">
        <v>1.4800000000000001E-2</v>
      </c>
    </row>
    <row r="114" spans="1:16" x14ac:dyDescent="0.2">
      <c r="A114" s="14" t="s">
        <v>70</v>
      </c>
      <c r="B114" s="14" t="s">
        <v>64</v>
      </c>
      <c r="C114" s="15">
        <v>7.8</v>
      </c>
      <c r="D114" s="16">
        <v>52.566600000000001</v>
      </c>
      <c r="E114" s="16">
        <v>0.44109999999999999</v>
      </c>
      <c r="F114" s="16">
        <v>0.13780000000000001</v>
      </c>
      <c r="G114" s="16">
        <v>2.1499999999999998E-2</v>
      </c>
      <c r="H114" s="16">
        <v>-2.3999999999999998E-3</v>
      </c>
      <c r="I114" s="16">
        <v>1.4E-2</v>
      </c>
    </row>
    <row r="115" spans="1:16" x14ac:dyDescent="0.2">
      <c r="A115" s="11" t="s">
        <v>70</v>
      </c>
      <c r="B115" s="11" t="s">
        <v>64</v>
      </c>
      <c r="C115" s="12">
        <v>8</v>
      </c>
      <c r="D115" s="13">
        <v>53.347200000000001</v>
      </c>
      <c r="E115" s="13">
        <v>0.4239</v>
      </c>
      <c r="F115" s="13">
        <v>0.13650000000000001</v>
      </c>
      <c r="G115" s="13">
        <v>2.1499999999999998E-2</v>
      </c>
      <c r="H115" s="13">
        <v>-2.5000000000000001E-3</v>
      </c>
      <c r="I115" s="13">
        <v>1.41E-2</v>
      </c>
    </row>
    <row r="117" spans="1:16" x14ac:dyDescent="0.2">
      <c r="A117" s="28" t="s">
        <v>71</v>
      </c>
      <c r="B117" s="29"/>
      <c r="C117" s="29"/>
      <c r="D117" s="29"/>
      <c r="E117" s="29"/>
      <c r="F117" s="29"/>
      <c r="G117" s="29"/>
      <c r="H117" s="29"/>
    </row>
    <row r="118" spans="1:16" x14ac:dyDescent="0.2">
      <c r="A118" s="10" t="s">
        <v>54</v>
      </c>
      <c r="B118" s="10" t="s">
        <v>55</v>
      </c>
      <c r="C118" s="10" t="s">
        <v>56</v>
      </c>
      <c r="D118" s="10" t="s">
        <v>57</v>
      </c>
      <c r="E118" s="10" t="s">
        <v>58</v>
      </c>
      <c r="F118" s="10" t="s">
        <v>59</v>
      </c>
      <c r="G118" s="10" t="s">
        <v>60</v>
      </c>
      <c r="H118" s="10" t="s">
        <v>61</v>
      </c>
      <c r="I118" s="10" t="s">
        <v>62</v>
      </c>
    </row>
    <row r="119" spans="1:16" x14ac:dyDescent="0.2">
      <c r="A119" s="11" t="s">
        <v>72</v>
      </c>
      <c r="B119" s="11" t="s">
        <v>64</v>
      </c>
      <c r="C119" s="12">
        <v>5.6</v>
      </c>
      <c r="D119" s="13">
        <v>63.126100000000001</v>
      </c>
      <c r="E119" s="13">
        <v>0.72729999999999995</v>
      </c>
      <c r="F119" s="13">
        <v>8.4000000000000005E-2</v>
      </c>
      <c r="G119" s="13">
        <v>2.1700000000000001E-2</v>
      </c>
      <c r="H119" s="13">
        <v>-2.2000000000000001E-3</v>
      </c>
      <c r="I119" s="13">
        <v>2.5399999999999999E-2</v>
      </c>
    </row>
    <row r="120" spans="1:16" x14ac:dyDescent="0.2">
      <c r="A120" s="14" t="s">
        <v>72</v>
      </c>
      <c r="B120" s="14" t="s">
        <v>64</v>
      </c>
      <c r="C120" s="15">
        <v>5.6</v>
      </c>
      <c r="D120" s="16">
        <v>63.125100000000003</v>
      </c>
      <c r="E120" s="16">
        <v>0.72729999999999995</v>
      </c>
      <c r="F120" s="16">
        <v>8.4000000000000005E-2</v>
      </c>
      <c r="G120" s="16">
        <v>2.1700000000000001E-2</v>
      </c>
      <c r="H120" s="16">
        <v>-2.2000000000000001E-3</v>
      </c>
      <c r="I120" s="16">
        <v>2.5399999999999999E-2</v>
      </c>
    </row>
    <row r="121" spans="1:16" x14ac:dyDescent="0.2">
      <c r="A121" s="11" t="s">
        <v>72</v>
      </c>
      <c r="B121" s="11" t="s">
        <v>64</v>
      </c>
      <c r="C121" s="12">
        <v>5.8</v>
      </c>
      <c r="D121" s="13">
        <v>61.4465</v>
      </c>
      <c r="E121" s="13">
        <v>0.70730000000000004</v>
      </c>
      <c r="F121" s="13">
        <v>8.8800000000000004E-2</v>
      </c>
      <c r="G121" s="13">
        <v>2.2100000000000002E-2</v>
      </c>
      <c r="H121" s="13">
        <v>-2.2000000000000001E-3</v>
      </c>
      <c r="I121" s="13">
        <v>2.53E-2</v>
      </c>
      <c r="L121" s="16">
        <v>0.72729999999999995</v>
      </c>
      <c r="M121" s="16">
        <v>8.4000000000000005E-2</v>
      </c>
      <c r="N121" s="16">
        <v>2.1700000000000001E-2</v>
      </c>
      <c r="O121" s="16">
        <v>-2.2000000000000001E-3</v>
      </c>
      <c r="P121" s="16">
        <v>2.5399999999999999E-2</v>
      </c>
    </row>
    <row r="122" spans="1:16" x14ac:dyDescent="0.2">
      <c r="A122" s="14" t="s">
        <v>72</v>
      </c>
      <c r="B122" s="14" t="s">
        <v>64</v>
      </c>
      <c r="C122" s="15">
        <v>5.8</v>
      </c>
      <c r="D122" s="16">
        <v>61.220599999999997</v>
      </c>
      <c r="E122" s="16">
        <v>0.70720000000000005</v>
      </c>
      <c r="F122" s="16">
        <v>8.9200000000000002E-2</v>
      </c>
      <c r="G122" s="16">
        <v>2.2100000000000002E-2</v>
      </c>
      <c r="H122" s="16">
        <v>-2.2000000000000001E-3</v>
      </c>
      <c r="I122" s="16">
        <v>2.63E-2</v>
      </c>
      <c r="L122" s="16">
        <v>0.68620000000000003</v>
      </c>
      <c r="M122" s="16">
        <v>9.4200000000000006E-2</v>
      </c>
      <c r="N122" s="16">
        <v>2.2599999999999999E-2</v>
      </c>
      <c r="O122" s="16">
        <v>-2.2000000000000001E-3</v>
      </c>
      <c r="P122" s="16">
        <v>2.52E-2</v>
      </c>
    </row>
    <row r="123" spans="1:16" x14ac:dyDescent="0.2">
      <c r="A123" s="11" t="s">
        <v>72</v>
      </c>
      <c r="B123" s="11" t="s">
        <v>64</v>
      </c>
      <c r="C123" s="12">
        <v>6</v>
      </c>
      <c r="D123" s="13">
        <v>59.612699999999997</v>
      </c>
      <c r="E123" s="13">
        <v>0.68620000000000003</v>
      </c>
      <c r="F123" s="13">
        <v>9.4200000000000006E-2</v>
      </c>
      <c r="G123" s="13">
        <v>2.2599999999999999E-2</v>
      </c>
      <c r="H123" s="13">
        <v>-2.2000000000000001E-3</v>
      </c>
      <c r="I123" s="13">
        <v>2.52E-2</v>
      </c>
      <c r="L123" s="16">
        <v>0.6421</v>
      </c>
      <c r="M123" s="16">
        <v>0.10340000000000001</v>
      </c>
      <c r="N123" s="16">
        <v>2.35E-2</v>
      </c>
      <c r="O123" s="16">
        <v>-2.2000000000000001E-3</v>
      </c>
      <c r="P123" s="16">
        <v>2.47E-2</v>
      </c>
    </row>
    <row r="124" spans="1:16" x14ac:dyDescent="0.2">
      <c r="A124" s="14" t="s">
        <v>72</v>
      </c>
      <c r="B124" s="14" t="s">
        <v>64</v>
      </c>
      <c r="C124" s="15">
        <v>6</v>
      </c>
      <c r="D124" s="16">
        <v>59.612699999999997</v>
      </c>
      <c r="E124" s="16">
        <v>0.68620000000000003</v>
      </c>
      <c r="F124" s="16">
        <v>9.4200000000000006E-2</v>
      </c>
      <c r="G124" s="16">
        <v>2.2599999999999999E-2</v>
      </c>
      <c r="H124" s="16">
        <v>-2.2000000000000001E-3</v>
      </c>
      <c r="I124" s="16">
        <v>2.52E-2</v>
      </c>
      <c r="L124" s="16">
        <v>0.59550000000000003</v>
      </c>
      <c r="M124" s="16">
        <v>0.1123</v>
      </c>
      <c r="N124" s="16">
        <v>2.4400000000000002E-2</v>
      </c>
      <c r="O124" s="16">
        <v>-2.2000000000000001E-3</v>
      </c>
      <c r="P124" s="16">
        <v>2.3900000000000001E-2</v>
      </c>
    </row>
    <row r="125" spans="1:16" x14ac:dyDescent="0.2">
      <c r="A125" s="11" t="s">
        <v>72</v>
      </c>
      <c r="B125" s="11" t="s">
        <v>64</v>
      </c>
      <c r="C125" s="12">
        <v>6.2</v>
      </c>
      <c r="D125" s="13">
        <v>58.1173</v>
      </c>
      <c r="E125" s="13">
        <v>0.66469999999999996</v>
      </c>
      <c r="F125" s="13">
        <v>9.8400000000000001E-2</v>
      </c>
      <c r="G125" s="13">
        <v>2.3099999999999999E-2</v>
      </c>
      <c r="H125" s="13">
        <v>-2.2000000000000001E-3</v>
      </c>
      <c r="I125" s="13">
        <v>2.4899999999999999E-2</v>
      </c>
      <c r="L125" s="16">
        <v>0.54800000000000004</v>
      </c>
      <c r="M125" s="16">
        <v>0.11840000000000001</v>
      </c>
      <c r="N125" s="16">
        <v>2.53E-2</v>
      </c>
      <c r="O125" s="16">
        <v>-2.2000000000000001E-3</v>
      </c>
      <c r="P125" s="16">
        <v>2.2700000000000001E-2</v>
      </c>
    </row>
    <row r="126" spans="1:16" x14ac:dyDescent="0.2">
      <c r="A126" s="14" t="s">
        <v>72</v>
      </c>
      <c r="B126" s="14" t="s">
        <v>64</v>
      </c>
      <c r="C126" s="15">
        <v>6.2</v>
      </c>
      <c r="D126" s="16">
        <v>58.500500000000002</v>
      </c>
      <c r="E126" s="16">
        <v>0.66449999999999998</v>
      </c>
      <c r="F126" s="16">
        <v>9.8799999999999999E-2</v>
      </c>
      <c r="G126" s="16">
        <v>2.3099999999999999E-2</v>
      </c>
      <c r="H126" s="16">
        <v>-2.2000000000000001E-3</v>
      </c>
      <c r="I126" s="16">
        <v>2.5000000000000001E-2</v>
      </c>
      <c r="L126" s="16">
        <v>0.50360000000000005</v>
      </c>
      <c r="M126" s="16">
        <v>0.1207</v>
      </c>
      <c r="N126" s="16">
        <v>2.4199999999999999E-2</v>
      </c>
      <c r="O126" s="16">
        <v>-2E-3</v>
      </c>
      <c r="P126" s="16">
        <v>2.1299999999999999E-2</v>
      </c>
    </row>
    <row r="127" spans="1:16" x14ac:dyDescent="0.2">
      <c r="A127" s="11" t="s">
        <v>72</v>
      </c>
      <c r="B127" s="11" t="s">
        <v>64</v>
      </c>
      <c r="C127" s="12">
        <v>6.4</v>
      </c>
      <c r="D127" s="13">
        <v>57.430300000000003</v>
      </c>
      <c r="E127" s="13">
        <v>0.6421</v>
      </c>
      <c r="F127" s="13">
        <v>0.10340000000000001</v>
      </c>
      <c r="G127" s="13">
        <v>2.35E-2</v>
      </c>
      <c r="H127" s="13">
        <v>-2.2000000000000001E-3</v>
      </c>
      <c r="I127" s="13">
        <v>2.47E-2</v>
      </c>
      <c r="L127" s="16">
        <v>0.45760000000000001</v>
      </c>
      <c r="M127" s="16">
        <v>0.12280000000000001</v>
      </c>
      <c r="N127" s="16">
        <v>2.5000000000000001E-2</v>
      </c>
      <c r="O127" s="16">
        <v>-2E-3</v>
      </c>
      <c r="P127" s="16">
        <v>1.9900000000000001E-2</v>
      </c>
    </row>
    <row r="128" spans="1:16" x14ac:dyDescent="0.2">
      <c r="A128" s="14" t="s">
        <v>72</v>
      </c>
      <c r="B128" s="14" t="s">
        <v>64</v>
      </c>
      <c r="C128" s="15">
        <v>6.4</v>
      </c>
      <c r="D128" s="16">
        <v>57.430300000000003</v>
      </c>
      <c r="E128" s="16">
        <v>0.6421</v>
      </c>
      <c r="F128" s="16">
        <v>0.10340000000000001</v>
      </c>
      <c r="G128" s="16">
        <v>2.35E-2</v>
      </c>
      <c r="H128" s="16">
        <v>-2.2000000000000001E-3</v>
      </c>
      <c r="I128" s="16">
        <v>2.47E-2</v>
      </c>
    </row>
    <row r="129" spans="1:9" x14ac:dyDescent="0.2">
      <c r="A129" s="11" t="s">
        <v>72</v>
      </c>
      <c r="B129" s="11" t="s">
        <v>64</v>
      </c>
      <c r="C129" s="12">
        <v>6.6</v>
      </c>
      <c r="D129" s="13">
        <v>56.901299999999999</v>
      </c>
      <c r="E129" s="13">
        <v>0.62</v>
      </c>
      <c r="F129" s="13">
        <v>0.107</v>
      </c>
      <c r="G129" s="13">
        <v>2.4E-2</v>
      </c>
      <c r="H129" s="13">
        <v>-2.2000000000000001E-3</v>
      </c>
      <c r="I129" s="13">
        <v>2.4199999999999999E-2</v>
      </c>
    </row>
    <row r="130" spans="1:9" x14ac:dyDescent="0.2">
      <c r="A130" s="14" t="s">
        <v>72</v>
      </c>
      <c r="B130" s="14" t="s">
        <v>64</v>
      </c>
      <c r="C130" s="15">
        <v>6.6</v>
      </c>
      <c r="D130" s="16">
        <v>56.067300000000003</v>
      </c>
      <c r="E130" s="16">
        <v>0.61870000000000003</v>
      </c>
      <c r="F130" s="16">
        <v>0.1087</v>
      </c>
      <c r="G130" s="16">
        <v>2.4E-2</v>
      </c>
      <c r="H130" s="16">
        <v>-2.2000000000000001E-3</v>
      </c>
      <c r="I130" s="16">
        <v>2.4400000000000002E-2</v>
      </c>
    </row>
    <row r="131" spans="1:9" x14ac:dyDescent="0.2">
      <c r="A131" s="11" t="s">
        <v>72</v>
      </c>
      <c r="B131" s="11" t="s">
        <v>64</v>
      </c>
      <c r="C131" s="12">
        <v>6.8</v>
      </c>
      <c r="D131" s="13">
        <v>55.2273</v>
      </c>
      <c r="E131" s="13">
        <v>0.59630000000000005</v>
      </c>
      <c r="F131" s="13">
        <v>0.1114</v>
      </c>
      <c r="G131" s="13">
        <v>2.4400000000000002E-2</v>
      </c>
      <c r="H131" s="13">
        <v>-2.2000000000000001E-3</v>
      </c>
      <c r="I131" s="13">
        <v>2.3800000000000002E-2</v>
      </c>
    </row>
    <row r="132" spans="1:9" x14ac:dyDescent="0.2">
      <c r="A132" s="14" t="s">
        <v>72</v>
      </c>
      <c r="B132" s="14" t="s">
        <v>64</v>
      </c>
      <c r="C132" s="15">
        <v>6.8</v>
      </c>
      <c r="D132" s="16">
        <v>54.817999999999998</v>
      </c>
      <c r="E132" s="16">
        <v>0.59550000000000003</v>
      </c>
      <c r="F132" s="16">
        <v>0.1123</v>
      </c>
      <c r="G132" s="16">
        <v>2.4400000000000002E-2</v>
      </c>
      <c r="H132" s="16">
        <v>-2.2000000000000001E-3</v>
      </c>
      <c r="I132" s="16">
        <v>2.3900000000000001E-2</v>
      </c>
    </row>
    <row r="133" spans="1:9" x14ac:dyDescent="0.2">
      <c r="A133" s="11" t="s">
        <v>72</v>
      </c>
      <c r="B133" s="11" t="s">
        <v>64</v>
      </c>
      <c r="C133" s="12">
        <v>7</v>
      </c>
      <c r="D133" s="13">
        <v>54.415999999999997</v>
      </c>
      <c r="E133" s="13">
        <v>0.57340000000000002</v>
      </c>
      <c r="F133" s="13">
        <v>0.1142</v>
      </c>
      <c r="G133" s="13">
        <v>2.4899999999999999E-2</v>
      </c>
      <c r="H133" s="13">
        <v>-2.2000000000000001E-3</v>
      </c>
      <c r="I133" s="13">
        <v>2.3300000000000001E-2</v>
      </c>
    </row>
    <row r="134" spans="1:9" x14ac:dyDescent="0.2">
      <c r="A134" s="14" t="s">
        <v>72</v>
      </c>
      <c r="B134" s="14" t="s">
        <v>64</v>
      </c>
      <c r="C134" s="15">
        <v>7</v>
      </c>
      <c r="D134" s="16">
        <v>54.0139</v>
      </c>
      <c r="E134" s="16">
        <v>0.57240000000000002</v>
      </c>
      <c r="F134" s="16">
        <v>0.11509999999999999</v>
      </c>
      <c r="G134" s="16">
        <v>2.4899999999999999E-2</v>
      </c>
      <c r="H134" s="16">
        <v>-2.2000000000000001E-3</v>
      </c>
      <c r="I134" s="16">
        <v>2.3300000000000001E-2</v>
      </c>
    </row>
    <row r="135" spans="1:9" x14ac:dyDescent="0.2">
      <c r="A135" s="11" t="s">
        <v>72</v>
      </c>
      <c r="B135" s="11" t="s">
        <v>64</v>
      </c>
      <c r="C135" s="12">
        <v>7.2</v>
      </c>
      <c r="D135" s="13">
        <v>53.829500000000003</v>
      </c>
      <c r="E135" s="13">
        <v>0.55030000000000001</v>
      </c>
      <c r="F135" s="13">
        <v>0.11650000000000001</v>
      </c>
      <c r="G135" s="13">
        <v>2.53E-2</v>
      </c>
      <c r="H135" s="13">
        <v>-2.2000000000000001E-3</v>
      </c>
      <c r="I135" s="13">
        <v>2.2599999999999999E-2</v>
      </c>
    </row>
    <row r="136" spans="1:9" x14ac:dyDescent="0.2">
      <c r="A136" s="14" t="s">
        <v>72</v>
      </c>
      <c r="B136" s="14" t="s">
        <v>64</v>
      </c>
      <c r="C136" s="15">
        <v>7.2</v>
      </c>
      <c r="D136" s="16">
        <v>53.039299999999997</v>
      </c>
      <c r="E136" s="16">
        <v>0.54800000000000004</v>
      </c>
      <c r="F136" s="16">
        <v>0.11840000000000001</v>
      </c>
      <c r="G136" s="16">
        <v>2.53E-2</v>
      </c>
      <c r="H136" s="16">
        <v>-2.2000000000000001E-3</v>
      </c>
      <c r="I136" s="16">
        <v>2.2700000000000001E-2</v>
      </c>
    </row>
    <row r="137" spans="1:9" x14ac:dyDescent="0.2">
      <c r="A137" s="11" t="s">
        <v>72</v>
      </c>
      <c r="B137" s="11" t="s">
        <v>64</v>
      </c>
      <c r="C137" s="12">
        <v>7.4</v>
      </c>
      <c r="D137" s="13">
        <v>52.362299999999998</v>
      </c>
      <c r="E137" s="13">
        <v>0.52680000000000005</v>
      </c>
      <c r="F137" s="13">
        <v>0.1188</v>
      </c>
      <c r="G137" s="13">
        <v>2.5700000000000001E-2</v>
      </c>
      <c r="H137" s="13">
        <v>-2.2000000000000001E-3</v>
      </c>
      <c r="I137" s="13">
        <v>2.1999999999999999E-2</v>
      </c>
    </row>
    <row r="138" spans="1:9" x14ac:dyDescent="0.2">
      <c r="A138" s="14" t="s">
        <v>72</v>
      </c>
      <c r="B138" s="14" t="s">
        <v>64</v>
      </c>
      <c r="C138" s="15">
        <v>7.4</v>
      </c>
      <c r="D138" s="16">
        <v>52.485599999999998</v>
      </c>
      <c r="E138" s="16">
        <v>0.52410000000000001</v>
      </c>
      <c r="F138" s="16">
        <v>0.1207</v>
      </c>
      <c r="G138" s="16">
        <v>2.58E-2</v>
      </c>
      <c r="H138" s="16">
        <v>-2.2000000000000001E-3</v>
      </c>
      <c r="I138" s="16">
        <v>2.1999999999999999E-2</v>
      </c>
    </row>
    <row r="139" spans="1:9" x14ac:dyDescent="0.2">
      <c r="A139" s="11" t="s">
        <v>72</v>
      </c>
      <c r="B139" s="11" t="s">
        <v>64</v>
      </c>
      <c r="C139" s="12">
        <v>7.6</v>
      </c>
      <c r="D139" s="13">
        <v>52.04</v>
      </c>
      <c r="E139" s="13">
        <v>0.50060000000000004</v>
      </c>
      <c r="F139" s="13">
        <v>0.1226</v>
      </c>
      <c r="G139" s="13">
        <v>2.4199999999999999E-2</v>
      </c>
      <c r="H139" s="13">
        <v>-2E-3</v>
      </c>
      <c r="I139" s="13">
        <v>2.1299999999999999E-2</v>
      </c>
    </row>
    <row r="140" spans="1:9" x14ac:dyDescent="0.2">
      <c r="A140" s="14" t="s">
        <v>72</v>
      </c>
      <c r="B140" s="14" t="s">
        <v>64</v>
      </c>
      <c r="C140" s="15">
        <v>7.6</v>
      </c>
      <c r="D140" s="16">
        <v>52.8675</v>
      </c>
      <c r="E140" s="16">
        <v>0.50360000000000005</v>
      </c>
      <c r="F140" s="16">
        <v>0.1207</v>
      </c>
      <c r="G140" s="16">
        <v>2.4199999999999999E-2</v>
      </c>
      <c r="H140" s="16">
        <v>-2E-3</v>
      </c>
      <c r="I140" s="16">
        <v>2.1299999999999999E-2</v>
      </c>
    </row>
    <row r="141" spans="1:9" x14ac:dyDescent="0.2">
      <c r="A141" s="11" t="s">
        <v>72</v>
      </c>
      <c r="B141" s="11" t="s">
        <v>64</v>
      </c>
      <c r="C141" s="12">
        <v>7.8</v>
      </c>
      <c r="D141" s="13">
        <v>51.293100000000003</v>
      </c>
      <c r="E141" s="13">
        <v>0.47799999999999998</v>
      </c>
      <c r="F141" s="13">
        <v>0.1234</v>
      </c>
      <c r="G141" s="13">
        <v>2.46E-2</v>
      </c>
      <c r="H141" s="13">
        <v>-2E-3</v>
      </c>
      <c r="I141" s="13">
        <v>2.06E-2</v>
      </c>
    </row>
    <row r="142" spans="1:9" x14ac:dyDescent="0.2">
      <c r="A142" s="14" t="s">
        <v>72</v>
      </c>
      <c r="B142" s="14" t="s">
        <v>64</v>
      </c>
      <c r="C142" s="15">
        <v>7.8</v>
      </c>
      <c r="D142" s="16">
        <v>52.107399999999998</v>
      </c>
      <c r="E142" s="16">
        <v>0.48130000000000001</v>
      </c>
      <c r="F142" s="16">
        <v>0.1216</v>
      </c>
      <c r="G142" s="16">
        <v>2.4500000000000001E-2</v>
      </c>
      <c r="H142" s="16">
        <v>-2E-3</v>
      </c>
      <c r="I142" s="16">
        <v>2.06E-2</v>
      </c>
    </row>
    <row r="143" spans="1:9" x14ac:dyDescent="0.2">
      <c r="A143" s="11" t="s">
        <v>72</v>
      </c>
      <c r="B143" s="11" t="s">
        <v>64</v>
      </c>
      <c r="C143" s="12">
        <v>8</v>
      </c>
      <c r="D143" s="13">
        <v>50.569099999999999</v>
      </c>
      <c r="E143" s="13">
        <v>0.45469999999999999</v>
      </c>
      <c r="F143" s="13">
        <v>0.1242</v>
      </c>
      <c r="G143" s="13">
        <v>2.5000000000000001E-2</v>
      </c>
      <c r="H143" s="13">
        <v>-2E-3</v>
      </c>
      <c r="I143" s="13">
        <v>1.9800000000000002E-2</v>
      </c>
    </row>
    <row r="144" spans="1:9" x14ac:dyDescent="0.2">
      <c r="A144" s="14" t="s">
        <v>72</v>
      </c>
      <c r="B144" s="14" t="s">
        <v>64</v>
      </c>
      <c r="C144" s="15">
        <v>8</v>
      </c>
      <c r="D144" s="16">
        <v>51.169899999999998</v>
      </c>
      <c r="E144" s="16">
        <v>0.45760000000000001</v>
      </c>
      <c r="F144" s="16">
        <v>0.12280000000000001</v>
      </c>
      <c r="G144" s="16">
        <v>2.5000000000000001E-2</v>
      </c>
      <c r="H144" s="16">
        <v>-2E-3</v>
      </c>
      <c r="I144" s="16">
        <v>1.9900000000000001E-2</v>
      </c>
    </row>
    <row r="146" spans="1:12" x14ac:dyDescent="0.2">
      <c r="A146" s="28" t="s">
        <v>73</v>
      </c>
      <c r="B146" s="29"/>
      <c r="C146" s="29"/>
      <c r="D146" s="29"/>
      <c r="E146" s="29"/>
      <c r="F146" s="29"/>
      <c r="G146" s="29"/>
      <c r="H146" s="29"/>
    </row>
    <row r="147" spans="1:12" x14ac:dyDescent="0.2">
      <c r="A147" s="10" t="s">
        <v>54</v>
      </c>
      <c r="B147" s="10" t="s">
        <v>55</v>
      </c>
      <c r="C147" s="10" t="s">
        <v>56</v>
      </c>
      <c r="D147" s="10" t="s">
        <v>57</v>
      </c>
      <c r="E147" s="10" t="s">
        <v>58</v>
      </c>
      <c r="F147" s="10" t="s">
        <v>59</v>
      </c>
      <c r="G147" s="10" t="s">
        <v>60</v>
      </c>
      <c r="H147" s="10" t="s">
        <v>61</v>
      </c>
      <c r="I147" s="10" t="s">
        <v>62</v>
      </c>
    </row>
    <row r="148" spans="1:12" x14ac:dyDescent="0.2">
      <c r="A148" s="11" t="s">
        <v>74</v>
      </c>
      <c r="B148" s="11" t="s">
        <v>64</v>
      </c>
      <c r="C148" s="12">
        <v>5.6</v>
      </c>
      <c r="D148" s="13">
        <v>67.706900000000005</v>
      </c>
      <c r="E148" s="13">
        <v>0.71220000000000006</v>
      </c>
      <c r="F148" s="13">
        <v>7.4200000000000002E-2</v>
      </c>
      <c r="G148" s="13">
        <v>2.3300000000000001E-2</v>
      </c>
      <c r="H148" s="13">
        <v>-2E-3</v>
      </c>
      <c r="I148" s="13">
        <v>2.75E-2</v>
      </c>
    </row>
    <row r="149" spans="1:12" x14ac:dyDescent="0.2">
      <c r="A149" s="14" t="s">
        <v>74</v>
      </c>
      <c r="B149" s="14" t="s">
        <v>64</v>
      </c>
      <c r="C149" s="15">
        <v>6</v>
      </c>
      <c r="D149" s="16">
        <v>64.227199999999996</v>
      </c>
      <c r="E149" s="16">
        <v>0.6744</v>
      </c>
      <c r="F149" s="16">
        <v>8.2600000000000007E-2</v>
      </c>
      <c r="G149" s="16">
        <v>2.4400000000000002E-2</v>
      </c>
      <c r="H149" s="16">
        <v>-2E-3</v>
      </c>
      <c r="I149" s="16">
        <v>2.75E-2</v>
      </c>
    </row>
    <row r="150" spans="1:12" x14ac:dyDescent="0.2">
      <c r="A150" s="11" t="s">
        <v>74</v>
      </c>
      <c r="B150" s="11" t="s">
        <v>64</v>
      </c>
      <c r="C150" s="12">
        <v>6.4</v>
      </c>
      <c r="D150" s="13">
        <v>61.632300000000001</v>
      </c>
      <c r="E150" s="13">
        <v>0.63480000000000003</v>
      </c>
      <c r="F150" s="13">
        <v>9.0399999999999994E-2</v>
      </c>
      <c r="G150" s="13">
        <v>2.5399999999999999E-2</v>
      </c>
      <c r="H150" s="13">
        <v>-2E-3</v>
      </c>
      <c r="I150" s="13">
        <v>2.7300000000000001E-2</v>
      </c>
    </row>
    <row r="151" spans="1:12" x14ac:dyDescent="0.2">
      <c r="A151" s="14" t="s">
        <v>74</v>
      </c>
      <c r="B151" s="14" t="s">
        <v>64</v>
      </c>
      <c r="C151" s="15">
        <v>6.8</v>
      </c>
      <c r="D151" s="16">
        <v>58.943300000000001</v>
      </c>
      <c r="E151" s="16">
        <v>0.59379999999999999</v>
      </c>
      <c r="F151" s="16">
        <v>9.7000000000000003E-2</v>
      </c>
      <c r="G151" s="16">
        <v>2.64E-2</v>
      </c>
      <c r="H151" s="16">
        <v>-2E-3</v>
      </c>
      <c r="I151" s="16">
        <v>2.6599999999999999E-2</v>
      </c>
      <c r="K151" s="12"/>
      <c r="L151" s="13"/>
    </row>
    <row r="152" spans="1:12" x14ac:dyDescent="0.2">
      <c r="A152" s="11" t="s">
        <v>74</v>
      </c>
      <c r="B152" s="11" t="s">
        <v>64</v>
      </c>
      <c r="C152" s="12">
        <v>7.2</v>
      </c>
      <c r="D152" s="13">
        <v>57.168300000000002</v>
      </c>
      <c r="E152" s="13">
        <v>0.55210000000000004</v>
      </c>
      <c r="F152" s="13">
        <v>0.1023</v>
      </c>
      <c r="G152" s="13">
        <v>2.7400000000000001E-2</v>
      </c>
      <c r="H152" s="13">
        <v>-1.9E-3</v>
      </c>
      <c r="I152" s="13">
        <v>2.5700000000000001E-2</v>
      </c>
      <c r="K152" s="15"/>
      <c r="L152" s="16"/>
    </row>
    <row r="153" spans="1:12" x14ac:dyDescent="0.2">
      <c r="A153" s="14" t="s">
        <v>74</v>
      </c>
      <c r="B153" s="14" t="s">
        <v>64</v>
      </c>
      <c r="C153" s="15">
        <v>7.6</v>
      </c>
      <c r="D153" s="16">
        <v>55.650599999999997</v>
      </c>
      <c r="E153" s="16">
        <v>0.51090000000000002</v>
      </c>
      <c r="F153" s="16">
        <v>0.1062</v>
      </c>
      <c r="G153" s="16">
        <v>2.6200000000000001E-2</v>
      </c>
      <c r="H153" s="16">
        <v>-1.9E-3</v>
      </c>
      <c r="I153" s="16">
        <v>2.4500000000000001E-2</v>
      </c>
      <c r="K153" s="12"/>
      <c r="L153" s="13"/>
    </row>
    <row r="154" spans="1:12" x14ac:dyDescent="0.2">
      <c r="A154" s="11" t="s">
        <v>74</v>
      </c>
      <c r="B154" s="11" t="s">
        <v>64</v>
      </c>
      <c r="C154" s="12">
        <v>8</v>
      </c>
      <c r="D154" s="13">
        <v>54.044600000000003</v>
      </c>
      <c r="E154" s="13">
        <v>0.47049999999999997</v>
      </c>
      <c r="F154" s="13">
        <v>0.1085</v>
      </c>
      <c r="G154" s="13">
        <v>2.7099999999999999E-2</v>
      </c>
      <c r="H154" s="13">
        <v>-1.9E-3</v>
      </c>
      <c r="I154" s="13">
        <v>2.3199999999999998E-2</v>
      </c>
      <c r="K154" s="15"/>
      <c r="L154" s="16"/>
    </row>
    <row r="155" spans="1:12" x14ac:dyDescent="0.2">
      <c r="K155" s="12"/>
      <c r="L155" s="13"/>
    </row>
    <row r="156" spans="1:12" x14ac:dyDescent="0.2">
      <c r="A156" s="28" t="s">
        <v>75</v>
      </c>
      <c r="B156" s="29"/>
      <c r="C156" s="29"/>
      <c r="D156" s="29"/>
      <c r="E156" s="29"/>
      <c r="F156" s="29"/>
      <c r="G156" s="29"/>
      <c r="H156" s="29"/>
      <c r="K156" s="15"/>
      <c r="L156" s="16"/>
    </row>
    <row r="157" spans="1:12" x14ac:dyDescent="0.2">
      <c r="A157" s="10" t="s">
        <v>54</v>
      </c>
      <c r="B157" s="10" t="s">
        <v>55</v>
      </c>
      <c r="C157" s="10" t="s">
        <v>56</v>
      </c>
      <c r="D157" s="10" t="s">
        <v>57</v>
      </c>
      <c r="E157" s="10" t="s">
        <v>58</v>
      </c>
      <c r="F157" s="10" t="s">
        <v>59</v>
      </c>
      <c r="G157" s="10" t="s">
        <v>60</v>
      </c>
      <c r="H157" s="10" t="s">
        <v>61</v>
      </c>
      <c r="I157" s="10" t="s">
        <v>62</v>
      </c>
      <c r="K157" s="12"/>
      <c r="L157" s="13"/>
    </row>
    <row r="158" spans="1:12" x14ac:dyDescent="0.2">
      <c r="A158" s="11" t="s">
        <v>76</v>
      </c>
      <c r="B158" s="11" t="s">
        <v>64</v>
      </c>
      <c r="C158" s="12">
        <v>5.6</v>
      </c>
      <c r="D158" s="13">
        <v>68.872900000000001</v>
      </c>
      <c r="E158" s="13">
        <v>0.72599999999999998</v>
      </c>
      <c r="F158" s="13">
        <v>5.6399999999999999E-2</v>
      </c>
      <c r="G158" s="13">
        <v>2.8500000000000001E-2</v>
      </c>
      <c r="H158" s="13">
        <v>-1.4E-3</v>
      </c>
      <c r="I158" s="13">
        <v>3.9199999999999999E-2</v>
      </c>
    </row>
    <row r="159" spans="1:12" x14ac:dyDescent="0.2">
      <c r="A159" s="14" t="s">
        <v>76</v>
      </c>
      <c r="B159" s="14" t="s">
        <v>64</v>
      </c>
      <c r="C159" s="15">
        <v>6</v>
      </c>
      <c r="D159" s="16">
        <v>65.578999999999994</v>
      </c>
      <c r="E159" s="16">
        <v>0.69520000000000004</v>
      </c>
      <c r="F159" s="16">
        <v>6.2199999999999998E-2</v>
      </c>
      <c r="G159" s="16">
        <v>0.03</v>
      </c>
      <c r="H159" s="16">
        <v>-1.4E-3</v>
      </c>
      <c r="I159" s="16">
        <v>4.0099999999999997E-2</v>
      </c>
    </row>
    <row r="160" spans="1:12" x14ac:dyDescent="0.2">
      <c r="A160" s="11" t="s">
        <v>76</v>
      </c>
      <c r="B160" s="11" t="s">
        <v>64</v>
      </c>
      <c r="C160" s="12">
        <v>6.4</v>
      </c>
      <c r="D160" s="13">
        <v>62.453400000000002</v>
      </c>
      <c r="E160" s="13">
        <v>0.6633</v>
      </c>
      <c r="F160" s="13">
        <v>6.7799999999999999E-2</v>
      </c>
      <c r="G160" s="13">
        <v>3.1399999999999997E-2</v>
      </c>
      <c r="H160" s="13">
        <v>-1.4E-3</v>
      </c>
      <c r="I160" s="13">
        <v>4.0500000000000001E-2</v>
      </c>
    </row>
    <row r="161" spans="1:9" x14ac:dyDescent="0.2">
      <c r="A161" s="14" t="s">
        <v>76</v>
      </c>
      <c r="B161" s="14" t="s">
        <v>64</v>
      </c>
      <c r="C161" s="15">
        <v>6.8</v>
      </c>
      <c r="D161" s="16">
        <v>60.033099999999997</v>
      </c>
      <c r="E161" s="16">
        <v>0.63049999999999995</v>
      </c>
      <c r="F161" s="16">
        <v>7.2900000000000006E-2</v>
      </c>
      <c r="G161" s="16">
        <v>3.2800000000000003E-2</v>
      </c>
      <c r="H161" s="16">
        <v>-1.4E-3</v>
      </c>
      <c r="I161" s="16">
        <v>4.0399999999999998E-2</v>
      </c>
    </row>
    <row r="162" spans="1:9" x14ac:dyDescent="0.2">
      <c r="A162" s="11" t="s">
        <v>76</v>
      </c>
      <c r="B162" s="11" t="s">
        <v>64</v>
      </c>
      <c r="C162" s="12">
        <v>7.2</v>
      </c>
      <c r="D162" s="13">
        <v>58.523200000000003</v>
      </c>
      <c r="E162" s="13">
        <v>0.59870000000000001</v>
      </c>
      <c r="F162" s="13">
        <v>7.6999999999999999E-2</v>
      </c>
      <c r="G162" s="13">
        <v>3.4099999999999998E-2</v>
      </c>
      <c r="H162" s="13">
        <v>-1.4E-3</v>
      </c>
      <c r="I162" s="13">
        <v>0.04</v>
      </c>
    </row>
    <row r="163" spans="1:9" x14ac:dyDescent="0.2">
      <c r="A163" s="14" t="s">
        <v>76</v>
      </c>
      <c r="B163" s="14" t="s">
        <v>64</v>
      </c>
      <c r="C163" s="15">
        <v>7.6</v>
      </c>
      <c r="D163" s="16">
        <v>56.770099999999999</v>
      </c>
      <c r="E163" s="16">
        <v>0.56610000000000005</v>
      </c>
      <c r="F163" s="16">
        <v>8.09E-2</v>
      </c>
      <c r="G163" s="16">
        <v>3.27E-2</v>
      </c>
      <c r="H163" s="16">
        <v>-1.2999999999999999E-3</v>
      </c>
      <c r="I163" s="16">
        <v>3.9300000000000002E-2</v>
      </c>
    </row>
    <row r="164" spans="1:9" x14ac:dyDescent="0.2">
      <c r="A164" s="11" t="s">
        <v>76</v>
      </c>
      <c r="B164" s="11" t="s">
        <v>64</v>
      </c>
      <c r="C164" s="12">
        <v>8</v>
      </c>
      <c r="D164" s="13">
        <v>55.0685</v>
      </c>
      <c r="E164" s="13">
        <v>0.53449999999999998</v>
      </c>
      <c r="F164" s="13">
        <v>8.3799999999999999E-2</v>
      </c>
      <c r="G164" s="13">
        <v>3.3500000000000002E-2</v>
      </c>
      <c r="H164" s="13">
        <v>-1.2999999999999999E-3</v>
      </c>
      <c r="I164" s="13">
        <v>3.8399999999999997E-2</v>
      </c>
    </row>
  </sheetData>
  <mergeCells count="8">
    <mergeCell ref="A146:H146"/>
    <mergeCell ref="A156:H156"/>
    <mergeCell ref="A1:I1"/>
    <mergeCell ref="A2:H2"/>
    <mergeCell ref="A31:H31"/>
    <mergeCell ref="A60:H60"/>
    <mergeCell ref="A89:H89"/>
    <mergeCell ref="A117:H1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8158-8511-904F-9D6C-A943F655760B}">
  <sheetPr codeName="Foglio6"/>
  <dimension ref="A1:I153"/>
  <sheetViews>
    <sheetView topLeftCell="A135" workbookViewId="0">
      <selection activeCell="F157" sqref="F157"/>
    </sheetView>
  </sheetViews>
  <sheetFormatPr baseColWidth="10" defaultRowHeight="15" x14ac:dyDescent="0.2"/>
  <cols>
    <col min="1" max="1" width="14" customWidth="1"/>
    <col min="2" max="2" width="7" customWidth="1"/>
    <col min="3" max="3" width="9" customWidth="1"/>
    <col min="4" max="4" width="13" customWidth="1"/>
    <col min="5" max="6" width="12" customWidth="1"/>
    <col min="7" max="9" width="11" customWidth="1"/>
  </cols>
  <sheetData>
    <row r="1" spans="1:9" ht="17" x14ac:dyDescent="0.2">
      <c r="A1" s="32" t="s">
        <v>77</v>
      </c>
      <c r="B1" s="29"/>
      <c r="C1" s="29"/>
      <c r="D1" s="29"/>
      <c r="E1" s="29"/>
      <c r="F1" s="29"/>
      <c r="G1" s="29"/>
      <c r="H1" s="29"/>
      <c r="I1" s="29"/>
    </row>
    <row r="2" spans="1:9" x14ac:dyDescent="0.2">
      <c r="A2" s="31" t="s">
        <v>78</v>
      </c>
      <c r="B2" s="29"/>
      <c r="C2" s="29"/>
      <c r="D2" s="29"/>
      <c r="E2" s="29"/>
      <c r="F2" s="29"/>
      <c r="G2" s="29"/>
      <c r="H2" s="29"/>
    </row>
    <row r="3" spans="1:9" x14ac:dyDescent="0.2">
      <c r="A3" s="10" t="s">
        <v>54</v>
      </c>
      <c r="B3" s="10" t="s">
        <v>55</v>
      </c>
      <c r="C3" s="10" t="s">
        <v>56</v>
      </c>
      <c r="D3" s="10" t="s">
        <v>57</v>
      </c>
      <c r="E3" s="10" t="s">
        <v>58</v>
      </c>
      <c r="F3" s="10" t="s">
        <v>59</v>
      </c>
      <c r="G3" s="10" t="s">
        <v>60</v>
      </c>
      <c r="H3" s="10" t="s">
        <v>61</v>
      </c>
      <c r="I3" s="10" t="s">
        <v>62</v>
      </c>
    </row>
    <row r="4" spans="1:9" x14ac:dyDescent="0.2">
      <c r="A4" s="11" t="s">
        <v>63</v>
      </c>
      <c r="B4" s="11" t="s">
        <v>79</v>
      </c>
      <c r="C4" s="12">
        <v>5.6</v>
      </c>
      <c r="D4" s="13">
        <v>56.1233</v>
      </c>
      <c r="E4" s="13">
        <v>-0.13980000000000001</v>
      </c>
      <c r="F4" s="13">
        <v>0.20930000000000001</v>
      </c>
      <c r="G4" s="13">
        <v>4.1999999999999997E-3</v>
      </c>
      <c r="H4" s="13">
        <v>-3.8999999999999998E-3</v>
      </c>
      <c r="I4" s="13">
        <v>-8.0000000000000004E-4</v>
      </c>
    </row>
    <row r="5" spans="1:9" x14ac:dyDescent="0.2">
      <c r="A5" s="14" t="s">
        <v>63</v>
      </c>
      <c r="B5" s="14" t="s">
        <v>79</v>
      </c>
      <c r="C5" s="15">
        <v>5.6</v>
      </c>
      <c r="D5" s="16">
        <v>56.359299999999998</v>
      </c>
      <c r="E5" s="16">
        <v>-0.1406</v>
      </c>
      <c r="F5" s="16">
        <v>0.20930000000000001</v>
      </c>
      <c r="G5" s="16">
        <v>4.1999999999999997E-3</v>
      </c>
      <c r="H5" s="16">
        <v>-3.8999999999999998E-3</v>
      </c>
      <c r="I5" s="16">
        <v>-8.0000000000000004E-4</v>
      </c>
    </row>
    <row r="6" spans="1:9" x14ac:dyDescent="0.2">
      <c r="A6" s="11" t="s">
        <v>63</v>
      </c>
      <c r="B6" s="11" t="s">
        <v>79</v>
      </c>
      <c r="C6" s="12">
        <v>5.8</v>
      </c>
      <c r="D6" s="13">
        <v>52.1965</v>
      </c>
      <c r="E6" s="13">
        <v>-0.18190000000000001</v>
      </c>
      <c r="F6" s="13">
        <v>0.26390000000000002</v>
      </c>
      <c r="G6" s="13">
        <v>5.4999999999999997E-3</v>
      </c>
      <c r="H6" s="13">
        <v>-4.7999999999999996E-3</v>
      </c>
      <c r="I6" s="13">
        <v>-1.1000000000000001E-3</v>
      </c>
    </row>
    <row r="7" spans="1:9" x14ac:dyDescent="0.2">
      <c r="A7" s="14" t="s">
        <v>63</v>
      </c>
      <c r="B7" s="14" t="s">
        <v>79</v>
      </c>
      <c r="C7" s="15">
        <v>5.8</v>
      </c>
      <c r="D7" s="16">
        <v>53.742100000000001</v>
      </c>
      <c r="E7" s="16">
        <v>-0.18410000000000001</v>
      </c>
      <c r="F7" s="16">
        <v>0.26290000000000002</v>
      </c>
      <c r="G7" s="16">
        <v>5.4999999999999997E-3</v>
      </c>
      <c r="H7" s="16">
        <v>-4.7999999999999996E-3</v>
      </c>
      <c r="I7" s="16">
        <v>-1.1000000000000001E-3</v>
      </c>
    </row>
    <row r="8" spans="1:9" x14ac:dyDescent="0.2">
      <c r="A8" s="11" t="s">
        <v>63</v>
      </c>
      <c r="B8" s="11" t="s">
        <v>79</v>
      </c>
      <c r="C8" s="12">
        <v>6</v>
      </c>
      <c r="D8" s="13">
        <v>50.409700000000001</v>
      </c>
      <c r="E8" s="13">
        <v>-0.23769999999999999</v>
      </c>
      <c r="F8" s="13">
        <v>0.32550000000000001</v>
      </c>
      <c r="G8" s="13">
        <v>5.5999999999999999E-3</v>
      </c>
      <c r="H8" s="13">
        <v>-4.5999999999999999E-3</v>
      </c>
      <c r="I8" s="13">
        <v>-1.4E-3</v>
      </c>
    </row>
    <row r="9" spans="1:9" x14ac:dyDescent="0.2">
      <c r="A9" s="14" t="s">
        <v>63</v>
      </c>
      <c r="B9" s="14" t="s">
        <v>79</v>
      </c>
      <c r="C9" s="15">
        <v>6</v>
      </c>
      <c r="D9" s="16">
        <v>56.677399999999999</v>
      </c>
      <c r="E9" s="16">
        <v>-0.23860000000000001</v>
      </c>
      <c r="F9" s="16">
        <v>0.32479999999999998</v>
      </c>
      <c r="G9" s="16">
        <v>5.5999999999999999E-3</v>
      </c>
      <c r="H9" s="16">
        <v>-4.5999999999999999E-3</v>
      </c>
      <c r="I9" s="16">
        <v>-1.4E-3</v>
      </c>
    </row>
    <row r="10" spans="1:9" x14ac:dyDescent="0.2">
      <c r="A10" s="11" t="s">
        <v>63</v>
      </c>
      <c r="B10" s="11" t="s">
        <v>79</v>
      </c>
      <c r="C10" s="12">
        <v>6.2</v>
      </c>
      <c r="D10" s="13">
        <v>477.75299999999999</v>
      </c>
      <c r="E10" s="13">
        <v>-0.30640000000000001</v>
      </c>
      <c r="F10" s="13">
        <v>0.38850000000000001</v>
      </c>
      <c r="G10" s="13">
        <v>6.7000000000000002E-3</v>
      </c>
      <c r="H10" s="13">
        <v>-5.1999999999999998E-3</v>
      </c>
      <c r="I10" s="13">
        <v>-1.8E-3</v>
      </c>
    </row>
    <row r="11" spans="1:9" x14ac:dyDescent="0.2">
      <c r="A11" s="14" t="s">
        <v>63</v>
      </c>
      <c r="B11" s="14" t="s">
        <v>79</v>
      </c>
      <c r="C11" s="15">
        <v>6.2</v>
      </c>
      <c r="D11" s="16">
        <v>471.78300000000002</v>
      </c>
      <c r="E11" s="16">
        <v>-0.30470000000000003</v>
      </c>
      <c r="F11" s="16">
        <v>0.39250000000000002</v>
      </c>
      <c r="G11" s="16">
        <v>6.7000000000000002E-3</v>
      </c>
      <c r="H11" s="16">
        <v>-6.1000000000000004E-3</v>
      </c>
      <c r="I11" s="16">
        <v>-1.8E-3</v>
      </c>
    </row>
    <row r="12" spans="1:9" x14ac:dyDescent="0.2">
      <c r="A12" s="11" t="s">
        <v>63</v>
      </c>
      <c r="B12" s="11" t="s">
        <v>79</v>
      </c>
      <c r="C12" s="12">
        <v>6.4</v>
      </c>
      <c r="D12" s="13">
        <v>45.049100000000003</v>
      </c>
      <c r="E12" s="13">
        <v>-0.38750000000000001</v>
      </c>
      <c r="F12" s="13">
        <v>0.49070000000000003</v>
      </c>
      <c r="G12" s="13">
        <v>7.4000000000000003E-3</v>
      </c>
      <c r="H12" s="13">
        <v>-5.4000000000000003E-3</v>
      </c>
      <c r="I12" s="13">
        <v>-2.3E-3</v>
      </c>
    </row>
    <row r="13" spans="1:9" x14ac:dyDescent="0.2">
      <c r="A13" s="14" t="s">
        <v>63</v>
      </c>
      <c r="B13" s="14" t="s">
        <v>79</v>
      </c>
      <c r="C13" s="15">
        <v>6.4</v>
      </c>
      <c r="D13" s="16">
        <v>44.373199999999997</v>
      </c>
      <c r="E13" s="16">
        <v>-0.3866</v>
      </c>
      <c r="F13" s="16">
        <v>0.45729999999999998</v>
      </c>
      <c r="G13" s="16">
        <v>7.4000000000000003E-3</v>
      </c>
      <c r="H13" s="16">
        <v>-5.3E-3</v>
      </c>
      <c r="I13" s="16">
        <v>-2.3E-3</v>
      </c>
    </row>
    <row r="14" spans="1:9" x14ac:dyDescent="0.2">
      <c r="A14" s="11" t="s">
        <v>63</v>
      </c>
      <c r="B14" s="11" t="s">
        <v>79</v>
      </c>
      <c r="C14" s="12">
        <v>6.6</v>
      </c>
      <c r="D14" s="13">
        <v>41.656100000000002</v>
      </c>
      <c r="E14" s="13">
        <v>-0.48299999999999998</v>
      </c>
      <c r="F14" s="13">
        <v>0.50929999999999997</v>
      </c>
      <c r="G14" s="13">
        <v>7.4999999999999997E-3</v>
      </c>
      <c r="H14" s="13">
        <v>-5.0000000000000001E-3</v>
      </c>
      <c r="I14" s="13">
        <v>-2.8999999999999998E-3</v>
      </c>
    </row>
    <row r="15" spans="1:9" x14ac:dyDescent="0.2">
      <c r="A15" s="14" t="s">
        <v>63</v>
      </c>
      <c r="B15" s="14" t="s">
        <v>79</v>
      </c>
      <c r="C15" s="15">
        <v>6.6</v>
      </c>
      <c r="D15" s="16">
        <v>41.324399999999997</v>
      </c>
      <c r="E15" s="16">
        <v>-0.48330000000000001</v>
      </c>
      <c r="F15" s="16">
        <v>0.51339999999999997</v>
      </c>
      <c r="G15" s="16">
        <v>7.4999999999999997E-3</v>
      </c>
      <c r="H15" s="16">
        <v>-5.0000000000000001E-3</v>
      </c>
      <c r="I15" s="16">
        <v>-2.8999999999999998E-3</v>
      </c>
    </row>
    <row r="16" spans="1:9" x14ac:dyDescent="0.2">
      <c r="A16" s="11" t="s">
        <v>63</v>
      </c>
      <c r="B16" s="11" t="s">
        <v>79</v>
      </c>
      <c r="C16" s="12">
        <v>6.8</v>
      </c>
      <c r="D16" s="13">
        <v>321.56099999999998</v>
      </c>
      <c r="E16" s="13">
        <v>-0.53700000000000003</v>
      </c>
      <c r="F16" s="13">
        <v>0.55459999999999998</v>
      </c>
      <c r="G16" s="13">
        <v>7.1000000000000004E-3</v>
      </c>
      <c r="H16" s="13">
        <v>-4.1000000000000003E-3</v>
      </c>
      <c r="I16" s="13">
        <v>-3.5000000000000001E-3</v>
      </c>
    </row>
    <row r="17" spans="1:9" x14ac:dyDescent="0.2">
      <c r="A17" s="14" t="s">
        <v>63</v>
      </c>
      <c r="B17" s="14" t="s">
        <v>79</v>
      </c>
      <c r="C17" s="15">
        <v>6.8</v>
      </c>
      <c r="D17" s="16">
        <v>37.508499999999998</v>
      </c>
      <c r="E17" s="16">
        <v>-0.53979999999999995</v>
      </c>
      <c r="F17" s="16">
        <v>0.55000000000000004</v>
      </c>
      <c r="G17" s="16">
        <v>7.1000000000000004E-3</v>
      </c>
      <c r="H17" s="16">
        <v>-4.1999999999999997E-3</v>
      </c>
      <c r="I17" s="16">
        <v>-3.5999999999999999E-3</v>
      </c>
    </row>
    <row r="18" spans="1:9" x14ac:dyDescent="0.2">
      <c r="A18" s="11" t="s">
        <v>63</v>
      </c>
      <c r="B18" s="11" t="s">
        <v>79</v>
      </c>
      <c r="C18" s="12">
        <v>7</v>
      </c>
      <c r="D18" s="13">
        <v>32.031500000000001</v>
      </c>
      <c r="E18" s="13">
        <v>-0.7399</v>
      </c>
      <c r="F18" s="13">
        <v>0.54620000000000002</v>
      </c>
      <c r="G18" s="13">
        <v>6.1999999999999998E-3</v>
      </c>
      <c r="H18" s="13">
        <v>-3.0000000000000001E-3</v>
      </c>
      <c r="I18" s="13">
        <v>-4.4999999999999997E-3</v>
      </c>
    </row>
    <row r="19" spans="1:9" x14ac:dyDescent="0.2">
      <c r="A19" s="14" t="s">
        <v>63</v>
      </c>
      <c r="B19" s="14" t="s">
        <v>79</v>
      </c>
      <c r="C19" s="15">
        <v>7</v>
      </c>
      <c r="D19" s="16">
        <v>31.2227</v>
      </c>
      <c r="E19" s="16">
        <v>-0.73570000000000002</v>
      </c>
      <c r="F19" s="16">
        <v>0.55379999999999996</v>
      </c>
      <c r="G19" s="16">
        <v>6.1999999999999998E-3</v>
      </c>
      <c r="H19" s="16">
        <v>-2.8999999999999998E-3</v>
      </c>
      <c r="I19" s="16">
        <v>-4.4999999999999997E-3</v>
      </c>
    </row>
    <row r="20" spans="1:9" x14ac:dyDescent="0.2">
      <c r="A20" s="11" t="s">
        <v>63</v>
      </c>
      <c r="B20" s="11" t="s">
        <v>79</v>
      </c>
      <c r="C20" s="12">
        <v>7.2</v>
      </c>
      <c r="D20" s="13">
        <v>16.584</v>
      </c>
      <c r="E20" s="13">
        <v>-0.93979999999999997</v>
      </c>
      <c r="F20" s="13">
        <v>0.3211</v>
      </c>
      <c r="G20" s="13">
        <v>2.5000000000000001E-3</v>
      </c>
      <c r="H20" s="13">
        <v>-4.0000000000000002E-4</v>
      </c>
      <c r="I20" s="13">
        <v>-5.7000000000000002E-3</v>
      </c>
    </row>
    <row r="21" spans="1:9" x14ac:dyDescent="0.2">
      <c r="A21" s="14" t="s">
        <v>63</v>
      </c>
      <c r="B21" s="14" t="s">
        <v>79</v>
      </c>
      <c r="C21" s="15">
        <v>7.2</v>
      </c>
      <c r="D21" s="16">
        <v>20.601500000000001</v>
      </c>
      <c r="E21" s="16">
        <v>-0.92959999999999998</v>
      </c>
      <c r="F21" s="16">
        <v>0.34539999999999998</v>
      </c>
      <c r="G21" s="16">
        <v>2.5000000000000001E-3</v>
      </c>
      <c r="H21" s="16">
        <v>-5.0000000000000001E-4</v>
      </c>
      <c r="I21" s="16">
        <v>-5.5999999999999999E-3</v>
      </c>
    </row>
    <row r="23" spans="1:9" x14ac:dyDescent="0.2">
      <c r="A23" s="31" t="s">
        <v>80</v>
      </c>
      <c r="B23" s="29"/>
      <c r="C23" s="29"/>
      <c r="D23" s="29"/>
      <c r="E23" s="29"/>
      <c r="F23" s="29"/>
      <c r="G23" s="29"/>
      <c r="H23" s="29"/>
    </row>
    <row r="24" spans="1:9" x14ac:dyDescent="0.2">
      <c r="A24" s="10" t="s">
        <v>54</v>
      </c>
      <c r="B24" s="10" t="s">
        <v>55</v>
      </c>
      <c r="C24" s="10" t="s">
        <v>56</v>
      </c>
      <c r="D24" s="10" t="s">
        <v>57</v>
      </c>
      <c r="E24" s="10" t="s">
        <v>58</v>
      </c>
      <c r="F24" s="10" t="s">
        <v>59</v>
      </c>
      <c r="G24" s="10" t="s">
        <v>60</v>
      </c>
      <c r="H24" s="10" t="s">
        <v>61</v>
      </c>
      <c r="I24" s="10" t="s">
        <v>62</v>
      </c>
    </row>
    <row r="25" spans="1:9" x14ac:dyDescent="0.2">
      <c r="A25" s="11" t="s">
        <v>66</v>
      </c>
      <c r="B25" s="11" t="s">
        <v>79</v>
      </c>
      <c r="C25" s="12">
        <v>5.6</v>
      </c>
      <c r="D25" s="13">
        <v>54.6892</v>
      </c>
      <c r="E25" s="13">
        <v>-0.2049</v>
      </c>
      <c r="F25" s="13">
        <v>0.18729999999999999</v>
      </c>
      <c r="G25" s="13">
        <v>7.9000000000000008E-3</v>
      </c>
      <c r="H25" s="13">
        <v>-3.2000000000000002E-3</v>
      </c>
      <c r="I25" s="13">
        <v>-2.8E-3</v>
      </c>
    </row>
    <row r="26" spans="1:9" x14ac:dyDescent="0.2">
      <c r="A26" s="14" t="s">
        <v>66</v>
      </c>
      <c r="B26" s="14" t="s">
        <v>79</v>
      </c>
      <c r="C26" s="15">
        <v>5.6</v>
      </c>
      <c r="D26" s="16">
        <v>58.261299999999999</v>
      </c>
      <c r="E26" s="16">
        <v>-0.20660000000000001</v>
      </c>
      <c r="F26" s="16">
        <v>0.18640000000000001</v>
      </c>
      <c r="G26" s="16">
        <v>7.9000000000000008E-3</v>
      </c>
      <c r="H26" s="16">
        <v>-3.2000000000000002E-3</v>
      </c>
      <c r="I26" s="16">
        <v>-2.8E-3</v>
      </c>
    </row>
    <row r="27" spans="1:9" x14ac:dyDescent="0.2">
      <c r="A27" s="11" t="s">
        <v>66</v>
      </c>
      <c r="B27" s="11" t="s">
        <v>79</v>
      </c>
      <c r="C27" s="12">
        <v>5.8</v>
      </c>
      <c r="D27" s="13">
        <v>53.254899999999999</v>
      </c>
      <c r="E27" s="13">
        <v>-0.2455</v>
      </c>
      <c r="F27" s="13">
        <v>0.215</v>
      </c>
      <c r="G27" s="13">
        <v>9.4000000000000004E-3</v>
      </c>
      <c r="H27" s="13">
        <v>-3.7000000000000002E-3</v>
      </c>
      <c r="I27" s="13">
        <v>-3.3E-3</v>
      </c>
    </row>
    <row r="28" spans="1:9" x14ac:dyDescent="0.2">
      <c r="A28" s="14" t="s">
        <v>66</v>
      </c>
      <c r="B28" s="14" t="s">
        <v>79</v>
      </c>
      <c r="C28" s="15">
        <v>5.8</v>
      </c>
      <c r="D28" s="16">
        <v>53.254899999999999</v>
      </c>
      <c r="E28" s="16">
        <v>-0.2455</v>
      </c>
      <c r="F28" s="16">
        <v>0.215</v>
      </c>
      <c r="G28" s="16">
        <v>9.4000000000000004E-3</v>
      </c>
      <c r="H28" s="16">
        <v>-3.7000000000000002E-3</v>
      </c>
      <c r="I28" s="16">
        <v>-3.3E-3</v>
      </c>
    </row>
    <row r="29" spans="1:9" x14ac:dyDescent="0.2">
      <c r="A29" s="11" t="s">
        <v>66</v>
      </c>
      <c r="B29" s="11" t="s">
        <v>79</v>
      </c>
      <c r="C29" s="12">
        <v>6</v>
      </c>
      <c r="D29" s="13">
        <v>50.741500000000002</v>
      </c>
      <c r="E29" s="13">
        <v>-0.29120000000000001</v>
      </c>
      <c r="F29" s="13">
        <v>0.24379999999999999</v>
      </c>
      <c r="G29" s="13">
        <v>9.5999999999999992E-3</v>
      </c>
      <c r="H29" s="13">
        <v>-3.5999999999999999E-3</v>
      </c>
      <c r="I29" s="13">
        <v>-4.0000000000000001E-3</v>
      </c>
    </row>
    <row r="30" spans="1:9" x14ac:dyDescent="0.2">
      <c r="A30" s="14" t="s">
        <v>66</v>
      </c>
      <c r="B30" s="14" t="s">
        <v>79</v>
      </c>
      <c r="C30" s="15">
        <v>6</v>
      </c>
      <c r="D30" s="16">
        <v>50.741500000000002</v>
      </c>
      <c r="E30" s="16">
        <v>-0.29120000000000001</v>
      </c>
      <c r="F30" s="16">
        <v>0.24379999999999999</v>
      </c>
      <c r="G30" s="16">
        <v>9.5999999999999992E-3</v>
      </c>
      <c r="H30" s="16">
        <v>-3.5999999999999999E-3</v>
      </c>
      <c r="I30" s="16">
        <v>-4.0000000000000001E-3</v>
      </c>
    </row>
    <row r="31" spans="1:9" x14ac:dyDescent="0.2">
      <c r="A31" s="11" t="s">
        <v>66</v>
      </c>
      <c r="B31" s="11" t="s">
        <v>79</v>
      </c>
      <c r="C31" s="12">
        <v>6.2</v>
      </c>
      <c r="D31" s="13">
        <v>48.8337</v>
      </c>
      <c r="E31" s="13">
        <v>-0.34210000000000002</v>
      </c>
      <c r="F31" s="13">
        <v>0.27410000000000001</v>
      </c>
      <c r="G31" s="13">
        <v>9.7999999999999997E-3</v>
      </c>
      <c r="H31" s="13">
        <v>-3.8E-3</v>
      </c>
      <c r="I31" s="13">
        <v>-4.7000000000000002E-3</v>
      </c>
    </row>
    <row r="32" spans="1:9" x14ac:dyDescent="0.2">
      <c r="A32" s="14" t="s">
        <v>66</v>
      </c>
      <c r="B32" s="14" t="s">
        <v>79</v>
      </c>
      <c r="C32" s="15">
        <v>6.2</v>
      </c>
      <c r="D32" s="16">
        <v>49.321399999999997</v>
      </c>
      <c r="E32" s="16">
        <v>-0.34279999999999999</v>
      </c>
      <c r="F32" s="16">
        <v>0.27160000000000001</v>
      </c>
      <c r="G32" s="16">
        <v>1.06E-2</v>
      </c>
      <c r="H32" s="16">
        <v>-3.8E-3</v>
      </c>
      <c r="I32" s="16">
        <v>-4.7000000000000002E-3</v>
      </c>
    </row>
    <row r="33" spans="1:9" x14ac:dyDescent="0.2">
      <c r="A33" s="11" t="s">
        <v>66</v>
      </c>
      <c r="B33" s="11" t="s">
        <v>79</v>
      </c>
      <c r="C33" s="12">
        <v>6.4</v>
      </c>
      <c r="D33" s="13">
        <v>46.509300000000003</v>
      </c>
      <c r="E33" s="13">
        <v>-0.39979999999999999</v>
      </c>
      <c r="F33" s="13">
        <v>0.29970000000000002</v>
      </c>
      <c r="G33" s="13">
        <v>1.0800000000000001E-2</v>
      </c>
      <c r="H33" s="13">
        <v>-3.7000000000000002E-3</v>
      </c>
      <c r="I33" s="13">
        <v>-5.4999999999999997E-3</v>
      </c>
    </row>
    <row r="34" spans="1:9" x14ac:dyDescent="0.2">
      <c r="A34" s="14" t="s">
        <v>66</v>
      </c>
      <c r="B34" s="14" t="s">
        <v>79</v>
      </c>
      <c r="C34" s="15">
        <v>6.4</v>
      </c>
      <c r="D34" s="16">
        <v>46.509300000000003</v>
      </c>
      <c r="E34" s="16">
        <v>-0.39979999999999999</v>
      </c>
      <c r="F34" s="16">
        <v>0.29970000000000002</v>
      </c>
      <c r="G34" s="16">
        <v>1.0800000000000001E-2</v>
      </c>
      <c r="H34" s="16">
        <v>-3.7000000000000002E-3</v>
      </c>
      <c r="I34" s="16">
        <v>-5.4999999999999997E-3</v>
      </c>
    </row>
    <row r="35" spans="1:9" x14ac:dyDescent="0.2">
      <c r="A35" s="11" t="s">
        <v>66</v>
      </c>
      <c r="B35" s="11" t="s">
        <v>79</v>
      </c>
      <c r="C35" s="12">
        <v>6.6</v>
      </c>
      <c r="D35" s="13">
        <v>44.911000000000001</v>
      </c>
      <c r="E35" s="13">
        <v>-0.46250000000000002</v>
      </c>
      <c r="F35" s="13">
        <v>0.32150000000000001</v>
      </c>
      <c r="G35" s="13">
        <v>1.0999999999999999E-2</v>
      </c>
      <c r="H35" s="13">
        <v>-3.5000000000000001E-3</v>
      </c>
      <c r="I35" s="13">
        <v>-6.3E-3</v>
      </c>
    </row>
    <row r="36" spans="1:9" x14ac:dyDescent="0.2">
      <c r="A36" s="14" t="s">
        <v>66</v>
      </c>
      <c r="B36" s="14" t="s">
        <v>79</v>
      </c>
      <c r="C36" s="15">
        <v>6.6</v>
      </c>
      <c r="D36" s="16">
        <v>44.456899999999997</v>
      </c>
      <c r="E36" s="16">
        <v>-0.46289999999999998</v>
      </c>
      <c r="F36" s="16">
        <v>0.32479999999999998</v>
      </c>
      <c r="G36" s="16">
        <v>1.0999999999999999E-2</v>
      </c>
      <c r="H36" s="16">
        <v>-3.5000000000000001E-3</v>
      </c>
      <c r="I36" s="16">
        <v>-6.3E-3</v>
      </c>
    </row>
    <row r="37" spans="1:9" x14ac:dyDescent="0.2">
      <c r="A37" s="11" t="s">
        <v>66</v>
      </c>
      <c r="B37" s="11" t="s">
        <v>79</v>
      </c>
      <c r="C37" s="12">
        <v>6.8</v>
      </c>
      <c r="D37" s="13">
        <v>41.851399999999998</v>
      </c>
      <c r="E37" s="13">
        <v>-0.53220000000000001</v>
      </c>
      <c r="F37" s="13">
        <v>0.34320000000000001</v>
      </c>
      <c r="G37" s="13">
        <v>1.12E-2</v>
      </c>
      <c r="H37" s="13">
        <v>-3.3999999999999998E-3</v>
      </c>
      <c r="I37" s="13">
        <v>-7.1999999999999998E-3</v>
      </c>
    </row>
    <row r="38" spans="1:9" x14ac:dyDescent="0.2">
      <c r="A38" s="14" t="s">
        <v>66</v>
      </c>
      <c r="B38" s="14" t="s">
        <v>79</v>
      </c>
      <c r="C38" s="15">
        <v>6.8</v>
      </c>
      <c r="D38" s="16">
        <v>42.297199999999997</v>
      </c>
      <c r="E38" s="16">
        <v>-0.53110000000000002</v>
      </c>
      <c r="F38" s="16">
        <v>0.33960000000000001</v>
      </c>
      <c r="G38" s="16">
        <v>1.12E-2</v>
      </c>
      <c r="H38" s="16">
        <v>-3.3999999999999998E-3</v>
      </c>
      <c r="I38" s="16">
        <v>-7.1999999999999998E-3</v>
      </c>
    </row>
    <row r="39" spans="1:9" x14ac:dyDescent="0.2">
      <c r="A39" s="11" t="s">
        <v>66</v>
      </c>
      <c r="B39" s="11" t="s">
        <v>79</v>
      </c>
      <c r="C39" s="12">
        <v>7</v>
      </c>
      <c r="D39" s="13">
        <v>39.686900000000001</v>
      </c>
      <c r="E39" s="13">
        <v>-0.60509999999999997</v>
      </c>
      <c r="F39" s="13">
        <v>0.35949999999999999</v>
      </c>
      <c r="G39" s="13">
        <v>1.06E-2</v>
      </c>
      <c r="H39" s="13">
        <v>-2.8999999999999998E-3</v>
      </c>
      <c r="I39" s="13">
        <v>-8.3999999999999995E-3</v>
      </c>
    </row>
    <row r="40" spans="1:9" x14ac:dyDescent="0.2">
      <c r="A40" s="14" t="s">
        <v>66</v>
      </c>
      <c r="B40" s="14" t="s">
        <v>79</v>
      </c>
      <c r="C40" s="15">
        <v>7</v>
      </c>
      <c r="D40" s="16">
        <v>39.450000000000003</v>
      </c>
      <c r="E40" s="16">
        <v>-0.60809999999999997</v>
      </c>
      <c r="F40" s="16">
        <v>0.3523</v>
      </c>
      <c r="G40" s="16">
        <v>1.06E-2</v>
      </c>
      <c r="H40" s="16">
        <v>-2.8999999999999998E-3</v>
      </c>
      <c r="I40" s="16">
        <v>-9.4999999999999998E-3</v>
      </c>
    </row>
    <row r="41" spans="1:9" x14ac:dyDescent="0.2">
      <c r="A41" s="11" t="s">
        <v>66</v>
      </c>
      <c r="B41" s="11" t="s">
        <v>79</v>
      </c>
      <c r="C41" s="12">
        <v>7.2</v>
      </c>
      <c r="D41" s="13">
        <v>36.795699999999997</v>
      </c>
      <c r="E41" s="13">
        <v>-0.68640000000000001</v>
      </c>
      <c r="F41" s="13">
        <v>0.3503</v>
      </c>
      <c r="G41" s="13">
        <v>9.1999999999999998E-3</v>
      </c>
      <c r="H41" s="13">
        <v>-2.3E-3</v>
      </c>
      <c r="I41" s="13">
        <v>-9.4999999999999998E-3</v>
      </c>
    </row>
    <row r="42" spans="1:9" x14ac:dyDescent="0.2">
      <c r="A42" s="14" t="s">
        <v>66</v>
      </c>
      <c r="B42" s="14" t="s">
        <v>79</v>
      </c>
      <c r="C42" s="15">
        <v>7.2</v>
      </c>
      <c r="D42" s="16">
        <v>37.340899999999998</v>
      </c>
      <c r="E42" s="16">
        <v>-0.68330000000000002</v>
      </c>
      <c r="F42" s="16">
        <v>0.34699999999999998</v>
      </c>
      <c r="G42" s="16">
        <v>9.1999999999999998E-3</v>
      </c>
      <c r="H42" s="16">
        <v>-2.3E-3</v>
      </c>
      <c r="I42" s="16">
        <v>-9.4999999999999998E-3</v>
      </c>
    </row>
    <row r="43" spans="1:9" x14ac:dyDescent="0.2">
      <c r="A43" s="11" t="s">
        <v>66</v>
      </c>
      <c r="B43" s="11" t="s">
        <v>79</v>
      </c>
      <c r="C43" s="12">
        <v>7.4</v>
      </c>
      <c r="D43" s="13">
        <v>32.877400000000002</v>
      </c>
      <c r="E43" s="13">
        <v>-0.7681</v>
      </c>
      <c r="F43" s="13">
        <v>0.3266</v>
      </c>
      <c r="G43" s="13">
        <v>9.4000000000000004E-3</v>
      </c>
      <c r="H43" s="13">
        <v>-2.0999999999999999E-3</v>
      </c>
      <c r="I43" s="13">
        <v>-1.0699999999999999E-2</v>
      </c>
    </row>
    <row r="44" spans="1:9" x14ac:dyDescent="0.2">
      <c r="A44" s="14" t="s">
        <v>66</v>
      </c>
      <c r="B44" s="14" t="s">
        <v>79</v>
      </c>
      <c r="C44" s="15">
        <v>7.4</v>
      </c>
      <c r="D44" s="16">
        <v>33.077500000000001</v>
      </c>
      <c r="E44" s="16">
        <v>-0.77510000000000001</v>
      </c>
      <c r="F44" s="16">
        <v>0.32969999999999999</v>
      </c>
      <c r="G44" s="16">
        <v>9.4000000000000004E-3</v>
      </c>
      <c r="H44" s="16">
        <v>-1.9E-3</v>
      </c>
      <c r="I44" s="16">
        <v>-1.0699999999999999E-2</v>
      </c>
    </row>
    <row r="45" spans="1:9" x14ac:dyDescent="0.2">
      <c r="A45" s="11" t="s">
        <v>66</v>
      </c>
      <c r="B45" s="11" t="s">
        <v>79</v>
      </c>
      <c r="C45" s="12">
        <v>7.6</v>
      </c>
      <c r="D45" s="13">
        <v>27.046700000000001</v>
      </c>
      <c r="E45" s="13">
        <v>-0.88049999999999995</v>
      </c>
      <c r="F45" s="13">
        <v>0.26540000000000002</v>
      </c>
      <c r="G45" s="13">
        <v>5.4999999999999997E-3</v>
      </c>
      <c r="H45" s="13">
        <v>-6.9999999999999999E-4</v>
      </c>
      <c r="I45" s="13">
        <v>-1.2200000000000001E-2</v>
      </c>
    </row>
    <row r="46" spans="1:9" x14ac:dyDescent="0.2">
      <c r="A46" s="14" t="s">
        <v>66</v>
      </c>
      <c r="B46" s="14" t="s">
        <v>79</v>
      </c>
      <c r="C46" s="15">
        <v>7.6</v>
      </c>
      <c r="D46" s="16">
        <v>29.3218</v>
      </c>
      <c r="E46" s="16">
        <v>-0.86060000000000003</v>
      </c>
      <c r="F46" s="16">
        <v>0.27410000000000001</v>
      </c>
      <c r="G46" s="16">
        <v>5.4999999999999997E-3</v>
      </c>
      <c r="H46" s="16">
        <v>-8.0000000000000004E-4</v>
      </c>
      <c r="I46" s="16">
        <v>-1.2E-2</v>
      </c>
    </row>
    <row r="48" spans="1:9" x14ac:dyDescent="0.2">
      <c r="A48" s="31" t="s">
        <v>81</v>
      </c>
      <c r="B48" s="29"/>
      <c r="C48" s="29"/>
      <c r="D48" s="29"/>
      <c r="E48" s="29"/>
      <c r="F48" s="29"/>
      <c r="G48" s="29"/>
      <c r="H48" s="29"/>
    </row>
    <row r="49" spans="1:9" x14ac:dyDescent="0.2">
      <c r="A49" s="10" t="s">
        <v>54</v>
      </c>
      <c r="B49" s="10" t="s">
        <v>55</v>
      </c>
      <c r="C49" s="10" t="s">
        <v>56</v>
      </c>
      <c r="D49" s="10" t="s">
        <v>57</v>
      </c>
      <c r="E49" s="10" t="s">
        <v>58</v>
      </c>
      <c r="F49" s="10" t="s">
        <v>59</v>
      </c>
      <c r="G49" s="10" t="s">
        <v>60</v>
      </c>
      <c r="H49" s="10" t="s">
        <v>61</v>
      </c>
      <c r="I49" s="10" t="s">
        <v>62</v>
      </c>
    </row>
    <row r="50" spans="1:9" x14ac:dyDescent="0.2">
      <c r="A50" s="11" t="s">
        <v>68</v>
      </c>
      <c r="B50" s="11" t="s">
        <v>79</v>
      </c>
      <c r="C50" s="12">
        <v>5.6</v>
      </c>
      <c r="D50" s="13">
        <v>50.148800000000001</v>
      </c>
      <c r="E50" s="13">
        <v>-0.247</v>
      </c>
      <c r="F50" s="13">
        <v>0.14710000000000001</v>
      </c>
      <c r="G50" s="13">
        <v>1.41E-2</v>
      </c>
      <c r="H50" s="13">
        <v>-2.0999999999999999E-3</v>
      </c>
      <c r="I50" s="13">
        <v>-8.6E-3</v>
      </c>
    </row>
    <row r="51" spans="1:9" x14ac:dyDescent="0.2">
      <c r="A51" s="14" t="s">
        <v>68</v>
      </c>
      <c r="B51" s="14" t="s">
        <v>79</v>
      </c>
      <c r="C51" s="15">
        <v>5.6</v>
      </c>
      <c r="D51" s="16">
        <v>49.971400000000003</v>
      </c>
      <c r="E51" s="16">
        <v>-0.24660000000000001</v>
      </c>
      <c r="F51" s="16">
        <v>0.14749999999999999</v>
      </c>
      <c r="G51" s="16">
        <v>1.41E-2</v>
      </c>
      <c r="H51" s="16">
        <v>-2.0999999999999999E-3</v>
      </c>
      <c r="I51" s="16">
        <v>-8.6E-3</v>
      </c>
    </row>
    <row r="52" spans="1:9" x14ac:dyDescent="0.2">
      <c r="A52" s="11" t="s">
        <v>68</v>
      </c>
      <c r="B52" s="11" t="s">
        <v>79</v>
      </c>
      <c r="C52" s="12">
        <v>5.8</v>
      </c>
      <c r="D52" s="13">
        <v>48.643799999999999</v>
      </c>
      <c r="E52" s="13">
        <v>-0.2797</v>
      </c>
      <c r="F52" s="13">
        <v>0.16139999999999999</v>
      </c>
      <c r="G52" s="13">
        <v>1.44E-2</v>
      </c>
      <c r="H52" s="13">
        <v>-2.0999999999999999E-3</v>
      </c>
      <c r="I52" s="13">
        <v>-9.7999999999999997E-3</v>
      </c>
    </row>
    <row r="53" spans="1:9" x14ac:dyDescent="0.2">
      <c r="A53" s="14" t="s">
        <v>68</v>
      </c>
      <c r="B53" s="14" t="s">
        <v>79</v>
      </c>
      <c r="C53" s="15">
        <v>5.8</v>
      </c>
      <c r="D53" s="16">
        <v>48.643799999999999</v>
      </c>
      <c r="E53" s="16">
        <v>-0.2797</v>
      </c>
      <c r="F53" s="16">
        <v>0.16139999999999999</v>
      </c>
      <c r="G53" s="16">
        <v>1.44E-2</v>
      </c>
      <c r="H53" s="16">
        <v>-2.0999999999999999E-3</v>
      </c>
      <c r="I53" s="16">
        <v>-9.7999999999999997E-3</v>
      </c>
    </row>
    <row r="54" spans="1:9" x14ac:dyDescent="0.2">
      <c r="A54" s="11" t="s">
        <v>68</v>
      </c>
      <c r="B54" s="11" t="s">
        <v>79</v>
      </c>
      <c r="C54" s="12">
        <v>6</v>
      </c>
      <c r="D54" s="13">
        <v>47.880600000000001</v>
      </c>
      <c r="E54" s="13">
        <v>-0.31509999999999999</v>
      </c>
      <c r="F54" s="13">
        <v>0.37480000000000002</v>
      </c>
      <c r="G54" s="13">
        <v>1.47E-2</v>
      </c>
      <c r="H54" s="13">
        <v>-2.0999999999999999E-3</v>
      </c>
      <c r="I54" s="13">
        <v>-1.0999999999999999E-2</v>
      </c>
    </row>
    <row r="55" spans="1:9" x14ac:dyDescent="0.2">
      <c r="A55" s="14" t="s">
        <v>68</v>
      </c>
      <c r="B55" s="14" t="s">
        <v>79</v>
      </c>
      <c r="C55" s="15">
        <v>6</v>
      </c>
      <c r="D55" s="16">
        <v>47.710299999999997</v>
      </c>
      <c r="E55" s="16">
        <v>-0.31490000000000001</v>
      </c>
      <c r="F55" s="16">
        <v>0.17510000000000001</v>
      </c>
      <c r="G55" s="16">
        <v>1.47E-2</v>
      </c>
      <c r="H55" s="16">
        <v>-2.0999999999999999E-3</v>
      </c>
      <c r="I55" s="16">
        <v>-1.0999999999999999E-2</v>
      </c>
    </row>
    <row r="56" spans="1:9" x14ac:dyDescent="0.2">
      <c r="A56" s="11" t="s">
        <v>68</v>
      </c>
      <c r="B56" s="11" t="s">
        <v>79</v>
      </c>
      <c r="C56" s="12">
        <v>6.2</v>
      </c>
      <c r="D56" s="13">
        <v>45.583100000000002</v>
      </c>
      <c r="E56" s="13">
        <v>-0.35239999999999999</v>
      </c>
      <c r="F56" s="13">
        <v>0.18859999999999999</v>
      </c>
      <c r="G56" s="13">
        <v>1.6199999999999999E-2</v>
      </c>
      <c r="H56" s="13">
        <v>-2.2000000000000001E-3</v>
      </c>
      <c r="I56" s="13">
        <v>-1.24E-2</v>
      </c>
    </row>
    <row r="57" spans="1:9" x14ac:dyDescent="0.2">
      <c r="A57" s="14" t="s">
        <v>68</v>
      </c>
      <c r="B57" s="14" t="s">
        <v>79</v>
      </c>
      <c r="C57" s="15">
        <v>6.2</v>
      </c>
      <c r="D57" s="16">
        <v>46.2913</v>
      </c>
      <c r="E57" s="16">
        <v>-0.35260000000000002</v>
      </c>
      <c r="F57" s="16">
        <v>0.18740000000000001</v>
      </c>
      <c r="G57" s="16">
        <v>1.6199999999999999E-2</v>
      </c>
      <c r="H57" s="16">
        <v>-2.2000000000000001E-3</v>
      </c>
      <c r="I57" s="16">
        <v>-1.24E-2</v>
      </c>
    </row>
    <row r="58" spans="1:9" x14ac:dyDescent="0.2">
      <c r="A58" s="11" t="s">
        <v>68</v>
      </c>
      <c r="B58" s="11" t="s">
        <v>79</v>
      </c>
      <c r="C58" s="12">
        <v>6.4</v>
      </c>
      <c r="D58" s="13">
        <v>44.781100000000002</v>
      </c>
      <c r="E58" s="13">
        <v>-0.39279999999999998</v>
      </c>
      <c r="F58" s="13">
        <v>0.20039999999999999</v>
      </c>
      <c r="G58" s="13">
        <v>1.6500000000000001E-2</v>
      </c>
      <c r="H58" s="13">
        <v>-2.2000000000000001E-3</v>
      </c>
      <c r="I58" s="13">
        <v>-1.38E-2</v>
      </c>
    </row>
    <row r="59" spans="1:9" x14ac:dyDescent="0.2">
      <c r="A59" s="14" t="s">
        <v>68</v>
      </c>
      <c r="B59" s="14" t="s">
        <v>79</v>
      </c>
      <c r="C59" s="15">
        <v>6.4</v>
      </c>
      <c r="D59" s="16">
        <v>44.932200000000002</v>
      </c>
      <c r="E59" s="16">
        <v>-0.39279999999999998</v>
      </c>
      <c r="F59" s="16">
        <v>0.19980000000000001</v>
      </c>
      <c r="G59" s="16">
        <v>1.6500000000000001E-2</v>
      </c>
      <c r="H59" s="16">
        <v>-2.2000000000000001E-3</v>
      </c>
      <c r="I59" s="16">
        <v>-1.38E-2</v>
      </c>
    </row>
    <row r="60" spans="1:9" x14ac:dyDescent="0.2">
      <c r="A60" s="11" t="s">
        <v>68</v>
      </c>
      <c r="B60" s="11" t="s">
        <v>79</v>
      </c>
      <c r="C60" s="12">
        <v>6.6</v>
      </c>
      <c r="D60" s="13">
        <v>43.777900000000002</v>
      </c>
      <c r="E60" s="13">
        <v>-0.43490000000000001</v>
      </c>
      <c r="F60" s="13">
        <v>0.21149999999999999</v>
      </c>
      <c r="G60" s="13">
        <v>1.6899999999999998E-2</v>
      </c>
      <c r="H60" s="13">
        <v>-2.0999999999999999E-3</v>
      </c>
      <c r="I60" s="13">
        <v>-1.54E-2</v>
      </c>
    </row>
    <row r="61" spans="1:9" x14ac:dyDescent="0.2">
      <c r="A61" s="14" t="s">
        <v>68</v>
      </c>
      <c r="B61" s="14" t="s">
        <v>79</v>
      </c>
      <c r="C61" s="15">
        <v>6.6</v>
      </c>
      <c r="D61" s="16">
        <v>43.777900000000002</v>
      </c>
      <c r="E61" s="16">
        <v>-0.43490000000000001</v>
      </c>
      <c r="F61" s="16">
        <v>0.21149999999999999</v>
      </c>
      <c r="G61" s="16">
        <v>1.6899999999999998E-2</v>
      </c>
      <c r="H61" s="16">
        <v>-2.0999999999999999E-3</v>
      </c>
      <c r="I61" s="16">
        <v>-1.54E-2</v>
      </c>
    </row>
    <row r="62" spans="1:9" x14ac:dyDescent="0.2">
      <c r="A62" s="11" t="s">
        <v>68</v>
      </c>
      <c r="B62" s="11" t="s">
        <v>79</v>
      </c>
      <c r="C62" s="12">
        <v>6.8</v>
      </c>
      <c r="D62" s="13">
        <v>42.247900000000001</v>
      </c>
      <c r="E62" s="13">
        <v>-0.47889999999999999</v>
      </c>
      <c r="F62" s="13">
        <v>0.22</v>
      </c>
      <c r="G62" s="13">
        <v>1.72E-2</v>
      </c>
      <c r="H62" s="13">
        <v>-2.0999999999999999E-3</v>
      </c>
      <c r="I62" s="13">
        <v>-1.7000000000000001E-2</v>
      </c>
    </row>
    <row r="63" spans="1:9" x14ac:dyDescent="0.2">
      <c r="A63" s="14" t="s">
        <v>68</v>
      </c>
      <c r="B63" s="14" t="s">
        <v>79</v>
      </c>
      <c r="C63" s="15">
        <v>6.8</v>
      </c>
      <c r="D63" s="16">
        <v>42.192500000000003</v>
      </c>
      <c r="E63" s="16">
        <v>-0.47920000000000001</v>
      </c>
      <c r="F63" s="16">
        <v>0.22070000000000001</v>
      </c>
      <c r="G63" s="16">
        <v>1.72E-2</v>
      </c>
      <c r="H63" s="16">
        <v>-2.0999999999999999E-3</v>
      </c>
      <c r="I63" s="16">
        <v>-1.7000000000000001E-2</v>
      </c>
    </row>
    <row r="64" spans="1:9" x14ac:dyDescent="0.2">
      <c r="A64" s="11" t="s">
        <v>68</v>
      </c>
      <c r="B64" s="11" t="s">
        <v>79</v>
      </c>
      <c r="C64" s="12">
        <v>7</v>
      </c>
      <c r="D64" s="13">
        <v>40.774299999999997</v>
      </c>
      <c r="E64" s="13">
        <v>-0.52610000000000001</v>
      </c>
      <c r="F64" s="13">
        <v>0.2286</v>
      </c>
      <c r="G64" s="13">
        <v>1.7500000000000002E-2</v>
      </c>
      <c r="H64" s="13">
        <v>-2E-3</v>
      </c>
      <c r="I64" s="13">
        <v>-1.8700000000000001E-2</v>
      </c>
    </row>
    <row r="65" spans="1:9" x14ac:dyDescent="0.2">
      <c r="A65" s="14" t="s">
        <v>68</v>
      </c>
      <c r="B65" s="14" t="s">
        <v>79</v>
      </c>
      <c r="C65" s="15">
        <v>7</v>
      </c>
      <c r="D65" s="16">
        <v>41.202199999999998</v>
      </c>
      <c r="E65" s="16">
        <v>-0.52470000000000006</v>
      </c>
      <c r="F65" s="16">
        <v>0.22620000000000001</v>
      </c>
      <c r="G65" s="16">
        <v>1.7500000000000002E-2</v>
      </c>
      <c r="H65" s="16">
        <v>-2E-3</v>
      </c>
      <c r="I65" s="16">
        <v>-2.0899999999999998E-2</v>
      </c>
    </row>
    <row r="66" spans="1:9" x14ac:dyDescent="0.2">
      <c r="A66" s="11" t="s">
        <v>68</v>
      </c>
      <c r="B66" s="11" t="s">
        <v>79</v>
      </c>
      <c r="C66" s="12">
        <v>7.2</v>
      </c>
      <c r="D66" s="13">
        <v>39.935899999999997</v>
      </c>
      <c r="E66" s="13">
        <v>-0.57110000000000005</v>
      </c>
      <c r="F66" s="13">
        <v>0.23</v>
      </c>
      <c r="G66" s="13">
        <v>1.6500000000000001E-2</v>
      </c>
      <c r="H66" s="13">
        <v>-1.8E-3</v>
      </c>
      <c r="I66" s="13">
        <v>-2.0899999999999998E-2</v>
      </c>
    </row>
    <row r="67" spans="1:9" x14ac:dyDescent="0.2">
      <c r="A67" s="14" t="s">
        <v>68</v>
      </c>
      <c r="B67" s="14" t="s">
        <v>79</v>
      </c>
      <c r="C67" s="15">
        <v>7.2</v>
      </c>
      <c r="D67" s="16">
        <v>39.6327</v>
      </c>
      <c r="E67" s="16">
        <v>-0.57240000000000002</v>
      </c>
      <c r="F67" s="16">
        <v>0.2316</v>
      </c>
      <c r="G67" s="16">
        <v>1.6500000000000001E-2</v>
      </c>
      <c r="H67" s="16">
        <v>-1.6999999999999999E-3</v>
      </c>
      <c r="I67" s="16">
        <v>-2.0899999999999998E-2</v>
      </c>
    </row>
    <row r="68" spans="1:9" x14ac:dyDescent="0.2">
      <c r="A68" s="11" t="s">
        <v>68</v>
      </c>
      <c r="B68" s="11" t="s">
        <v>79</v>
      </c>
      <c r="C68" s="12">
        <v>7.4</v>
      </c>
      <c r="D68" s="13">
        <v>38.547499999999999</v>
      </c>
      <c r="E68" s="13">
        <v>-0.61909999999999998</v>
      </c>
      <c r="F68" s="13">
        <v>0.2306</v>
      </c>
      <c r="G68" s="13">
        <v>1.6799999999999999E-2</v>
      </c>
      <c r="H68" s="13">
        <v>-1.6999999999999999E-3</v>
      </c>
      <c r="I68" s="13">
        <v>-2.23E-2</v>
      </c>
    </row>
    <row r="69" spans="1:9" x14ac:dyDescent="0.2">
      <c r="A69" s="14" t="s">
        <v>68</v>
      </c>
      <c r="B69" s="14" t="s">
        <v>79</v>
      </c>
      <c r="C69" s="15">
        <v>7.4</v>
      </c>
      <c r="D69" s="16">
        <v>37.952599999999997</v>
      </c>
      <c r="E69" s="16">
        <v>-0.62350000000000005</v>
      </c>
      <c r="F69" s="16">
        <v>0.2336</v>
      </c>
      <c r="G69" s="16">
        <v>1.6799999999999999E-2</v>
      </c>
      <c r="H69" s="16">
        <v>-1.6999999999999999E-3</v>
      </c>
      <c r="I69" s="16">
        <v>-2.4299999999999999E-2</v>
      </c>
    </row>
    <row r="70" spans="1:9" x14ac:dyDescent="0.2">
      <c r="A70" s="11" t="s">
        <v>68</v>
      </c>
      <c r="B70" s="11" t="s">
        <v>79</v>
      </c>
      <c r="C70" s="12">
        <v>7.6</v>
      </c>
      <c r="D70" s="13">
        <v>36.900599999999997</v>
      </c>
      <c r="E70" s="13">
        <v>-0.67049999999999998</v>
      </c>
      <c r="F70" s="13">
        <v>0.2281</v>
      </c>
      <c r="G70" s="13">
        <v>1.46E-2</v>
      </c>
      <c r="H70" s="13">
        <v>-1.4E-3</v>
      </c>
      <c r="I70" s="13">
        <v>-2.4299999999999999E-2</v>
      </c>
    </row>
    <row r="71" spans="1:9" x14ac:dyDescent="0.2">
      <c r="A71" s="14" t="s">
        <v>68</v>
      </c>
      <c r="B71" s="14" t="s">
        <v>79</v>
      </c>
      <c r="C71" s="15">
        <v>7.6</v>
      </c>
      <c r="D71" s="16">
        <v>37.243099999999998</v>
      </c>
      <c r="E71" s="16">
        <v>-0.66839999999999999</v>
      </c>
      <c r="F71" s="16">
        <v>0.22869999999999999</v>
      </c>
      <c r="G71" s="16">
        <v>1.46E-2</v>
      </c>
      <c r="H71" s="16">
        <v>-1.4E-3</v>
      </c>
      <c r="I71" s="16">
        <v>-2.4299999999999999E-2</v>
      </c>
    </row>
    <row r="72" spans="1:9" x14ac:dyDescent="0.2">
      <c r="A72" s="11" t="s">
        <v>68</v>
      </c>
      <c r="B72" s="11" t="s">
        <v>79</v>
      </c>
      <c r="C72" s="12">
        <v>7.8</v>
      </c>
      <c r="D72" s="13">
        <v>35.522100000000002</v>
      </c>
      <c r="E72" s="13">
        <v>-0.71760000000000002</v>
      </c>
      <c r="F72" s="13">
        <v>0.22170000000000001</v>
      </c>
      <c r="G72" s="13">
        <v>1.49E-2</v>
      </c>
      <c r="H72" s="13">
        <v>-1.2999999999999999E-3</v>
      </c>
      <c r="I72" s="13">
        <v>-2.6200000000000001E-2</v>
      </c>
    </row>
    <row r="73" spans="1:9" x14ac:dyDescent="0.2">
      <c r="A73" s="14" t="s">
        <v>68</v>
      </c>
      <c r="B73" s="14" t="s">
        <v>79</v>
      </c>
      <c r="C73" s="15">
        <v>7.8</v>
      </c>
      <c r="D73" s="16">
        <v>35.857900000000001</v>
      </c>
      <c r="E73" s="16">
        <v>-0.71599999999999997</v>
      </c>
      <c r="F73" s="16">
        <v>0.22059999999999999</v>
      </c>
      <c r="G73" s="16">
        <v>1.49E-2</v>
      </c>
      <c r="H73" s="16">
        <v>-1.2999999999999999E-3</v>
      </c>
      <c r="I73" s="16">
        <v>-2.81E-2</v>
      </c>
    </row>
    <row r="74" spans="1:9" x14ac:dyDescent="0.2">
      <c r="A74" s="11" t="s">
        <v>68</v>
      </c>
      <c r="B74" s="11" t="s">
        <v>79</v>
      </c>
      <c r="C74" s="12">
        <v>8</v>
      </c>
      <c r="D74" s="13">
        <v>34.3322</v>
      </c>
      <c r="E74" s="13">
        <v>-0.76919999999999999</v>
      </c>
      <c r="F74" s="13">
        <v>0.21</v>
      </c>
      <c r="G74" s="13">
        <v>1.1900000000000001E-2</v>
      </c>
      <c r="H74" s="13">
        <v>-8.9999999999999998E-4</v>
      </c>
      <c r="I74" s="13">
        <v>-2.81E-2</v>
      </c>
    </row>
    <row r="75" spans="1:9" x14ac:dyDescent="0.2">
      <c r="A75" s="14" t="s">
        <v>68</v>
      </c>
      <c r="B75" s="14" t="s">
        <v>79</v>
      </c>
      <c r="C75" s="15">
        <v>8</v>
      </c>
      <c r="D75" s="16">
        <v>34.751199999999997</v>
      </c>
      <c r="E75" s="16">
        <v>-0.76200000000000001</v>
      </c>
      <c r="F75" s="16">
        <v>0.2092</v>
      </c>
      <c r="G75" s="16">
        <v>1.1900000000000001E-2</v>
      </c>
      <c r="H75" s="16">
        <v>-8.9999999999999998E-4</v>
      </c>
      <c r="I75" s="16">
        <v>-2.81E-2</v>
      </c>
    </row>
    <row r="77" spans="1:9" x14ac:dyDescent="0.2">
      <c r="A77" s="31" t="s">
        <v>82</v>
      </c>
      <c r="B77" s="29"/>
      <c r="C77" s="29"/>
      <c r="D77" s="29"/>
      <c r="E77" s="29"/>
      <c r="F77" s="29"/>
      <c r="G77" s="29"/>
      <c r="H77" s="29"/>
    </row>
    <row r="78" spans="1:9" x14ac:dyDescent="0.2">
      <c r="A78" s="10" t="s">
        <v>54</v>
      </c>
      <c r="B78" s="10" t="s">
        <v>55</v>
      </c>
      <c r="C78" s="10" t="s">
        <v>56</v>
      </c>
      <c r="D78" s="10" t="s">
        <v>57</v>
      </c>
      <c r="E78" s="10" t="s">
        <v>58</v>
      </c>
      <c r="F78" s="10" t="s">
        <v>59</v>
      </c>
      <c r="G78" s="10" t="s">
        <v>60</v>
      </c>
      <c r="H78" s="10" t="s">
        <v>61</v>
      </c>
      <c r="I78" s="10" t="s">
        <v>62</v>
      </c>
    </row>
    <row r="79" spans="1:9" x14ac:dyDescent="0.2">
      <c r="A79" s="11" t="s">
        <v>70</v>
      </c>
      <c r="B79" s="11" t="s">
        <v>79</v>
      </c>
      <c r="C79" s="12">
        <v>5.6</v>
      </c>
      <c r="D79" s="13">
        <v>48.290700000000001</v>
      </c>
      <c r="E79" s="13">
        <v>-0.26019999999999999</v>
      </c>
      <c r="F79" s="13">
        <v>0.1246</v>
      </c>
      <c r="G79" s="13">
        <v>1.7500000000000002E-2</v>
      </c>
      <c r="H79" s="13">
        <v>-1.6000000000000001E-3</v>
      </c>
      <c r="I79" s="13">
        <v>-1.5100000000000001E-2</v>
      </c>
    </row>
    <row r="80" spans="1:9" x14ac:dyDescent="0.2">
      <c r="A80" s="14" t="s">
        <v>70</v>
      </c>
      <c r="B80" s="14" t="s">
        <v>79</v>
      </c>
      <c r="C80" s="15">
        <v>5.6</v>
      </c>
      <c r="D80" s="16">
        <v>48.290700000000001</v>
      </c>
      <c r="E80" s="16">
        <v>-0.26019999999999999</v>
      </c>
      <c r="F80" s="16">
        <v>0.1246</v>
      </c>
      <c r="G80" s="16">
        <v>1.7500000000000002E-2</v>
      </c>
      <c r="H80" s="16">
        <v>-1.6000000000000001E-3</v>
      </c>
      <c r="I80" s="16">
        <v>-1.5100000000000001E-2</v>
      </c>
    </row>
    <row r="81" spans="1:9" x14ac:dyDescent="0.2">
      <c r="A81" s="11" t="s">
        <v>70</v>
      </c>
      <c r="B81" s="11" t="s">
        <v>79</v>
      </c>
      <c r="C81" s="12">
        <v>5.8</v>
      </c>
      <c r="D81" s="13">
        <v>47.286499999999997</v>
      </c>
      <c r="E81" s="13">
        <v>-0.2883</v>
      </c>
      <c r="F81" s="13">
        <v>0.13450000000000001</v>
      </c>
      <c r="G81" s="13">
        <v>1.7899999999999999E-2</v>
      </c>
      <c r="H81" s="13">
        <v>-1.5E-3</v>
      </c>
      <c r="I81" s="13">
        <v>-1.6799999999999999E-2</v>
      </c>
    </row>
    <row r="82" spans="1:9" x14ac:dyDescent="0.2">
      <c r="A82" s="14" t="s">
        <v>70</v>
      </c>
      <c r="B82" s="14" t="s">
        <v>79</v>
      </c>
      <c r="C82" s="15">
        <v>5.8</v>
      </c>
      <c r="D82" s="16">
        <v>47.286499999999997</v>
      </c>
      <c r="E82" s="16">
        <v>-0.2883</v>
      </c>
      <c r="F82" s="16">
        <v>0.13450000000000001</v>
      </c>
      <c r="G82" s="16">
        <v>1.7899999999999999E-2</v>
      </c>
      <c r="H82" s="16">
        <v>-1.5E-3</v>
      </c>
      <c r="I82" s="16">
        <v>-1.6799999999999999E-2</v>
      </c>
    </row>
    <row r="83" spans="1:9" x14ac:dyDescent="0.2">
      <c r="A83" s="11" t="s">
        <v>70</v>
      </c>
      <c r="B83" s="11" t="s">
        <v>79</v>
      </c>
      <c r="C83" s="12">
        <v>6</v>
      </c>
      <c r="D83" s="13">
        <v>46.3003</v>
      </c>
      <c r="E83" s="13">
        <v>-0.31790000000000002</v>
      </c>
      <c r="F83" s="13">
        <v>0.14349999999999999</v>
      </c>
      <c r="G83" s="13">
        <v>1.9800000000000002E-2</v>
      </c>
      <c r="H83" s="13">
        <v>-1.6999999999999999E-3</v>
      </c>
      <c r="I83" s="13">
        <v>-1.8499999999999999E-2</v>
      </c>
    </row>
    <row r="84" spans="1:9" x14ac:dyDescent="0.2">
      <c r="A84" s="14" t="s">
        <v>70</v>
      </c>
      <c r="B84" s="14" t="s">
        <v>79</v>
      </c>
      <c r="C84" s="15">
        <v>6</v>
      </c>
      <c r="D84" s="16">
        <v>46.3003</v>
      </c>
      <c r="E84" s="16">
        <v>-0.31790000000000002</v>
      </c>
      <c r="F84" s="16">
        <v>0.14349999999999999</v>
      </c>
      <c r="G84" s="16">
        <v>1.9800000000000002E-2</v>
      </c>
      <c r="H84" s="16">
        <v>-1.6999999999999999E-3</v>
      </c>
      <c r="I84" s="16">
        <v>-1.8499999999999999E-2</v>
      </c>
    </row>
    <row r="85" spans="1:9" x14ac:dyDescent="0.2">
      <c r="A85" s="11" t="s">
        <v>70</v>
      </c>
      <c r="B85" s="11" t="s">
        <v>79</v>
      </c>
      <c r="C85" s="12">
        <v>6.2</v>
      </c>
      <c r="D85" s="13">
        <v>45.104799999999997</v>
      </c>
      <c r="E85" s="13">
        <v>-0.3493</v>
      </c>
      <c r="F85" s="13">
        <v>0.1522</v>
      </c>
      <c r="G85" s="13">
        <v>2.0199999999999999E-2</v>
      </c>
      <c r="H85" s="13">
        <v>-1.6000000000000001E-3</v>
      </c>
      <c r="I85" s="13">
        <v>-2.0500000000000001E-2</v>
      </c>
    </row>
    <row r="86" spans="1:9" x14ac:dyDescent="0.2">
      <c r="A86" s="14" t="s">
        <v>70</v>
      </c>
      <c r="B86" s="14" t="s">
        <v>79</v>
      </c>
      <c r="C86" s="15">
        <v>6.2</v>
      </c>
      <c r="D86" s="16">
        <v>45.104799999999997</v>
      </c>
      <c r="E86" s="16">
        <v>-0.3493</v>
      </c>
      <c r="F86" s="16">
        <v>0.1522</v>
      </c>
      <c r="G86" s="16">
        <v>2.0199999999999999E-2</v>
      </c>
      <c r="H86" s="16">
        <v>-1.6000000000000001E-3</v>
      </c>
      <c r="I86" s="16">
        <v>-2.0500000000000001E-2</v>
      </c>
    </row>
    <row r="87" spans="1:9" x14ac:dyDescent="0.2">
      <c r="A87" s="11" t="s">
        <v>70</v>
      </c>
      <c r="B87" s="11" t="s">
        <v>79</v>
      </c>
      <c r="C87" s="12">
        <v>6.4</v>
      </c>
      <c r="D87" s="13">
        <v>44.198999999999998</v>
      </c>
      <c r="E87" s="13">
        <v>-0.3821</v>
      </c>
      <c r="F87" s="13">
        <v>0.16039999999999999</v>
      </c>
      <c r="G87" s="13">
        <v>2.06E-2</v>
      </c>
      <c r="H87" s="13">
        <v>-1.6000000000000001E-3</v>
      </c>
      <c r="I87" s="13">
        <v>-2.2499999999999999E-2</v>
      </c>
    </row>
    <row r="88" spans="1:9" x14ac:dyDescent="0.2">
      <c r="A88" s="14" t="s">
        <v>70</v>
      </c>
      <c r="B88" s="14" t="s">
        <v>79</v>
      </c>
      <c r="C88" s="15">
        <v>6.4</v>
      </c>
      <c r="D88" s="16">
        <v>44.198999999999998</v>
      </c>
      <c r="E88" s="16">
        <v>-0.3821</v>
      </c>
      <c r="F88" s="16">
        <v>0.16039999999999999</v>
      </c>
      <c r="G88" s="16">
        <v>2.06E-2</v>
      </c>
      <c r="H88" s="16">
        <v>-1.6000000000000001E-3</v>
      </c>
      <c r="I88" s="16">
        <v>-2.2499999999999999E-2</v>
      </c>
    </row>
    <row r="89" spans="1:9" x14ac:dyDescent="0.2">
      <c r="A89" s="11" t="s">
        <v>70</v>
      </c>
      <c r="B89" s="11" t="s">
        <v>79</v>
      </c>
      <c r="C89" s="12">
        <v>6.6</v>
      </c>
      <c r="D89" s="13">
        <v>43.565899999999999</v>
      </c>
      <c r="E89" s="13">
        <v>-0.4158</v>
      </c>
      <c r="F89" s="13">
        <v>0.16750000000000001</v>
      </c>
      <c r="G89" s="13">
        <v>2.1000000000000001E-2</v>
      </c>
      <c r="H89" s="13">
        <v>-1.6000000000000001E-3</v>
      </c>
      <c r="I89" s="13">
        <v>-2.4500000000000001E-2</v>
      </c>
    </row>
    <row r="90" spans="1:9" x14ac:dyDescent="0.2">
      <c r="A90" s="14" t="s">
        <v>70</v>
      </c>
      <c r="B90" s="14" t="s">
        <v>79</v>
      </c>
      <c r="C90" s="15">
        <v>6.6</v>
      </c>
      <c r="D90" s="16">
        <v>43.447000000000003</v>
      </c>
      <c r="E90" s="16">
        <v>-0.41589999999999999</v>
      </c>
      <c r="F90" s="16">
        <v>0.16789999999999999</v>
      </c>
      <c r="G90" s="16">
        <v>2.1000000000000001E-2</v>
      </c>
      <c r="H90" s="16">
        <v>-1.6000000000000001E-3</v>
      </c>
      <c r="I90" s="16">
        <v>-2.4500000000000001E-2</v>
      </c>
    </row>
    <row r="91" spans="1:9" x14ac:dyDescent="0.2">
      <c r="A91" s="11" t="s">
        <v>70</v>
      </c>
      <c r="B91" s="11" t="s">
        <v>79</v>
      </c>
      <c r="C91" s="12">
        <v>6.8</v>
      </c>
      <c r="D91" s="13">
        <v>42.394399999999997</v>
      </c>
      <c r="E91" s="13">
        <v>-0.45040000000000002</v>
      </c>
      <c r="F91" s="13">
        <v>0.17330000000000001</v>
      </c>
      <c r="G91" s="13">
        <v>2.1399999999999999E-2</v>
      </c>
      <c r="H91" s="13">
        <v>-1.6000000000000001E-3</v>
      </c>
      <c r="I91" s="13">
        <v>-2.6700000000000002E-2</v>
      </c>
    </row>
    <row r="92" spans="1:9" x14ac:dyDescent="0.2">
      <c r="A92" s="14" t="s">
        <v>70</v>
      </c>
      <c r="B92" s="14" t="s">
        <v>79</v>
      </c>
      <c r="C92" s="15">
        <v>6.8</v>
      </c>
      <c r="D92" s="16">
        <v>42.4011</v>
      </c>
      <c r="E92" s="16">
        <v>-0.45069999999999999</v>
      </c>
      <c r="F92" s="16">
        <v>0.17330000000000001</v>
      </c>
      <c r="G92" s="16">
        <v>2.1399999999999999E-2</v>
      </c>
      <c r="H92" s="16">
        <v>-1.6000000000000001E-3</v>
      </c>
      <c r="I92" s="16">
        <v>-2.6700000000000002E-2</v>
      </c>
    </row>
    <row r="93" spans="1:9" x14ac:dyDescent="0.2">
      <c r="A93" s="11" t="s">
        <v>70</v>
      </c>
      <c r="B93" s="11" t="s">
        <v>79</v>
      </c>
      <c r="C93" s="12">
        <v>7</v>
      </c>
      <c r="D93" s="13">
        <v>41.393900000000002</v>
      </c>
      <c r="E93" s="13">
        <v>-0.48659999999999998</v>
      </c>
      <c r="F93" s="13">
        <v>0.1787</v>
      </c>
      <c r="G93" s="13">
        <v>2.18E-2</v>
      </c>
      <c r="H93" s="13">
        <v>-1.6000000000000001E-3</v>
      </c>
      <c r="I93" s="13">
        <v>-2.9000000000000001E-2</v>
      </c>
    </row>
    <row r="94" spans="1:9" x14ac:dyDescent="0.2">
      <c r="A94" s="14" t="s">
        <v>70</v>
      </c>
      <c r="B94" s="14" t="s">
        <v>79</v>
      </c>
      <c r="C94" s="15">
        <v>7</v>
      </c>
      <c r="D94" s="16">
        <v>41.508400000000002</v>
      </c>
      <c r="E94" s="16">
        <v>-0.48620000000000002</v>
      </c>
      <c r="F94" s="16">
        <v>0.1782</v>
      </c>
      <c r="G94" s="16">
        <v>2.18E-2</v>
      </c>
      <c r="H94" s="16">
        <v>-1.6000000000000001E-3</v>
      </c>
      <c r="I94" s="16">
        <v>-2.9000000000000001E-2</v>
      </c>
    </row>
    <row r="95" spans="1:9" x14ac:dyDescent="0.2">
      <c r="A95" s="11" t="s">
        <v>70</v>
      </c>
      <c r="B95" s="11" t="s">
        <v>79</v>
      </c>
      <c r="C95" s="12">
        <v>7.2</v>
      </c>
      <c r="D95" s="13">
        <v>40.311599999999999</v>
      </c>
      <c r="E95" s="13">
        <v>-0.52480000000000004</v>
      </c>
      <c r="F95" s="13">
        <v>0.1847</v>
      </c>
      <c r="G95" s="13">
        <v>2.23E-2</v>
      </c>
      <c r="H95" s="13">
        <v>-1.5E-3</v>
      </c>
      <c r="I95" s="13">
        <v>-3.1399999999999997E-2</v>
      </c>
    </row>
    <row r="96" spans="1:9" x14ac:dyDescent="0.2">
      <c r="A96" s="14" t="s">
        <v>70</v>
      </c>
      <c r="B96" s="14" t="s">
        <v>79</v>
      </c>
      <c r="C96" s="15">
        <v>7.2</v>
      </c>
      <c r="D96" s="16">
        <v>40.985399999999998</v>
      </c>
      <c r="E96" s="16">
        <v>-0.52210000000000001</v>
      </c>
      <c r="F96" s="16">
        <v>0.18160000000000001</v>
      </c>
      <c r="G96" s="16">
        <v>2.23E-2</v>
      </c>
      <c r="H96" s="16">
        <v>-1.5E-3</v>
      </c>
      <c r="I96" s="16">
        <v>-3.1399999999999997E-2</v>
      </c>
    </row>
    <row r="97" spans="1:9" x14ac:dyDescent="0.2">
      <c r="A97" s="11" t="s">
        <v>70</v>
      </c>
      <c r="B97" s="11" t="s">
        <v>79</v>
      </c>
      <c r="C97" s="12">
        <v>7.4</v>
      </c>
      <c r="D97" s="13">
        <v>39.520499999999998</v>
      </c>
      <c r="E97" s="13">
        <v>-0.56010000000000004</v>
      </c>
      <c r="F97" s="13">
        <v>0.18540000000000001</v>
      </c>
      <c r="G97" s="13">
        <v>2.0899999999999998E-2</v>
      </c>
      <c r="H97" s="13">
        <v>-1.2999999999999999E-3</v>
      </c>
      <c r="I97" s="13">
        <v>-3.3799999999999997E-2</v>
      </c>
    </row>
    <row r="98" spans="1:9" x14ac:dyDescent="0.2">
      <c r="A98" s="14" t="s">
        <v>70</v>
      </c>
      <c r="B98" s="14" t="s">
        <v>79</v>
      </c>
      <c r="C98" s="15">
        <v>7.4</v>
      </c>
      <c r="D98" s="16">
        <v>39.520499999999998</v>
      </c>
      <c r="E98" s="16">
        <v>-0.56010000000000004</v>
      </c>
      <c r="F98" s="16">
        <v>0.18540000000000001</v>
      </c>
      <c r="G98" s="16">
        <v>2.0899999999999998E-2</v>
      </c>
      <c r="H98" s="16">
        <v>-1.2999999999999999E-3</v>
      </c>
      <c r="I98" s="16">
        <v>-3.3799999999999997E-2</v>
      </c>
    </row>
    <row r="99" spans="1:9" x14ac:dyDescent="0.2">
      <c r="A99" s="11" t="s">
        <v>70</v>
      </c>
      <c r="B99" s="11" t="s">
        <v>79</v>
      </c>
      <c r="C99" s="12">
        <v>7.6</v>
      </c>
      <c r="D99" s="13">
        <v>38.171700000000001</v>
      </c>
      <c r="E99" s="13">
        <v>-0.59970000000000001</v>
      </c>
      <c r="F99" s="13">
        <v>0.18770000000000001</v>
      </c>
      <c r="G99" s="13">
        <v>2.1399999999999999E-2</v>
      </c>
      <c r="H99" s="13">
        <v>-1.2999999999999999E-3</v>
      </c>
      <c r="I99" s="13">
        <v>-3.6299999999999999E-2</v>
      </c>
    </row>
    <row r="100" spans="1:9" x14ac:dyDescent="0.2">
      <c r="A100" s="14" t="s">
        <v>70</v>
      </c>
      <c r="B100" s="14" t="s">
        <v>79</v>
      </c>
      <c r="C100" s="15">
        <v>7.6</v>
      </c>
      <c r="D100" s="16">
        <v>38.640099999999997</v>
      </c>
      <c r="E100" s="16">
        <v>-0.59699999999999998</v>
      </c>
      <c r="F100" s="16">
        <v>0.1857</v>
      </c>
      <c r="G100" s="16">
        <v>2.1299999999999999E-2</v>
      </c>
      <c r="H100" s="16">
        <v>-1.2999999999999999E-3</v>
      </c>
      <c r="I100" s="16">
        <v>-3.6299999999999999E-2</v>
      </c>
    </row>
    <row r="101" spans="1:9" x14ac:dyDescent="0.2">
      <c r="A101" s="11" t="s">
        <v>70</v>
      </c>
      <c r="B101" s="11" t="s">
        <v>79</v>
      </c>
      <c r="C101" s="12">
        <v>7.8</v>
      </c>
      <c r="D101" s="13">
        <v>37.990900000000003</v>
      </c>
      <c r="E101" s="13">
        <v>-0.63849999999999996</v>
      </c>
      <c r="F101" s="13">
        <v>0.19470000000000001</v>
      </c>
      <c r="G101" s="13">
        <v>2.1700000000000001E-2</v>
      </c>
      <c r="H101" s="13">
        <v>-1.2999999999999999E-3</v>
      </c>
      <c r="I101" s="13">
        <v>-3.8699999999999998E-2</v>
      </c>
    </row>
    <row r="102" spans="1:9" x14ac:dyDescent="0.2">
      <c r="A102" s="14" t="s">
        <v>70</v>
      </c>
      <c r="B102" s="14" t="s">
        <v>79</v>
      </c>
      <c r="C102" s="15">
        <v>7.8</v>
      </c>
      <c r="D102" s="16">
        <v>38.020800000000001</v>
      </c>
      <c r="E102" s="16">
        <v>-0.63390000000000002</v>
      </c>
      <c r="F102" s="16">
        <v>0.1847</v>
      </c>
      <c r="G102" s="16">
        <v>2.1700000000000001E-2</v>
      </c>
      <c r="H102" s="16">
        <v>-1.2999999999999999E-3</v>
      </c>
      <c r="I102" s="16">
        <v>-3.8699999999999998E-2</v>
      </c>
    </row>
    <row r="103" spans="1:9" x14ac:dyDescent="0.2">
      <c r="A103" s="11" t="s">
        <v>70</v>
      </c>
      <c r="B103" s="11" t="s">
        <v>79</v>
      </c>
      <c r="C103" s="12">
        <v>8</v>
      </c>
      <c r="D103" s="13">
        <v>36.887599999999999</v>
      </c>
      <c r="E103" s="13">
        <v>-0.67069999999999996</v>
      </c>
      <c r="F103" s="13">
        <v>0.18229999999999999</v>
      </c>
      <c r="G103" s="13">
        <v>1.89E-2</v>
      </c>
      <c r="H103" s="13">
        <v>-1E-3</v>
      </c>
      <c r="I103" s="13">
        <v>-4.1200000000000001E-2</v>
      </c>
    </row>
    <row r="104" spans="1:9" x14ac:dyDescent="0.2">
      <c r="A104" s="14" t="s">
        <v>70</v>
      </c>
      <c r="B104" s="14" t="s">
        <v>79</v>
      </c>
      <c r="C104" s="15">
        <v>8</v>
      </c>
      <c r="D104" s="16">
        <v>36.887599999999999</v>
      </c>
      <c r="E104" s="16">
        <v>-0.67069999999999996</v>
      </c>
      <c r="F104" s="16">
        <v>0.1822</v>
      </c>
      <c r="G104" s="16">
        <v>1.89E-2</v>
      </c>
      <c r="H104" s="16">
        <v>-1E-3</v>
      </c>
      <c r="I104" s="16">
        <v>-4.1200000000000001E-2</v>
      </c>
    </row>
    <row r="106" spans="1:9" x14ac:dyDescent="0.2">
      <c r="A106" s="31" t="s">
        <v>83</v>
      </c>
      <c r="B106" s="29"/>
      <c r="C106" s="29"/>
      <c r="D106" s="29"/>
      <c r="E106" s="29"/>
      <c r="F106" s="29"/>
      <c r="G106" s="29"/>
      <c r="H106" s="29"/>
    </row>
    <row r="107" spans="1:9" x14ac:dyDescent="0.2">
      <c r="A107" s="10" t="s">
        <v>54</v>
      </c>
      <c r="B107" s="10" t="s">
        <v>55</v>
      </c>
      <c r="C107" s="10" t="s">
        <v>56</v>
      </c>
      <c r="D107" s="10" t="s">
        <v>57</v>
      </c>
      <c r="E107" s="10" t="s">
        <v>58</v>
      </c>
      <c r="F107" s="10" t="s">
        <v>59</v>
      </c>
      <c r="G107" s="10" t="s">
        <v>60</v>
      </c>
      <c r="H107" s="10" t="s">
        <v>61</v>
      </c>
      <c r="I107" s="10" t="s">
        <v>62</v>
      </c>
    </row>
    <row r="108" spans="1:9" x14ac:dyDescent="0.2">
      <c r="A108" s="11" t="s">
        <v>72</v>
      </c>
      <c r="B108" s="11" t="s">
        <v>79</v>
      </c>
      <c r="C108" s="12">
        <v>5.6</v>
      </c>
      <c r="D108" s="13">
        <v>46.378300000000003</v>
      </c>
      <c r="E108" s="13">
        <v>-0.26390000000000002</v>
      </c>
      <c r="F108" s="13">
        <v>0.112</v>
      </c>
      <c r="G108" s="13">
        <v>2.0299999999999999E-2</v>
      </c>
      <c r="H108" s="13">
        <v>-1.1999999999999999E-3</v>
      </c>
      <c r="I108" s="13">
        <v>-2.1700000000000001E-2</v>
      </c>
    </row>
    <row r="109" spans="1:9" x14ac:dyDescent="0.2">
      <c r="A109" s="14" t="s">
        <v>72</v>
      </c>
      <c r="B109" s="14" t="s">
        <v>79</v>
      </c>
      <c r="C109" s="15">
        <v>5.6</v>
      </c>
      <c r="D109" s="16">
        <v>46.768700000000003</v>
      </c>
      <c r="E109" s="16">
        <v>-0.26440000000000002</v>
      </c>
      <c r="F109" s="16">
        <v>0.1113</v>
      </c>
      <c r="G109" s="16">
        <v>2.0199999999999999E-2</v>
      </c>
      <c r="H109" s="16">
        <v>-1.1999999999999999E-3</v>
      </c>
      <c r="I109" s="16">
        <v>-2.1700000000000001E-2</v>
      </c>
    </row>
    <row r="110" spans="1:9" x14ac:dyDescent="0.2">
      <c r="A110" s="11" t="s">
        <v>72</v>
      </c>
      <c r="B110" s="11" t="s">
        <v>79</v>
      </c>
      <c r="C110" s="12">
        <v>5.8</v>
      </c>
      <c r="D110" s="13">
        <v>46.070999999999998</v>
      </c>
      <c r="E110" s="13">
        <v>-0.28960000000000002</v>
      </c>
      <c r="F110" s="13">
        <v>0.11890000000000001</v>
      </c>
      <c r="G110" s="13">
        <v>2.24E-2</v>
      </c>
      <c r="H110" s="13">
        <v>-1.4E-3</v>
      </c>
      <c r="I110" s="13">
        <v>-2.3900000000000001E-2</v>
      </c>
    </row>
    <row r="111" spans="1:9" x14ac:dyDescent="0.2">
      <c r="A111" s="14" t="s">
        <v>72</v>
      </c>
      <c r="B111" s="14" t="s">
        <v>79</v>
      </c>
      <c r="C111" s="15">
        <v>5.8</v>
      </c>
      <c r="D111" s="16">
        <v>45.893599999999999</v>
      </c>
      <c r="E111" s="16">
        <v>-0.28960000000000002</v>
      </c>
      <c r="F111" s="16">
        <v>0.1192</v>
      </c>
      <c r="G111" s="16">
        <v>2.24E-2</v>
      </c>
      <c r="H111" s="16">
        <v>-1.4E-3</v>
      </c>
      <c r="I111" s="16">
        <v>-2.3900000000000001E-2</v>
      </c>
    </row>
    <row r="112" spans="1:9" x14ac:dyDescent="0.2">
      <c r="A112" s="11" t="s">
        <v>72</v>
      </c>
      <c r="B112" s="11" t="s">
        <v>79</v>
      </c>
      <c r="C112" s="12">
        <v>6</v>
      </c>
      <c r="D112" s="13">
        <v>45.077399999999997</v>
      </c>
      <c r="E112" s="13">
        <v>-0.31619999999999998</v>
      </c>
      <c r="F112" s="13">
        <v>0.1255</v>
      </c>
      <c r="G112" s="13">
        <v>2.29E-2</v>
      </c>
      <c r="H112" s="13">
        <v>-1.2999999999999999E-3</v>
      </c>
      <c r="I112" s="13">
        <v>-2.63E-2</v>
      </c>
    </row>
    <row r="113" spans="1:9" x14ac:dyDescent="0.2">
      <c r="A113" s="14" t="s">
        <v>72</v>
      </c>
      <c r="B113" s="14" t="s">
        <v>79</v>
      </c>
      <c r="C113" s="15">
        <v>6</v>
      </c>
      <c r="D113" s="16">
        <v>46.640799999999999</v>
      </c>
      <c r="E113" s="16">
        <v>-0.316</v>
      </c>
      <c r="F113" s="16">
        <v>0.12870000000000001</v>
      </c>
      <c r="G113" s="16">
        <v>2.29E-2</v>
      </c>
      <c r="H113" s="16">
        <v>-1.2999999999999999E-3</v>
      </c>
      <c r="I113" s="16">
        <v>-2.6200000000000001E-2</v>
      </c>
    </row>
    <row r="114" spans="1:9" x14ac:dyDescent="0.2">
      <c r="A114" s="11" t="s">
        <v>72</v>
      </c>
      <c r="B114" s="11" t="s">
        <v>79</v>
      </c>
      <c r="C114" s="12">
        <v>6.2</v>
      </c>
      <c r="D114" s="13">
        <v>44.017000000000003</v>
      </c>
      <c r="E114" s="13">
        <v>-0.34389999999999998</v>
      </c>
      <c r="F114" s="13">
        <v>0.1308</v>
      </c>
      <c r="G114" s="13">
        <v>2.3400000000000001E-2</v>
      </c>
      <c r="H114" s="13">
        <v>-1.2999999999999999E-3</v>
      </c>
      <c r="I114" s="13">
        <v>-2.86E-2</v>
      </c>
    </row>
    <row r="115" spans="1:9" x14ac:dyDescent="0.2">
      <c r="A115" s="14" t="s">
        <v>72</v>
      </c>
      <c r="B115" s="14" t="s">
        <v>79</v>
      </c>
      <c r="C115" s="15">
        <v>6.2</v>
      </c>
      <c r="D115" s="16">
        <v>43.589399999999998</v>
      </c>
      <c r="E115" s="16">
        <v>-0.34399999999999997</v>
      </c>
      <c r="F115" s="16">
        <v>0.13389999999999999</v>
      </c>
      <c r="G115" s="16">
        <v>2.3400000000000001E-2</v>
      </c>
      <c r="H115" s="16">
        <v>-1.2999999999999999E-3</v>
      </c>
      <c r="I115" s="16">
        <v>-2.86E-2</v>
      </c>
    </row>
    <row r="116" spans="1:9" x14ac:dyDescent="0.2">
      <c r="A116" s="11" t="s">
        <v>72</v>
      </c>
      <c r="B116" s="11" t="s">
        <v>79</v>
      </c>
      <c r="C116" s="12">
        <v>6.4</v>
      </c>
      <c r="D116" s="13">
        <v>42.789700000000003</v>
      </c>
      <c r="E116" s="13">
        <v>-0.373</v>
      </c>
      <c r="F116" s="13">
        <v>0.14080000000000001</v>
      </c>
      <c r="G116" s="13">
        <v>2.3900000000000001E-2</v>
      </c>
      <c r="H116" s="13">
        <v>-1.2999999999999999E-3</v>
      </c>
      <c r="I116" s="13">
        <v>-3.1199999999999999E-2</v>
      </c>
    </row>
    <row r="117" spans="1:9" x14ac:dyDescent="0.2">
      <c r="A117" s="14" t="s">
        <v>72</v>
      </c>
      <c r="B117" s="14" t="s">
        <v>79</v>
      </c>
      <c r="C117" s="15">
        <v>6.4</v>
      </c>
      <c r="D117" s="16">
        <v>43.086500000000001</v>
      </c>
      <c r="E117" s="16">
        <v>-0.37269999999999998</v>
      </c>
      <c r="F117" s="16">
        <v>0.1394</v>
      </c>
      <c r="G117" s="16">
        <v>2.3900000000000001E-2</v>
      </c>
      <c r="H117" s="16">
        <v>-1.2999999999999999E-3</v>
      </c>
      <c r="I117" s="16">
        <v>-3.1199999999999999E-2</v>
      </c>
    </row>
    <row r="118" spans="1:9" x14ac:dyDescent="0.2">
      <c r="A118" s="11" t="s">
        <v>72</v>
      </c>
      <c r="B118" s="11" t="s">
        <v>79</v>
      </c>
      <c r="C118" s="12">
        <v>6.6</v>
      </c>
      <c r="D118" s="13">
        <v>42.821199999999997</v>
      </c>
      <c r="E118" s="13">
        <v>-0.40179999999999999</v>
      </c>
      <c r="F118" s="13">
        <v>0.14449999999999999</v>
      </c>
      <c r="G118" s="13">
        <v>2.4400000000000002E-2</v>
      </c>
      <c r="H118" s="13">
        <v>-1.2999999999999999E-3</v>
      </c>
      <c r="I118" s="13">
        <v>-3.3799999999999997E-2</v>
      </c>
    </row>
    <row r="119" spans="1:9" x14ac:dyDescent="0.2">
      <c r="A119" s="14" t="s">
        <v>72</v>
      </c>
      <c r="B119" s="14" t="s">
        <v>79</v>
      </c>
      <c r="C119" s="15">
        <v>6.6</v>
      </c>
      <c r="D119" s="16">
        <v>43.0792</v>
      </c>
      <c r="E119" s="16">
        <v>-0.40250000000000002</v>
      </c>
      <c r="F119" s="16">
        <v>0.1444</v>
      </c>
      <c r="G119" s="16">
        <v>2.4400000000000002E-2</v>
      </c>
      <c r="H119" s="16">
        <v>-1.2999999999999999E-3</v>
      </c>
      <c r="I119" s="16">
        <v>-3.3700000000000001E-2</v>
      </c>
    </row>
    <row r="120" spans="1:9" x14ac:dyDescent="0.2">
      <c r="A120" s="11" t="s">
        <v>72</v>
      </c>
      <c r="B120" s="11" t="s">
        <v>79</v>
      </c>
      <c r="C120" s="12">
        <v>6.8</v>
      </c>
      <c r="D120" s="13">
        <v>41.092199999999998</v>
      </c>
      <c r="E120" s="13">
        <v>-0.43319999999999997</v>
      </c>
      <c r="F120" s="13">
        <v>0.14910000000000001</v>
      </c>
      <c r="G120" s="13">
        <v>2.4899999999999999E-2</v>
      </c>
      <c r="H120" s="13">
        <v>-1.2999999999999999E-3</v>
      </c>
      <c r="I120" s="13">
        <v>-3.6499999999999998E-2</v>
      </c>
    </row>
    <row r="121" spans="1:9" x14ac:dyDescent="0.2">
      <c r="A121" s="14" t="s">
        <v>72</v>
      </c>
      <c r="B121" s="14" t="s">
        <v>79</v>
      </c>
      <c r="C121" s="15">
        <v>6.8</v>
      </c>
      <c r="D121" s="16">
        <v>41.897199999999998</v>
      </c>
      <c r="E121" s="16">
        <v>-0.43149999999999999</v>
      </c>
      <c r="F121" s="16">
        <v>0.14899999999999999</v>
      </c>
      <c r="G121" s="16">
        <v>2.4799999999999999E-2</v>
      </c>
      <c r="H121" s="16">
        <v>-1.2999999999999999E-3</v>
      </c>
      <c r="I121" s="16">
        <v>-3.6499999999999998E-2</v>
      </c>
    </row>
    <row r="122" spans="1:9" x14ac:dyDescent="0.2">
      <c r="A122" s="11" t="s">
        <v>72</v>
      </c>
      <c r="B122" s="11" t="s">
        <v>79</v>
      </c>
      <c r="C122" s="12">
        <v>7</v>
      </c>
      <c r="D122" s="13">
        <v>40.514400000000002</v>
      </c>
      <c r="E122" s="13">
        <v>-0.46389999999999998</v>
      </c>
      <c r="F122" s="13">
        <v>0.15559999999999999</v>
      </c>
      <c r="G122" s="13">
        <v>2.53E-2</v>
      </c>
      <c r="H122" s="13">
        <v>-1.2999999999999999E-3</v>
      </c>
      <c r="I122" s="13">
        <v>-3.9300000000000002E-2</v>
      </c>
    </row>
    <row r="123" spans="1:9" x14ac:dyDescent="0.2">
      <c r="A123" s="14" t="s">
        <v>72</v>
      </c>
      <c r="B123" s="14" t="s">
        <v>79</v>
      </c>
      <c r="C123" s="15">
        <v>7</v>
      </c>
      <c r="D123" s="16">
        <v>41.1965</v>
      </c>
      <c r="E123" s="16">
        <v>-0.4622</v>
      </c>
      <c r="F123" s="16">
        <v>0.1532</v>
      </c>
      <c r="G123" s="16">
        <v>2.53E-2</v>
      </c>
      <c r="H123" s="16">
        <v>-1.2999999999999999E-3</v>
      </c>
      <c r="I123" s="16">
        <v>-3.9300000000000002E-2</v>
      </c>
    </row>
    <row r="124" spans="1:9" x14ac:dyDescent="0.2">
      <c r="A124" s="11" t="s">
        <v>72</v>
      </c>
      <c r="B124" s="11" t="s">
        <v>79</v>
      </c>
      <c r="C124" s="12">
        <v>7.2</v>
      </c>
      <c r="D124" s="13">
        <v>39.764499999999998</v>
      </c>
      <c r="E124" s="13">
        <v>-0.49619999999999997</v>
      </c>
      <c r="F124" s="13">
        <v>0.1598</v>
      </c>
      <c r="G124" s="13">
        <v>2.58E-2</v>
      </c>
      <c r="H124" s="13">
        <v>-1.1999999999999999E-3</v>
      </c>
      <c r="I124" s="13">
        <v>-4.2200000000000001E-2</v>
      </c>
    </row>
    <row r="125" spans="1:9" x14ac:dyDescent="0.2">
      <c r="A125" s="14" t="s">
        <v>72</v>
      </c>
      <c r="B125" s="14" t="s">
        <v>79</v>
      </c>
      <c r="C125" s="15">
        <v>7.2</v>
      </c>
      <c r="D125" s="16">
        <v>30.4452</v>
      </c>
      <c r="E125" s="16">
        <v>-0.49399999999999999</v>
      </c>
      <c r="F125" s="16">
        <v>0.1176</v>
      </c>
      <c r="G125" s="16">
        <v>2.58E-2</v>
      </c>
      <c r="H125" s="16">
        <v>-1.1000000000000001E-3</v>
      </c>
      <c r="I125" s="16">
        <v>-4.2200000000000001E-2</v>
      </c>
    </row>
    <row r="126" spans="1:9" x14ac:dyDescent="0.2">
      <c r="A126" s="11" t="s">
        <v>72</v>
      </c>
      <c r="B126" s="11" t="s">
        <v>79</v>
      </c>
      <c r="C126" s="12">
        <v>7.4</v>
      </c>
      <c r="D126" s="13">
        <v>39.078000000000003</v>
      </c>
      <c r="E126" s="13">
        <v>-0.52790000000000004</v>
      </c>
      <c r="F126" s="13">
        <v>0.16250000000000001</v>
      </c>
      <c r="G126" s="13">
        <v>2.4299999999999999E-2</v>
      </c>
      <c r="H126" s="13">
        <v>-1.1000000000000001E-3</v>
      </c>
      <c r="I126" s="13">
        <v>-4.5100000000000001E-2</v>
      </c>
    </row>
    <row r="127" spans="1:9" x14ac:dyDescent="0.2">
      <c r="A127" s="14" t="s">
        <v>72</v>
      </c>
      <c r="B127" s="14" t="s">
        <v>79</v>
      </c>
      <c r="C127" s="15">
        <v>7.4</v>
      </c>
      <c r="D127" s="16">
        <v>39.489400000000003</v>
      </c>
      <c r="E127" s="16">
        <v>-0.52610000000000001</v>
      </c>
      <c r="F127" s="16">
        <v>0.16089999999999999</v>
      </c>
      <c r="G127" s="16">
        <v>2.4299999999999999E-2</v>
      </c>
      <c r="H127" s="16">
        <v>-1.1000000000000001E-3</v>
      </c>
      <c r="I127" s="16">
        <v>-4.5100000000000001E-2</v>
      </c>
    </row>
    <row r="128" spans="1:9" x14ac:dyDescent="0.2">
      <c r="A128" s="11" t="s">
        <v>72</v>
      </c>
      <c r="B128" s="11" t="s">
        <v>79</v>
      </c>
      <c r="C128" s="12">
        <v>7.6</v>
      </c>
      <c r="D128" s="13">
        <v>38.3155</v>
      </c>
      <c r="E128" s="13">
        <v>-0.55910000000000004</v>
      </c>
      <c r="F128" s="13">
        <v>0.16339999999999999</v>
      </c>
      <c r="G128" s="13">
        <v>2.4799999999999999E-2</v>
      </c>
      <c r="H128" s="13">
        <v>-1.1000000000000001E-3</v>
      </c>
      <c r="I128" s="13">
        <v>-4.8099999999999997E-2</v>
      </c>
    </row>
    <row r="129" spans="1:9" x14ac:dyDescent="0.2">
      <c r="A129" s="14" t="s">
        <v>72</v>
      </c>
      <c r="B129" s="14" t="s">
        <v>79</v>
      </c>
      <c r="C129" s="15">
        <v>7.6</v>
      </c>
      <c r="D129" s="16">
        <v>38.517299999999999</v>
      </c>
      <c r="E129" s="16">
        <v>-0.55800000000000005</v>
      </c>
      <c r="F129" s="16">
        <v>0.16259999999999999</v>
      </c>
      <c r="G129" s="16">
        <v>2.4799999999999999E-2</v>
      </c>
      <c r="H129" s="16">
        <v>-1.1000000000000001E-3</v>
      </c>
      <c r="I129" s="16">
        <v>-4.8099999999999997E-2</v>
      </c>
    </row>
    <row r="130" spans="1:9" x14ac:dyDescent="0.2">
      <c r="A130" s="11" t="s">
        <v>72</v>
      </c>
      <c r="B130" s="11" t="s">
        <v>79</v>
      </c>
      <c r="C130" s="12">
        <v>7.8</v>
      </c>
      <c r="D130" s="13">
        <v>37.580199999999998</v>
      </c>
      <c r="E130" s="13">
        <v>-0.59150000000000003</v>
      </c>
      <c r="F130" s="13">
        <v>0.16400000000000001</v>
      </c>
      <c r="G130" s="13">
        <v>2.52E-2</v>
      </c>
      <c r="H130" s="13">
        <v>-1E-3</v>
      </c>
      <c r="I130" s="13">
        <v>-5.1200000000000002E-2</v>
      </c>
    </row>
    <row r="131" spans="1:9" x14ac:dyDescent="0.2">
      <c r="A131" s="14" t="s">
        <v>72</v>
      </c>
      <c r="B131" s="14" t="s">
        <v>79</v>
      </c>
      <c r="C131" s="15">
        <v>7.8</v>
      </c>
      <c r="D131" s="16">
        <v>37.778300000000002</v>
      </c>
      <c r="E131" s="16">
        <v>-0.59030000000000005</v>
      </c>
      <c r="F131" s="16">
        <v>0.1633</v>
      </c>
      <c r="G131" s="16">
        <v>2.52E-2</v>
      </c>
      <c r="H131" s="16">
        <v>-1E-3</v>
      </c>
      <c r="I131" s="16">
        <v>-5.1200000000000002E-2</v>
      </c>
    </row>
    <row r="132" spans="1:9" x14ac:dyDescent="0.2">
      <c r="A132" s="11" t="s">
        <v>72</v>
      </c>
      <c r="B132" s="11" t="s">
        <v>79</v>
      </c>
      <c r="C132" s="12">
        <v>8</v>
      </c>
      <c r="D132" s="13">
        <v>37.065399999999997</v>
      </c>
      <c r="E132" s="13">
        <v>-0.62370000000000003</v>
      </c>
      <c r="F132" s="13">
        <v>0.16370000000000001</v>
      </c>
      <c r="G132" s="13">
        <v>2.5700000000000001E-2</v>
      </c>
      <c r="H132" s="13">
        <v>-1E-3</v>
      </c>
      <c r="I132" s="13">
        <v>-5.4300000000000001E-2</v>
      </c>
    </row>
    <row r="133" spans="1:9" x14ac:dyDescent="0.2">
      <c r="A133" s="14" t="s">
        <v>72</v>
      </c>
      <c r="B133" s="14" t="s">
        <v>79</v>
      </c>
      <c r="C133" s="15">
        <v>8</v>
      </c>
      <c r="D133" s="16">
        <v>37.4544</v>
      </c>
      <c r="E133" s="16">
        <v>-0.62090000000000001</v>
      </c>
      <c r="F133" s="16">
        <v>0.16220000000000001</v>
      </c>
      <c r="G133" s="16">
        <v>2.5700000000000001E-2</v>
      </c>
      <c r="H133" s="16">
        <v>-1E-3</v>
      </c>
      <c r="I133" s="16">
        <v>-5.4300000000000001E-2</v>
      </c>
    </row>
    <row r="135" spans="1:9" x14ac:dyDescent="0.2">
      <c r="A135" s="31" t="s">
        <v>84</v>
      </c>
      <c r="B135" s="29"/>
      <c r="C135" s="29"/>
      <c r="D135" s="29"/>
      <c r="E135" s="29"/>
      <c r="F135" s="29"/>
      <c r="G135" s="29"/>
      <c r="H135" s="29"/>
    </row>
    <row r="136" spans="1:9" x14ac:dyDescent="0.2">
      <c r="A136" s="10" t="s">
        <v>54</v>
      </c>
      <c r="B136" s="10" t="s">
        <v>55</v>
      </c>
      <c r="C136" s="10" t="s">
        <v>56</v>
      </c>
      <c r="D136" s="10" t="s">
        <v>57</v>
      </c>
      <c r="E136" s="10" t="s">
        <v>58</v>
      </c>
      <c r="F136" s="10" t="s">
        <v>59</v>
      </c>
      <c r="G136" s="10" t="s">
        <v>60</v>
      </c>
      <c r="H136" s="10" t="s">
        <v>61</v>
      </c>
      <c r="I136" s="10" t="s">
        <v>62</v>
      </c>
    </row>
    <row r="137" spans="1:9" x14ac:dyDescent="0.2">
      <c r="A137" s="11" t="s">
        <v>74</v>
      </c>
      <c r="B137" s="11" t="s">
        <v>79</v>
      </c>
      <c r="C137" s="12">
        <v>5.6</v>
      </c>
      <c r="D137" s="13">
        <v>42.551299999999998</v>
      </c>
      <c r="E137" s="13">
        <v>-0.2959</v>
      </c>
      <c r="F137" s="13">
        <v>0.1206</v>
      </c>
      <c r="G137" s="13">
        <v>2.41E-2</v>
      </c>
      <c r="H137" s="13">
        <v>-1E-3</v>
      </c>
      <c r="I137" s="13">
        <v>-3.0099999999999998E-2</v>
      </c>
    </row>
    <row r="138" spans="1:9" x14ac:dyDescent="0.2">
      <c r="A138" s="14" t="s">
        <v>74</v>
      </c>
      <c r="B138" s="14" t="s">
        <v>79</v>
      </c>
      <c r="C138" s="15">
        <v>6</v>
      </c>
      <c r="D138" s="16">
        <v>40.596600000000002</v>
      </c>
      <c r="E138" s="16">
        <v>-0.35899999999999999</v>
      </c>
      <c r="F138" s="16">
        <v>0.1353</v>
      </c>
      <c r="G138" s="16">
        <v>2.52E-2</v>
      </c>
      <c r="H138" s="16">
        <v>-8.9999999999999998E-4</v>
      </c>
      <c r="I138" s="16">
        <v>-3.5900000000000001E-2</v>
      </c>
    </row>
    <row r="139" spans="1:9" x14ac:dyDescent="0.2">
      <c r="A139" s="11" t="s">
        <v>74</v>
      </c>
      <c r="B139" s="11" t="s">
        <v>79</v>
      </c>
      <c r="C139" s="12">
        <v>6.4</v>
      </c>
      <c r="D139" s="13">
        <v>38.855600000000003</v>
      </c>
      <c r="E139" s="13">
        <v>-0.41</v>
      </c>
      <c r="F139" s="13">
        <v>0.1484</v>
      </c>
      <c r="G139" s="13">
        <v>2.63E-2</v>
      </c>
      <c r="H139" s="13">
        <v>-8.9999999999999998E-4</v>
      </c>
      <c r="I139" s="13">
        <v>-4.2200000000000001E-2</v>
      </c>
    </row>
    <row r="140" spans="1:9" x14ac:dyDescent="0.2">
      <c r="A140" s="14" t="s">
        <v>74</v>
      </c>
      <c r="B140" s="14" t="s">
        <v>79</v>
      </c>
      <c r="C140" s="15">
        <v>6.8</v>
      </c>
      <c r="D140" s="16">
        <v>38.929600000000001</v>
      </c>
      <c r="E140" s="16">
        <v>-0.47360000000000002</v>
      </c>
      <c r="F140" s="16">
        <v>0.1598</v>
      </c>
      <c r="G140" s="16">
        <v>2.75E-2</v>
      </c>
      <c r="H140" s="16">
        <v>-8.0000000000000004E-4</v>
      </c>
      <c r="I140" s="16">
        <v>-4.9099999999999998E-2</v>
      </c>
    </row>
    <row r="141" spans="1:9" x14ac:dyDescent="0.2">
      <c r="A141" s="11" t="s">
        <v>74</v>
      </c>
      <c r="B141" s="11" t="s">
        <v>79</v>
      </c>
      <c r="C141" s="12">
        <v>7.2</v>
      </c>
      <c r="D141" s="13">
        <v>35.065399999999997</v>
      </c>
      <c r="E141" s="13">
        <v>-0.54010000000000002</v>
      </c>
      <c r="F141" s="13">
        <v>0.16750000000000001</v>
      </c>
      <c r="G141" s="13">
        <v>2.6499999999999999E-2</v>
      </c>
      <c r="H141" s="13">
        <v>-6.9999999999999999E-4</v>
      </c>
      <c r="I141" s="13">
        <v>-5.6399999999999999E-2</v>
      </c>
    </row>
    <row r="142" spans="1:9" x14ac:dyDescent="0.2">
      <c r="A142" s="14" t="s">
        <v>74</v>
      </c>
      <c r="B142" s="14" t="s">
        <v>79</v>
      </c>
      <c r="C142" s="15">
        <v>7.6</v>
      </c>
      <c r="D142" s="16">
        <v>33.470300000000002</v>
      </c>
      <c r="E142" s="16">
        <v>-0.60860000000000003</v>
      </c>
      <c r="F142" s="16">
        <v>0.1704</v>
      </c>
      <c r="G142" s="16">
        <v>2.75E-2</v>
      </c>
      <c r="H142" s="16">
        <v>-6.9999999999999999E-4</v>
      </c>
      <c r="I142" s="16">
        <v>-6.4100000000000004E-2</v>
      </c>
    </row>
    <row r="143" spans="1:9" x14ac:dyDescent="0.2">
      <c r="A143" s="11" t="s">
        <v>74</v>
      </c>
      <c r="B143" s="11" t="s">
        <v>79</v>
      </c>
      <c r="C143" s="12">
        <v>8</v>
      </c>
      <c r="D143" s="13">
        <v>31.460799999999999</v>
      </c>
      <c r="E143" s="13">
        <v>-0.67800000000000005</v>
      </c>
      <c r="F143" s="13">
        <v>0.16819999999999999</v>
      </c>
      <c r="G143" s="13">
        <v>2.8500000000000001E-2</v>
      </c>
      <c r="H143" s="13">
        <v>-5.0000000000000001E-4</v>
      </c>
      <c r="I143" s="13">
        <v>-7.22E-2</v>
      </c>
    </row>
    <row r="145" spans="1:9" x14ac:dyDescent="0.2">
      <c r="A145" s="31" t="s">
        <v>85</v>
      </c>
      <c r="B145" s="29"/>
      <c r="C145" s="29"/>
      <c r="D145" s="29"/>
      <c r="E145" s="29"/>
      <c r="F145" s="29"/>
      <c r="G145" s="29"/>
      <c r="H145" s="29"/>
    </row>
    <row r="146" spans="1:9" x14ac:dyDescent="0.2">
      <c r="A146" s="10" t="s">
        <v>54</v>
      </c>
      <c r="B146" s="10" t="s">
        <v>55</v>
      </c>
      <c r="C146" s="10" t="s">
        <v>56</v>
      </c>
      <c r="D146" s="10" t="s">
        <v>57</v>
      </c>
      <c r="E146" s="10" t="s">
        <v>58</v>
      </c>
      <c r="F146" s="10" t="s">
        <v>59</v>
      </c>
      <c r="G146" s="10" t="s">
        <v>60</v>
      </c>
      <c r="H146" s="10" t="s">
        <v>61</v>
      </c>
      <c r="I146" s="10" t="s">
        <v>62</v>
      </c>
    </row>
    <row r="147" spans="1:9" x14ac:dyDescent="0.2">
      <c r="A147" s="11" t="s">
        <v>76</v>
      </c>
      <c r="B147" s="11" t="s">
        <v>79</v>
      </c>
      <c r="C147" s="12">
        <v>5.6</v>
      </c>
      <c r="D147" s="13">
        <v>38.360300000000002</v>
      </c>
      <c r="E147" s="13">
        <v>-0.32540000000000002</v>
      </c>
      <c r="F147" s="13">
        <v>0.1096</v>
      </c>
      <c r="G147" s="13">
        <v>3.09E-2</v>
      </c>
      <c r="H147" s="13">
        <v>-5.0000000000000001E-4</v>
      </c>
      <c r="I147" s="13">
        <v>-6.2799999999999995E-2</v>
      </c>
    </row>
    <row r="148" spans="1:9" x14ac:dyDescent="0.2">
      <c r="A148" s="14" t="s">
        <v>76</v>
      </c>
      <c r="B148" s="14" t="s">
        <v>79</v>
      </c>
      <c r="C148" s="15">
        <v>6</v>
      </c>
      <c r="D148" s="16">
        <v>36.7256</v>
      </c>
      <c r="E148" s="16">
        <v>-0.37409999999999999</v>
      </c>
      <c r="F148" s="16">
        <v>0.1207</v>
      </c>
      <c r="G148" s="16">
        <v>3.2500000000000001E-2</v>
      </c>
      <c r="H148" s="16">
        <v>-5.0000000000000001E-4</v>
      </c>
      <c r="I148" s="16">
        <v>-7.2499999999999995E-2</v>
      </c>
    </row>
    <row r="149" spans="1:9" x14ac:dyDescent="0.2">
      <c r="A149" s="11" t="s">
        <v>76</v>
      </c>
      <c r="B149" s="11" t="s">
        <v>79</v>
      </c>
      <c r="C149" s="12">
        <v>6.4</v>
      </c>
      <c r="D149" s="13">
        <v>35.011699999999998</v>
      </c>
      <c r="E149" s="13">
        <v>-0.42630000000000001</v>
      </c>
      <c r="F149" s="13">
        <v>0.1305</v>
      </c>
      <c r="G149" s="13">
        <v>3.4099999999999998E-2</v>
      </c>
      <c r="H149" s="13">
        <v>-5.0000000000000001E-4</v>
      </c>
      <c r="I149" s="13">
        <v>-9.4E-2</v>
      </c>
    </row>
    <row r="150" spans="1:9" x14ac:dyDescent="0.2">
      <c r="A150" s="14" t="s">
        <v>76</v>
      </c>
      <c r="B150" s="14" t="s">
        <v>79</v>
      </c>
      <c r="C150" s="15">
        <v>6.8</v>
      </c>
      <c r="D150" s="16">
        <v>32.729199999999999</v>
      </c>
      <c r="E150" s="16">
        <v>-0.4803</v>
      </c>
      <c r="F150" s="16">
        <v>0.1386</v>
      </c>
      <c r="G150" s="16">
        <v>3.3000000000000002E-2</v>
      </c>
      <c r="H150" s="16">
        <v>-2.9999999999999997E-4</v>
      </c>
      <c r="I150" s="16">
        <v>-0.104</v>
      </c>
    </row>
    <row r="151" spans="1:9" x14ac:dyDescent="0.2">
      <c r="A151" s="11" t="s">
        <v>76</v>
      </c>
      <c r="B151" s="11" t="s">
        <v>79</v>
      </c>
      <c r="C151" s="12">
        <v>7.2</v>
      </c>
      <c r="D151" s="13">
        <v>31.839700000000001</v>
      </c>
      <c r="E151" s="13">
        <v>-0.53800000000000003</v>
      </c>
      <c r="F151" s="13">
        <v>0.14530000000000001</v>
      </c>
      <c r="G151" s="13">
        <v>3.4700000000000002E-2</v>
      </c>
      <c r="H151" s="13">
        <v>-2.9999999999999997E-4</v>
      </c>
      <c r="I151" s="13">
        <v>-0.10580000000000001</v>
      </c>
    </row>
    <row r="152" spans="1:9" x14ac:dyDescent="0.2">
      <c r="A152" s="14" t="s">
        <v>76</v>
      </c>
      <c r="B152" s="14" t="s">
        <v>79</v>
      </c>
      <c r="C152" s="15">
        <v>7.6</v>
      </c>
      <c r="D152" s="16">
        <v>30.346499999999999</v>
      </c>
      <c r="E152" s="16">
        <v>-0.59799999999999998</v>
      </c>
      <c r="F152" s="16">
        <v>0.14960000000000001</v>
      </c>
      <c r="G152" s="16">
        <v>3.1899999999999998E-2</v>
      </c>
      <c r="H152" s="16">
        <v>-2.0000000000000001E-4</v>
      </c>
      <c r="I152" s="16">
        <v>-0.1782</v>
      </c>
    </row>
    <row r="153" spans="1:9" x14ac:dyDescent="0.2">
      <c r="A153" s="11" t="s">
        <v>76</v>
      </c>
      <c r="B153" s="11" t="s">
        <v>79</v>
      </c>
      <c r="C153" s="12">
        <v>8</v>
      </c>
      <c r="D153" s="13">
        <v>28.514199999999999</v>
      </c>
      <c r="E153" s="13">
        <v>-0.65920000000000001</v>
      </c>
      <c r="F153" s="13">
        <v>0.14960000000000001</v>
      </c>
      <c r="G153" s="13">
        <v>1.46E-2</v>
      </c>
      <c r="H153" s="13">
        <v>-1E-4</v>
      </c>
      <c r="I153" s="13">
        <v>-0.1782</v>
      </c>
    </row>
  </sheetData>
  <mergeCells count="8">
    <mergeCell ref="A135:H135"/>
    <mergeCell ref="A145:H145"/>
    <mergeCell ref="A1:I1"/>
    <mergeCell ref="A2:H2"/>
    <mergeCell ref="A23:H23"/>
    <mergeCell ref="A48:H48"/>
    <mergeCell ref="A77:H77"/>
    <mergeCell ref="A106:H10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Sheet1</vt:lpstr>
      <vt:lpstr>Part 1 calls</vt:lpstr>
      <vt:lpstr>Parrt 1 puts</vt:lpstr>
      <vt:lpstr>Part 2</vt:lpstr>
      <vt:lpstr>Part 3</vt:lpstr>
      <vt:lpstr>Calls Refinitive</vt:lpstr>
      <vt:lpstr>Puts Refinitive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Edoardo Pandolfo</cp:lastModifiedBy>
  <dcterms:created xsi:type="dcterms:W3CDTF">2022-03-26T20:44:27Z</dcterms:created>
  <dcterms:modified xsi:type="dcterms:W3CDTF">2026-04-15T16:54:16Z</dcterms:modified>
</cp:coreProperties>
</file>