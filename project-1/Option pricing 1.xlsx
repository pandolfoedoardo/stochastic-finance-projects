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doardopandolfo/Desktop/Primo anno magistrale/"/>
    </mc:Choice>
  </mc:AlternateContent>
  <xr:revisionPtr revIDLastSave="0" documentId="13_ncr:1_{72DCBA77-92B7-1348-A4F3-6129D6ED1AA8}" xr6:coauthVersionLast="47" xr6:coauthVersionMax="47" xr10:uidLastSave="{00000000-0000-0000-0000-000000000000}"/>
  <bookViews>
    <workbookView xWindow="0" yWindow="680" windowWidth="29400" windowHeight="16800" xr2:uid="{97C52AF5-6BEC-EB4E-8B77-6953CA3B642A}"/>
  </bookViews>
  <sheets>
    <sheet name="3 months" sheetId="1" r:id="rId1"/>
    <sheet name="6 month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7" i="2" l="1"/>
  <c r="M21" i="2" s="1"/>
  <c r="K13" i="1"/>
  <c r="J34" i="1"/>
  <c r="K25" i="2"/>
  <c r="R6" i="2"/>
  <c r="H30" i="1"/>
  <c r="J12" i="2"/>
  <c r="J11" i="2"/>
  <c r="K7" i="2"/>
  <c r="K8" i="2" s="1"/>
  <c r="H12" i="1"/>
  <c r="J5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O7" i="1"/>
  <c r="I2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11" i="1"/>
  <c r="D12" i="1"/>
  <c r="D10" i="1"/>
  <c r="G10" i="1"/>
  <c r="H13" i="1" l="1"/>
  <c r="G17" i="1" s="1"/>
  <c r="I30" i="1" s="1"/>
  <c r="L19" i="2"/>
  <c r="I24" i="1"/>
  <c r="G16" i="1"/>
  <c r="M22" i="2" l="1"/>
  <c r="M29" i="2" s="1"/>
  <c r="J26" i="1"/>
  <c r="J27" i="1" s="1"/>
</calcChain>
</file>

<file path=xl/sharedStrings.xml><?xml version="1.0" encoding="utf-8"?>
<sst xmlns="http://schemas.openxmlformats.org/spreadsheetml/2006/main" count="78" uniqueCount="52">
  <si>
    <t>STOCK:</t>
  </si>
  <si>
    <t>iShares Bitcoin Trust ETF (IBIT)</t>
  </si>
  <si>
    <t>Optioin target:</t>
  </si>
  <si>
    <t>prezzo opzione: ATM</t>
  </si>
  <si>
    <t xml:space="preserve">contract name </t>
  </si>
  <si>
    <t>Strike</t>
  </si>
  <si>
    <t>Last Price</t>
  </si>
  <si>
    <t>Bid</t>
  </si>
  <si>
    <t>Ask</t>
  </si>
  <si>
    <t>Change</t>
  </si>
  <si>
    <t>%Change</t>
  </si>
  <si>
    <t>Volume</t>
  </si>
  <si>
    <t>Open interest</t>
  </si>
  <si>
    <t>Implied Volatility</t>
  </si>
  <si>
    <t>Data</t>
  </si>
  <si>
    <t>Adj Close (USD)</t>
  </si>
  <si>
    <t>VALUTA:</t>
  </si>
  <si>
    <t>U.S DOLLARS</t>
  </si>
  <si>
    <t>numero di dati:</t>
  </si>
  <si>
    <t>deviazione standard:</t>
  </si>
  <si>
    <t>Daily Returns</t>
  </si>
  <si>
    <t>sigmaY</t>
  </si>
  <si>
    <t>Parameters u and d of the binomial model</t>
  </si>
  <si>
    <t>u:</t>
  </si>
  <si>
    <t>d:</t>
  </si>
  <si>
    <t>#make sense because d&lt;u</t>
  </si>
  <si>
    <t>simple compounding</t>
  </si>
  <si>
    <t>Interest rate for a U.S: Bond for the next 3 Months (Treasury bill) (source: global rates)</t>
  </si>
  <si>
    <t>6 months</t>
  </si>
  <si>
    <t>#nella formula c'è 3/12 perché</t>
  </si>
  <si>
    <t>il nostro sigma è yearly</t>
  </si>
  <si>
    <t>simple discounting</t>
  </si>
  <si>
    <t>RISK NEUTRAL PROBABILITY Q</t>
  </si>
  <si>
    <t>q=</t>
  </si>
  <si>
    <t>1-q=</t>
  </si>
  <si>
    <t>underlying price</t>
  </si>
  <si>
    <t>target price</t>
  </si>
  <si>
    <t>if u</t>
  </si>
  <si>
    <t>if d</t>
  </si>
  <si>
    <t>payoffs of the call</t>
  </si>
  <si>
    <t>#è comunque valutatato nel senso che renderebbe 3,66 in un anno</t>
  </si>
  <si>
    <t>#sigma*rad(252)</t>
  </si>
  <si>
    <t>!!! Osserva che essenzialmente tutte le formule contengono deltaT con T che è l'incremente dei tempi</t>
  </si>
  <si>
    <t>che vogliamo considerare. Se per esempio avessi voluto considerare due tempi, avrei dovuto fare i calcoli con 1,5/12 al posto di 3/12 (tenendo sempre sigma yearly)</t>
  </si>
  <si>
    <t>PRICE OF CALL OPTION</t>
  </si>
  <si>
    <t>using only onte time interval</t>
  </si>
  <si>
    <t>for interest rates: boot strapping</t>
  </si>
  <si>
    <t>6 MONTHS</t>
  </si>
  <si>
    <t>#6/12 al posto di 3/12</t>
  </si>
  <si>
    <t>bid</t>
  </si>
  <si>
    <t>ask</t>
  </si>
  <si>
    <t>strike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</si>
</sst>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4"/>
      <color rgb="FF232A31"/>
      <name val="Arial"/>
      <family val="2"/>
    </font>
    <font>
      <sz val="14"/>
      <color rgb="FF232A31"/>
      <name val="Arial"/>
      <family val="2"/>
    </font>
    <font>
      <u/>
      <sz val="12"/>
      <color theme="10"/>
      <name val="Calibri"/>
      <family val="2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  <font>
      <b/>
      <sz val="20"/>
      <color rgb="FF1F1F1F"/>
      <name val="Arial"/>
      <family val="2"/>
    </font>
    <font>
      <b/>
      <sz val="14"/>
      <color rgb="FF1F1F1F"/>
      <name val="Arial"/>
      <family val="2"/>
    </font>
    <font>
      <sz val="12"/>
      <color rgb="FFFF0000"/>
      <name val="Arial"/>
      <family val="2"/>
    </font>
    <font>
      <b/>
      <sz val="12"/>
      <color theme="1"/>
      <name val="Arial"/>
      <family val="2"/>
    </font>
    <font>
      <b/>
      <sz val="16"/>
      <color rgb="FF1F1F1F"/>
      <name val="Arial"/>
      <family val="2"/>
    </font>
    <font>
      <sz val="12"/>
      <color theme="4" tint="0.59999389629810485"/>
      <name val="Calibri"/>
      <family val="2"/>
      <scheme val="minor"/>
    </font>
    <font>
      <sz val="12"/>
      <color theme="5"/>
      <name val="Calibri"/>
      <family val="2"/>
      <scheme val="minor"/>
    </font>
    <font>
      <b/>
      <sz val="14"/>
      <color rgb="FFC00000"/>
      <name val="Arial"/>
      <family val="2"/>
    </font>
    <font>
      <sz val="12"/>
      <color rgb="FFC0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8" tint="0.59999389629810485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34">
    <xf numFmtId="0" fontId="0" fillId="0" borderId="0" xfId="0"/>
    <xf numFmtId="0" fontId="4" fillId="0" borderId="0" xfId="0" applyFont="1"/>
    <xf numFmtId="0" fontId="6" fillId="0" borderId="0" xfId="3"/>
    <xf numFmtId="22" fontId="5" fillId="0" borderId="0" xfId="0" applyNumberFormat="1" applyFont="1"/>
    <xf numFmtId="0" fontId="5" fillId="0" borderId="0" xfId="0" applyFont="1"/>
    <xf numFmtId="0" fontId="8" fillId="0" borderId="0" xfId="0" applyFont="1"/>
    <xf numFmtId="14" fontId="0" fillId="0" borderId="0" xfId="0" applyNumberFormat="1"/>
    <xf numFmtId="14" fontId="7" fillId="0" borderId="0" xfId="0" applyNumberFormat="1" applyFont="1"/>
    <xf numFmtId="0" fontId="7" fillId="0" borderId="0" xfId="0" applyFont="1"/>
    <xf numFmtId="2" fontId="0" fillId="0" borderId="0" xfId="0" applyNumberFormat="1" applyAlignment="1">
      <alignment horizontal="right"/>
    </xf>
    <xf numFmtId="2" fontId="7" fillId="0" borderId="0" xfId="1" applyNumberFormat="1" applyFont="1" applyAlignment="1">
      <alignment horizontal="right"/>
    </xf>
    <xf numFmtId="2" fontId="7" fillId="0" borderId="0" xfId="0" applyNumberFormat="1" applyFont="1" applyAlignment="1">
      <alignment horizontal="right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2" fillId="0" borderId="0" xfId="0" applyFont="1"/>
    <xf numFmtId="0" fontId="12" fillId="0" borderId="0" xfId="0" applyFont="1"/>
    <xf numFmtId="10" fontId="2" fillId="0" borderId="0" xfId="2" applyNumberFormat="1" applyFont="1"/>
    <xf numFmtId="0" fontId="3" fillId="0" borderId="0" xfId="0" applyFont="1"/>
    <xf numFmtId="10" fontId="0" fillId="0" borderId="0" xfId="2" applyNumberFormat="1" applyFont="1"/>
    <xf numFmtId="10" fontId="5" fillId="0" borderId="0" xfId="2" applyNumberFormat="1" applyFont="1"/>
    <xf numFmtId="10" fontId="5" fillId="0" borderId="0" xfId="0" applyNumberFormat="1" applyFont="1"/>
    <xf numFmtId="0" fontId="7" fillId="0" borderId="1" xfId="0" applyFont="1" applyBorder="1"/>
    <xf numFmtId="0" fontId="8" fillId="0" borderId="1" xfId="0" applyFont="1" applyBorder="1"/>
    <xf numFmtId="0" fontId="3" fillId="0" borderId="1" xfId="0" applyFont="1" applyBorder="1"/>
    <xf numFmtId="0" fontId="0" fillId="0" borderId="1" xfId="0" applyBorder="1"/>
    <xf numFmtId="0" fontId="13" fillId="0" borderId="1" xfId="0" applyFont="1" applyBorder="1" applyAlignment="1">
      <alignment wrapText="1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10" fontId="1" fillId="0" borderId="0" xfId="2" applyNumberFormat="1" applyFont="1"/>
  </cellXfs>
  <cellStyles count="4">
    <cellStyle name="Collegamento ipertestuale" xfId="3" builtinId="8"/>
    <cellStyle name="Normale" xfId="0" builtinId="0"/>
    <cellStyle name="Percentuale" xfId="2" builtinId="5"/>
    <cellStyle name="Valuta" xfId="1" builtinId="4"/>
  </cellStyles>
  <dxfs count="0"/>
  <tableStyles count="0" defaultTableStyle="TableStyleMedium2" defaultPivotStyle="PivotStyleLight16"/>
  <colors>
    <mruColors>
      <color rgb="FFC54B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it-IT" b="1">
                <a:solidFill>
                  <a:schemeClr val="tx1"/>
                </a:solidFill>
              </a:rPr>
              <a:t>IBIT</a:t>
            </a:r>
            <a:r>
              <a:rPr lang="it-IT" b="1" baseline="0">
                <a:solidFill>
                  <a:schemeClr val="tx1"/>
                </a:solidFill>
              </a:rPr>
              <a:t> Value- last 6 Months</a:t>
            </a:r>
            <a:endParaRPr lang="it-IT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C54BC4"/>
              </a:solidFill>
              <a:round/>
            </a:ln>
            <a:effectLst/>
          </c:spPr>
          <c:marker>
            <c:symbol val="none"/>
          </c:marker>
          <c:cat>
            <c:numRef>
              <c:f>'6 months'!$C$4:$C$128</c:f>
              <c:numCache>
                <c:formatCode>m/d/yy</c:formatCode>
                <c:ptCount val="125"/>
                <c:pt idx="0">
                  <c:v>46091</c:v>
                </c:pt>
                <c:pt idx="1">
                  <c:v>46090</c:v>
                </c:pt>
                <c:pt idx="2">
                  <c:v>46087</c:v>
                </c:pt>
                <c:pt idx="3">
                  <c:v>46086</c:v>
                </c:pt>
                <c:pt idx="4">
                  <c:v>46085</c:v>
                </c:pt>
                <c:pt idx="5">
                  <c:v>46084</c:v>
                </c:pt>
                <c:pt idx="6">
                  <c:v>46083</c:v>
                </c:pt>
                <c:pt idx="7">
                  <c:v>46080</c:v>
                </c:pt>
                <c:pt idx="8">
                  <c:v>46079</c:v>
                </c:pt>
                <c:pt idx="9">
                  <c:v>46078</c:v>
                </c:pt>
                <c:pt idx="10">
                  <c:v>46077</c:v>
                </c:pt>
                <c:pt idx="11">
                  <c:v>46076</c:v>
                </c:pt>
                <c:pt idx="12">
                  <c:v>46073</c:v>
                </c:pt>
                <c:pt idx="13">
                  <c:v>46072</c:v>
                </c:pt>
                <c:pt idx="14">
                  <c:v>46071</c:v>
                </c:pt>
                <c:pt idx="15">
                  <c:v>46070</c:v>
                </c:pt>
                <c:pt idx="16">
                  <c:v>46066</c:v>
                </c:pt>
                <c:pt idx="17">
                  <c:v>46065</c:v>
                </c:pt>
                <c:pt idx="18">
                  <c:v>46064</c:v>
                </c:pt>
                <c:pt idx="19">
                  <c:v>46063</c:v>
                </c:pt>
                <c:pt idx="20">
                  <c:v>46062</c:v>
                </c:pt>
                <c:pt idx="21">
                  <c:v>46059</c:v>
                </c:pt>
                <c:pt idx="22">
                  <c:v>46058</c:v>
                </c:pt>
                <c:pt idx="23">
                  <c:v>46057</c:v>
                </c:pt>
                <c:pt idx="24">
                  <c:v>46056</c:v>
                </c:pt>
                <c:pt idx="25">
                  <c:v>46055</c:v>
                </c:pt>
                <c:pt idx="26">
                  <c:v>46052</c:v>
                </c:pt>
                <c:pt idx="27">
                  <c:v>46051</c:v>
                </c:pt>
                <c:pt idx="28">
                  <c:v>46050</c:v>
                </c:pt>
                <c:pt idx="29">
                  <c:v>46049</c:v>
                </c:pt>
                <c:pt idx="30">
                  <c:v>46048</c:v>
                </c:pt>
                <c:pt idx="31">
                  <c:v>46045</c:v>
                </c:pt>
                <c:pt idx="32">
                  <c:v>46044</c:v>
                </c:pt>
                <c:pt idx="33">
                  <c:v>46043</c:v>
                </c:pt>
                <c:pt idx="34">
                  <c:v>46042</c:v>
                </c:pt>
                <c:pt idx="35">
                  <c:v>46038</c:v>
                </c:pt>
                <c:pt idx="36">
                  <c:v>46037</c:v>
                </c:pt>
                <c:pt idx="37">
                  <c:v>46036</c:v>
                </c:pt>
                <c:pt idx="38">
                  <c:v>46035</c:v>
                </c:pt>
                <c:pt idx="39">
                  <c:v>46034</c:v>
                </c:pt>
                <c:pt idx="40">
                  <c:v>46031</c:v>
                </c:pt>
                <c:pt idx="41">
                  <c:v>46030</c:v>
                </c:pt>
                <c:pt idx="42">
                  <c:v>46029</c:v>
                </c:pt>
                <c:pt idx="43">
                  <c:v>46028</c:v>
                </c:pt>
                <c:pt idx="44">
                  <c:v>46027</c:v>
                </c:pt>
                <c:pt idx="45">
                  <c:v>46024</c:v>
                </c:pt>
                <c:pt idx="46">
                  <c:v>46022</c:v>
                </c:pt>
                <c:pt idx="47">
                  <c:v>46021</c:v>
                </c:pt>
                <c:pt idx="48">
                  <c:v>46020</c:v>
                </c:pt>
                <c:pt idx="49">
                  <c:v>46017</c:v>
                </c:pt>
                <c:pt idx="50">
                  <c:v>46015</c:v>
                </c:pt>
                <c:pt idx="51">
                  <c:v>46014</c:v>
                </c:pt>
                <c:pt idx="52">
                  <c:v>46013</c:v>
                </c:pt>
                <c:pt idx="53">
                  <c:v>46010</c:v>
                </c:pt>
                <c:pt idx="54">
                  <c:v>46009</c:v>
                </c:pt>
                <c:pt idx="55">
                  <c:v>46008</c:v>
                </c:pt>
                <c:pt idx="56">
                  <c:v>46007</c:v>
                </c:pt>
                <c:pt idx="57">
                  <c:v>46006</c:v>
                </c:pt>
                <c:pt idx="58">
                  <c:v>46003</c:v>
                </c:pt>
                <c:pt idx="59">
                  <c:v>46002</c:v>
                </c:pt>
                <c:pt idx="60">
                  <c:v>46001</c:v>
                </c:pt>
                <c:pt idx="61">
                  <c:v>46000</c:v>
                </c:pt>
                <c:pt idx="62">
                  <c:v>45999</c:v>
                </c:pt>
                <c:pt idx="63">
                  <c:v>45996</c:v>
                </c:pt>
                <c:pt idx="64">
                  <c:v>45995</c:v>
                </c:pt>
                <c:pt idx="65">
                  <c:v>45994</c:v>
                </c:pt>
                <c:pt idx="66">
                  <c:v>45993</c:v>
                </c:pt>
                <c:pt idx="67">
                  <c:v>45992</c:v>
                </c:pt>
                <c:pt idx="68">
                  <c:v>45989</c:v>
                </c:pt>
                <c:pt idx="69">
                  <c:v>45987</c:v>
                </c:pt>
                <c:pt idx="70">
                  <c:v>45986</c:v>
                </c:pt>
                <c:pt idx="71">
                  <c:v>45985</c:v>
                </c:pt>
                <c:pt idx="72">
                  <c:v>45982</c:v>
                </c:pt>
                <c:pt idx="73">
                  <c:v>45981</c:v>
                </c:pt>
                <c:pt idx="74">
                  <c:v>45980</c:v>
                </c:pt>
                <c:pt idx="75">
                  <c:v>45979</c:v>
                </c:pt>
                <c:pt idx="76">
                  <c:v>45978</c:v>
                </c:pt>
                <c:pt idx="77">
                  <c:v>45975</c:v>
                </c:pt>
                <c:pt idx="78">
                  <c:v>45974</c:v>
                </c:pt>
                <c:pt idx="79">
                  <c:v>45973</c:v>
                </c:pt>
                <c:pt idx="80">
                  <c:v>45972</c:v>
                </c:pt>
                <c:pt idx="81">
                  <c:v>45971</c:v>
                </c:pt>
                <c:pt idx="82">
                  <c:v>45968</c:v>
                </c:pt>
                <c:pt idx="83">
                  <c:v>45967</c:v>
                </c:pt>
                <c:pt idx="84">
                  <c:v>45966</c:v>
                </c:pt>
                <c:pt idx="85">
                  <c:v>45965</c:v>
                </c:pt>
                <c:pt idx="86">
                  <c:v>45964</c:v>
                </c:pt>
                <c:pt idx="87">
                  <c:v>45961</c:v>
                </c:pt>
                <c:pt idx="88">
                  <c:v>45960</c:v>
                </c:pt>
                <c:pt idx="89">
                  <c:v>45959</c:v>
                </c:pt>
                <c:pt idx="90">
                  <c:v>45958</c:v>
                </c:pt>
                <c:pt idx="91">
                  <c:v>45957</c:v>
                </c:pt>
                <c:pt idx="92">
                  <c:v>45954</c:v>
                </c:pt>
                <c:pt idx="93">
                  <c:v>45953</c:v>
                </c:pt>
                <c:pt idx="94">
                  <c:v>45952</c:v>
                </c:pt>
                <c:pt idx="95">
                  <c:v>45951</c:v>
                </c:pt>
                <c:pt idx="96">
                  <c:v>45950</c:v>
                </c:pt>
                <c:pt idx="97">
                  <c:v>45947</c:v>
                </c:pt>
                <c:pt idx="98">
                  <c:v>45946</c:v>
                </c:pt>
                <c:pt idx="99">
                  <c:v>45945</c:v>
                </c:pt>
                <c:pt idx="100">
                  <c:v>45944</c:v>
                </c:pt>
                <c:pt idx="101">
                  <c:v>45943</c:v>
                </c:pt>
                <c:pt idx="102">
                  <c:v>45940</c:v>
                </c:pt>
                <c:pt idx="103">
                  <c:v>45939</c:v>
                </c:pt>
                <c:pt idx="104">
                  <c:v>45938</c:v>
                </c:pt>
                <c:pt idx="105">
                  <c:v>45937</c:v>
                </c:pt>
                <c:pt idx="106">
                  <c:v>45936</c:v>
                </c:pt>
                <c:pt idx="107">
                  <c:v>45933</c:v>
                </c:pt>
                <c:pt idx="108">
                  <c:v>45932</c:v>
                </c:pt>
                <c:pt idx="109">
                  <c:v>45931</c:v>
                </c:pt>
                <c:pt idx="110">
                  <c:v>45930</c:v>
                </c:pt>
                <c:pt idx="111">
                  <c:v>45929</c:v>
                </c:pt>
                <c:pt idx="112">
                  <c:v>45926</c:v>
                </c:pt>
                <c:pt idx="113">
                  <c:v>45925</c:v>
                </c:pt>
                <c:pt idx="114">
                  <c:v>45924</c:v>
                </c:pt>
                <c:pt idx="115">
                  <c:v>45923</c:v>
                </c:pt>
                <c:pt idx="116">
                  <c:v>45922</c:v>
                </c:pt>
                <c:pt idx="117">
                  <c:v>45919</c:v>
                </c:pt>
                <c:pt idx="118">
                  <c:v>45918</c:v>
                </c:pt>
                <c:pt idx="119">
                  <c:v>45917</c:v>
                </c:pt>
                <c:pt idx="120">
                  <c:v>45916</c:v>
                </c:pt>
                <c:pt idx="121">
                  <c:v>45915</c:v>
                </c:pt>
                <c:pt idx="122">
                  <c:v>45912</c:v>
                </c:pt>
                <c:pt idx="123">
                  <c:v>45911</c:v>
                </c:pt>
                <c:pt idx="124">
                  <c:v>45910</c:v>
                </c:pt>
              </c:numCache>
            </c:numRef>
          </c:cat>
          <c:val>
            <c:numRef>
              <c:f>'6 months'!$D$4:$D$128</c:f>
              <c:numCache>
                <c:formatCode>0.00</c:formatCode>
                <c:ptCount val="125"/>
                <c:pt idx="0">
                  <c:v>39.57</c:v>
                </c:pt>
                <c:pt idx="1">
                  <c:v>39.130000000000003</c:v>
                </c:pt>
                <c:pt idx="2">
                  <c:v>38.6</c:v>
                </c:pt>
                <c:pt idx="3">
                  <c:v>40.39</c:v>
                </c:pt>
                <c:pt idx="4">
                  <c:v>41.44</c:v>
                </c:pt>
                <c:pt idx="5">
                  <c:v>38.700000000000003</c:v>
                </c:pt>
                <c:pt idx="6">
                  <c:v>39.19</c:v>
                </c:pt>
                <c:pt idx="7">
                  <c:v>37.19</c:v>
                </c:pt>
                <c:pt idx="8">
                  <c:v>38.26</c:v>
                </c:pt>
                <c:pt idx="9">
                  <c:v>39.229999999999997</c:v>
                </c:pt>
                <c:pt idx="10">
                  <c:v>36.53</c:v>
                </c:pt>
                <c:pt idx="11">
                  <c:v>36.549999999999997</c:v>
                </c:pt>
                <c:pt idx="12">
                  <c:v>38.42</c:v>
                </c:pt>
                <c:pt idx="13">
                  <c:v>38.07</c:v>
                </c:pt>
                <c:pt idx="14">
                  <c:v>37.54</c:v>
                </c:pt>
                <c:pt idx="15">
                  <c:v>38.39</c:v>
                </c:pt>
                <c:pt idx="16">
                  <c:v>38.97</c:v>
                </c:pt>
                <c:pt idx="17">
                  <c:v>37.049999999999997</c:v>
                </c:pt>
                <c:pt idx="18">
                  <c:v>38.29</c:v>
                </c:pt>
                <c:pt idx="19">
                  <c:v>38.97</c:v>
                </c:pt>
                <c:pt idx="20">
                  <c:v>40.11</c:v>
                </c:pt>
                <c:pt idx="21">
                  <c:v>39.68</c:v>
                </c:pt>
                <c:pt idx="22">
                  <c:v>36.1</c:v>
                </c:pt>
                <c:pt idx="23">
                  <c:v>41.57</c:v>
                </c:pt>
                <c:pt idx="24">
                  <c:v>43.3</c:v>
                </c:pt>
                <c:pt idx="25">
                  <c:v>44.22</c:v>
                </c:pt>
                <c:pt idx="26">
                  <c:v>47.49</c:v>
                </c:pt>
                <c:pt idx="27">
                  <c:v>47.6</c:v>
                </c:pt>
                <c:pt idx="28">
                  <c:v>50.51</c:v>
                </c:pt>
                <c:pt idx="29">
                  <c:v>50.63</c:v>
                </c:pt>
                <c:pt idx="30">
                  <c:v>49.65</c:v>
                </c:pt>
                <c:pt idx="31">
                  <c:v>50.7</c:v>
                </c:pt>
                <c:pt idx="32">
                  <c:v>50.67</c:v>
                </c:pt>
                <c:pt idx="33">
                  <c:v>51.11</c:v>
                </c:pt>
                <c:pt idx="34">
                  <c:v>50.76</c:v>
                </c:pt>
                <c:pt idx="35">
                  <c:v>54.24</c:v>
                </c:pt>
                <c:pt idx="36">
                  <c:v>54</c:v>
                </c:pt>
                <c:pt idx="37">
                  <c:v>55.44</c:v>
                </c:pt>
                <c:pt idx="38">
                  <c:v>53.57</c:v>
                </c:pt>
                <c:pt idx="39">
                  <c:v>51.87</c:v>
                </c:pt>
                <c:pt idx="40">
                  <c:v>51.16</c:v>
                </c:pt>
                <c:pt idx="41">
                  <c:v>51.52</c:v>
                </c:pt>
                <c:pt idx="42">
                  <c:v>51.54</c:v>
                </c:pt>
                <c:pt idx="43">
                  <c:v>52.45</c:v>
                </c:pt>
                <c:pt idx="44">
                  <c:v>53.46</c:v>
                </c:pt>
                <c:pt idx="45">
                  <c:v>50.94</c:v>
                </c:pt>
                <c:pt idx="46">
                  <c:v>49.65</c:v>
                </c:pt>
                <c:pt idx="47">
                  <c:v>49.83</c:v>
                </c:pt>
                <c:pt idx="48">
                  <c:v>49.38</c:v>
                </c:pt>
                <c:pt idx="49">
                  <c:v>49.61</c:v>
                </c:pt>
                <c:pt idx="50">
                  <c:v>49.46</c:v>
                </c:pt>
                <c:pt idx="51">
                  <c:v>49.65</c:v>
                </c:pt>
                <c:pt idx="52">
                  <c:v>50.09</c:v>
                </c:pt>
                <c:pt idx="53">
                  <c:v>49.91</c:v>
                </c:pt>
                <c:pt idx="54">
                  <c:v>47.96</c:v>
                </c:pt>
                <c:pt idx="55">
                  <c:v>48.71</c:v>
                </c:pt>
                <c:pt idx="56">
                  <c:v>49.71</c:v>
                </c:pt>
                <c:pt idx="57" formatCode="General">
                  <c:v>48.66</c:v>
                </c:pt>
                <c:pt idx="58" formatCode="General">
                  <c:v>51.2</c:v>
                </c:pt>
                <c:pt idx="59" formatCode="General">
                  <c:v>52.1</c:v>
                </c:pt>
                <c:pt idx="60" formatCode="General">
                  <c:v>52.49</c:v>
                </c:pt>
                <c:pt idx="61" formatCode="General">
                  <c:v>52.85</c:v>
                </c:pt>
                <c:pt idx="62" formatCode="General">
                  <c:v>51.52</c:v>
                </c:pt>
                <c:pt idx="63" formatCode="General">
                  <c:v>50.69</c:v>
                </c:pt>
                <c:pt idx="64" formatCode="General">
                  <c:v>52.51</c:v>
                </c:pt>
                <c:pt idx="65" formatCode="General">
                  <c:v>52.74</c:v>
                </c:pt>
                <c:pt idx="66" formatCode="General">
                  <c:v>51.67</c:v>
                </c:pt>
                <c:pt idx="67" formatCode="General">
                  <c:v>48.5</c:v>
                </c:pt>
                <c:pt idx="68" formatCode="General">
                  <c:v>51.55</c:v>
                </c:pt>
                <c:pt idx="69" formatCode="General">
                  <c:v>51.03</c:v>
                </c:pt>
                <c:pt idx="70" formatCode="General">
                  <c:v>49.56</c:v>
                </c:pt>
                <c:pt idx="71" formatCode="General">
                  <c:v>50.57</c:v>
                </c:pt>
                <c:pt idx="72" formatCode="General">
                  <c:v>47.97</c:v>
                </c:pt>
                <c:pt idx="73" formatCode="General">
                  <c:v>48.96</c:v>
                </c:pt>
                <c:pt idx="74" formatCode="General">
                  <c:v>50.73</c:v>
                </c:pt>
                <c:pt idx="75" formatCode="General">
                  <c:v>52.66</c:v>
                </c:pt>
                <c:pt idx="76" formatCode="General">
                  <c:v>52.1</c:v>
                </c:pt>
                <c:pt idx="77" formatCode="General">
                  <c:v>53.47</c:v>
                </c:pt>
                <c:pt idx="78" formatCode="General">
                  <c:v>55.59</c:v>
                </c:pt>
                <c:pt idx="79" formatCode="General">
                  <c:v>57.59</c:v>
                </c:pt>
                <c:pt idx="80" formatCode="General">
                  <c:v>58.35</c:v>
                </c:pt>
                <c:pt idx="81" formatCode="General">
                  <c:v>60.19</c:v>
                </c:pt>
                <c:pt idx="82" formatCode="General">
                  <c:v>58.88</c:v>
                </c:pt>
                <c:pt idx="83" formatCode="General">
                  <c:v>57.26</c:v>
                </c:pt>
                <c:pt idx="84" formatCode="General">
                  <c:v>58.92</c:v>
                </c:pt>
                <c:pt idx="85" formatCode="General">
                  <c:v>57.18</c:v>
                </c:pt>
                <c:pt idx="86" formatCode="General">
                  <c:v>60.53</c:v>
                </c:pt>
                <c:pt idx="87" formatCode="General">
                  <c:v>62.3</c:v>
                </c:pt>
                <c:pt idx="88" formatCode="General">
                  <c:v>60.4</c:v>
                </c:pt>
                <c:pt idx="89" formatCode="General">
                  <c:v>62.75</c:v>
                </c:pt>
                <c:pt idx="90" formatCode="General">
                  <c:v>64.489999999999995</c:v>
                </c:pt>
                <c:pt idx="91" formatCode="General">
                  <c:v>65.28</c:v>
                </c:pt>
                <c:pt idx="92" formatCode="General">
                  <c:v>62.83</c:v>
                </c:pt>
                <c:pt idx="93" formatCode="General">
                  <c:v>62.56</c:v>
                </c:pt>
                <c:pt idx="94" formatCode="General">
                  <c:v>61.21</c:v>
                </c:pt>
                <c:pt idx="95" formatCode="General">
                  <c:v>63.49</c:v>
                </c:pt>
                <c:pt idx="96" formatCode="General">
                  <c:v>62.93</c:v>
                </c:pt>
                <c:pt idx="97" formatCode="General">
                  <c:v>60.47</c:v>
                </c:pt>
                <c:pt idx="98" formatCode="General">
                  <c:v>61.43</c:v>
                </c:pt>
                <c:pt idx="99" formatCode="General">
                  <c:v>63.17</c:v>
                </c:pt>
                <c:pt idx="100" formatCode="General">
                  <c:v>63.91</c:v>
                </c:pt>
                <c:pt idx="101" formatCode="General">
                  <c:v>65.81</c:v>
                </c:pt>
                <c:pt idx="102" formatCode="General">
                  <c:v>66.2</c:v>
                </c:pt>
                <c:pt idx="103" formatCode="General">
                  <c:v>68.739999999999995</c:v>
                </c:pt>
                <c:pt idx="104" formatCode="General">
                  <c:v>70.06</c:v>
                </c:pt>
                <c:pt idx="105" formatCode="General">
                  <c:v>69.13</c:v>
                </c:pt>
                <c:pt idx="106" formatCode="General">
                  <c:v>71.290000000000006</c:v>
                </c:pt>
                <c:pt idx="107" formatCode="General">
                  <c:v>69.81</c:v>
                </c:pt>
                <c:pt idx="108" formatCode="General">
                  <c:v>68.77</c:v>
                </c:pt>
                <c:pt idx="109" formatCode="General">
                  <c:v>66.739999999999995</c:v>
                </c:pt>
                <c:pt idx="110" formatCode="General">
                  <c:v>65</c:v>
                </c:pt>
                <c:pt idx="111" formatCode="General">
                  <c:v>64.97</c:v>
                </c:pt>
                <c:pt idx="112" formatCode="General">
                  <c:v>61.94</c:v>
                </c:pt>
                <c:pt idx="113" formatCode="General">
                  <c:v>62.1</c:v>
                </c:pt>
                <c:pt idx="114" formatCode="General">
                  <c:v>64.42</c:v>
                </c:pt>
                <c:pt idx="115" formatCode="General">
                  <c:v>63.41</c:v>
                </c:pt>
                <c:pt idx="116" formatCode="General">
                  <c:v>63.65</c:v>
                </c:pt>
                <c:pt idx="117" formatCode="General">
                  <c:v>65.37</c:v>
                </c:pt>
                <c:pt idx="118" formatCode="General">
                  <c:v>66.75</c:v>
                </c:pt>
                <c:pt idx="119" formatCode="General">
                  <c:v>65.67</c:v>
                </c:pt>
                <c:pt idx="120" formatCode="General">
                  <c:v>66.37</c:v>
                </c:pt>
                <c:pt idx="121" formatCode="General">
                  <c:v>65.5</c:v>
                </c:pt>
                <c:pt idx="122" formatCode="General">
                  <c:v>66.38</c:v>
                </c:pt>
                <c:pt idx="123" formatCode="General">
                  <c:v>65.03</c:v>
                </c:pt>
                <c:pt idx="124" formatCode="General">
                  <c:v>64.53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B0-6343-9F42-3D85543728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3906879"/>
        <c:axId val="1413909567"/>
      </c:lineChart>
      <c:dateAx>
        <c:axId val="1413906879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13909567"/>
        <c:crosses val="autoZero"/>
        <c:auto val="0"/>
        <c:lblOffset val="100"/>
        <c:baseTimeUnit val="days"/>
        <c:majorUnit val="1"/>
        <c:majorTimeUnit val="months"/>
      </c:dateAx>
      <c:valAx>
        <c:axId val="1413909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1">
                  <a:lumMod val="40000"/>
                  <a:lumOff val="6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13906879"/>
        <c:crosses val="autoZero"/>
        <c:crossBetween val="between"/>
      </c:valAx>
      <c:spPr>
        <a:solidFill>
          <a:schemeClr val="accent1">
            <a:lumMod val="20000"/>
            <a:lumOff val="80000"/>
          </a:schemeClr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softEdge rad="0"/>
    </a:effectLst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311150</xdr:colOff>
      <xdr:row>81</xdr:row>
      <xdr:rowOff>88900</xdr:rowOff>
    </xdr:from>
    <xdr:to>
      <xdr:col>17</xdr:col>
      <xdr:colOff>635000</xdr:colOff>
      <xdr:row>107</xdr:row>
      <xdr:rowOff>76200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5DC21E5A-A6B0-4CC2-0EC9-009AB716CC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61F52-43BA-B14E-BAD7-79029819A79F}">
  <dimension ref="A1:P70"/>
  <sheetViews>
    <sheetView tabSelected="1" topLeftCell="A17" workbookViewId="0">
      <selection activeCell="G38" sqref="G38"/>
    </sheetView>
  </sheetViews>
  <sheetFormatPr baseColWidth="10" defaultRowHeight="16" x14ac:dyDescent="0.2"/>
  <cols>
    <col min="1" max="1" width="18.33203125" customWidth="1"/>
    <col min="2" max="2" width="17.83203125" customWidth="1"/>
    <col min="3" max="3" width="17.33203125" bestFit="1" customWidth="1"/>
    <col min="4" max="4" width="18.5" customWidth="1"/>
    <col min="5" max="5" width="10.33203125" customWidth="1"/>
    <col min="6" max="6" width="15.33203125" customWidth="1"/>
    <col min="11" max="11" width="12.5" customWidth="1"/>
    <col min="12" max="12" width="15.83203125" customWidth="1"/>
  </cols>
  <sheetData>
    <row r="1" spans="1:16" ht="30" x14ac:dyDescent="0.3">
      <c r="A1" t="s">
        <v>0</v>
      </c>
      <c r="B1" s="1" t="s">
        <v>1</v>
      </c>
      <c r="G1" t="s">
        <v>16</v>
      </c>
      <c r="H1" t="s">
        <v>17</v>
      </c>
      <c r="L1" s="6">
        <v>46091</v>
      </c>
    </row>
    <row r="2" spans="1:16" x14ac:dyDescent="0.2">
      <c r="D2" t="s">
        <v>3</v>
      </c>
    </row>
    <row r="4" spans="1:16" x14ac:dyDescent="0.2">
      <c r="B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  <c r="L4" t="s">
        <v>13</v>
      </c>
    </row>
    <row r="5" spans="1:16" ht="18" x14ac:dyDescent="0.2">
      <c r="A5" t="s">
        <v>2</v>
      </c>
      <c r="B5" s="2"/>
      <c r="C5" s="3">
        <v>46298.665972222225</v>
      </c>
      <c r="D5" s="2">
        <v>40</v>
      </c>
      <c r="E5" s="4">
        <v>4.4400000000000004</v>
      </c>
      <c r="F5" s="4">
        <v>4.4000000000000004</v>
      </c>
      <c r="G5" s="4">
        <v>4.55</v>
      </c>
      <c r="H5" s="4">
        <v>0.34</v>
      </c>
      <c r="I5" s="20">
        <v>8.2900000000000001E-2</v>
      </c>
      <c r="J5" s="4">
        <v>740</v>
      </c>
      <c r="K5" s="4">
        <v>17.103000000000002</v>
      </c>
      <c r="L5" s="21">
        <v>0.55420000000000003</v>
      </c>
      <c r="N5" s="18" t="s">
        <v>35</v>
      </c>
      <c r="P5" s="15">
        <v>39.71</v>
      </c>
    </row>
    <row r="7" spans="1:16" x14ac:dyDescent="0.2">
      <c r="N7" s="18" t="s">
        <v>36</v>
      </c>
      <c r="O7" s="15">
        <f>(F5+G5)/2</f>
        <v>4.4749999999999996</v>
      </c>
    </row>
    <row r="9" spans="1:16" x14ac:dyDescent="0.2">
      <c r="B9" s="5" t="s">
        <v>14</v>
      </c>
      <c r="C9" s="5" t="s">
        <v>15</v>
      </c>
      <c r="D9" s="5" t="s">
        <v>20</v>
      </c>
      <c r="E9" s="5"/>
      <c r="F9" s="5"/>
      <c r="G9" s="5"/>
      <c r="H9" s="5"/>
    </row>
    <row r="10" spans="1:16" x14ac:dyDescent="0.2">
      <c r="B10" s="6">
        <v>46091</v>
      </c>
      <c r="C10" s="9">
        <v>39.57</v>
      </c>
      <c r="D10">
        <f>(C10-C11)/C11</f>
        <v>1.124456938410421E-2</v>
      </c>
      <c r="F10" t="s">
        <v>18</v>
      </c>
      <c r="G10">
        <f>COUNTA(C10:C70)</f>
        <v>61</v>
      </c>
    </row>
    <row r="11" spans="1:16" x14ac:dyDescent="0.2">
      <c r="B11" s="7">
        <v>46090</v>
      </c>
      <c r="C11" s="10">
        <v>39.130000000000003</v>
      </c>
      <c r="D11">
        <f t="shared" ref="D11:D69" si="0">(C11-C12)/C12</f>
        <v>1.3730569948186557E-2</v>
      </c>
      <c r="F11" s="8"/>
      <c r="G11" s="8"/>
      <c r="H11" s="8"/>
    </row>
    <row r="12" spans="1:16" ht="25" x14ac:dyDescent="0.25">
      <c r="B12" s="7">
        <v>46087</v>
      </c>
      <c r="C12" s="11">
        <v>38.6</v>
      </c>
      <c r="D12">
        <f t="shared" si="0"/>
        <v>-4.4317900470413445E-2</v>
      </c>
      <c r="F12" s="13" t="s">
        <v>19</v>
      </c>
      <c r="G12" s="12"/>
      <c r="H12" s="8">
        <f>_xlfn.STDEV.S(D10:D69)</f>
        <v>3.6896404767599561E-2</v>
      </c>
    </row>
    <row r="13" spans="1:16" x14ac:dyDescent="0.2">
      <c r="B13" s="7">
        <v>46086</v>
      </c>
      <c r="C13" s="11">
        <v>40.39</v>
      </c>
      <c r="D13">
        <f t="shared" si="0"/>
        <v>-2.533783783783777E-2</v>
      </c>
      <c r="E13" s="8"/>
      <c r="F13" s="8"/>
      <c r="G13" s="14" t="s">
        <v>21</v>
      </c>
      <c r="H13" s="14">
        <f>H12*SQRT(252)</f>
        <v>0.5857122677246781</v>
      </c>
      <c r="I13" s="27" t="s">
        <v>41</v>
      </c>
      <c r="K13">
        <f>H13*SQRT(3/12)</f>
        <v>0.29285613386233905</v>
      </c>
    </row>
    <row r="14" spans="1:16" x14ac:dyDescent="0.2">
      <c r="B14" s="7">
        <v>46085</v>
      </c>
      <c r="C14" s="11">
        <v>41.44</v>
      </c>
      <c r="D14">
        <f t="shared" si="0"/>
        <v>7.0801033591731136E-2</v>
      </c>
      <c r="E14" s="8"/>
      <c r="F14" s="8"/>
      <c r="G14" s="8"/>
      <c r="H14" s="8"/>
    </row>
    <row r="15" spans="1:16" x14ac:dyDescent="0.2">
      <c r="B15" s="7">
        <v>46084</v>
      </c>
      <c r="C15" s="11">
        <v>38.700000000000003</v>
      </c>
      <c r="D15">
        <f t="shared" si="0"/>
        <v>-1.2503189589180784E-2</v>
      </c>
      <c r="E15" s="8"/>
      <c r="F15" s="5" t="s">
        <v>22</v>
      </c>
      <c r="G15" s="8"/>
      <c r="H15" s="8"/>
    </row>
    <row r="16" spans="1:16" x14ac:dyDescent="0.2">
      <c r="B16" s="7">
        <v>46083</v>
      </c>
      <c r="C16" s="11">
        <v>39.19</v>
      </c>
      <c r="D16">
        <f t="shared" si="0"/>
        <v>5.377789728421619E-2</v>
      </c>
      <c r="E16" s="8"/>
      <c r="F16" s="16" t="s">
        <v>23</v>
      </c>
      <c r="G16" s="14">
        <f>EXP(H13*SQRT(3/12))</f>
        <v>1.3402499599758857</v>
      </c>
      <c r="H16" s="8"/>
    </row>
    <row r="17" spans="2:14" x14ac:dyDescent="0.2">
      <c r="B17" s="7">
        <v>46080</v>
      </c>
      <c r="C17" s="11">
        <v>37.19</v>
      </c>
      <c r="D17">
        <f t="shared" si="0"/>
        <v>-2.7966544694197605E-2</v>
      </c>
      <c r="E17" s="8"/>
      <c r="F17" s="16" t="s">
        <v>24</v>
      </c>
      <c r="G17" s="14">
        <f>EXP(-(H13*SQRT(3/12)))</f>
        <v>0.74612947574196709</v>
      </c>
      <c r="H17" s="8"/>
      <c r="I17" t="s">
        <v>25</v>
      </c>
    </row>
    <row r="18" spans="2:14" x14ac:dyDescent="0.2">
      <c r="B18" s="7">
        <v>46079</v>
      </c>
      <c r="C18" s="11">
        <v>38.26</v>
      </c>
      <c r="D18">
        <f t="shared" si="0"/>
        <v>-2.4725975019117996E-2</v>
      </c>
      <c r="E18" s="8"/>
      <c r="F18" s="8"/>
      <c r="G18" s="8"/>
      <c r="H18" s="8"/>
    </row>
    <row r="19" spans="2:14" x14ac:dyDescent="0.2">
      <c r="B19" s="7">
        <v>46078</v>
      </c>
      <c r="C19" s="11">
        <v>39.229999999999997</v>
      </c>
      <c r="D19">
        <f t="shared" si="0"/>
        <v>7.3911853271283759E-2</v>
      </c>
      <c r="E19" s="8"/>
      <c r="F19" s="8"/>
      <c r="G19" s="8"/>
      <c r="H19" s="8"/>
    </row>
    <row r="20" spans="2:14" x14ac:dyDescent="0.2">
      <c r="B20" s="7">
        <v>46077</v>
      </c>
      <c r="C20" s="11">
        <v>36.53</v>
      </c>
      <c r="D20">
        <f t="shared" si="0"/>
        <v>-5.4719562243491166E-4</v>
      </c>
      <c r="E20" s="8"/>
      <c r="F20" s="5" t="s">
        <v>27</v>
      </c>
      <c r="G20" s="8"/>
      <c r="H20" s="8"/>
      <c r="M20" s="17">
        <v>3.6621000000000001E-2</v>
      </c>
      <c r="N20" s="27" t="s">
        <v>40</v>
      </c>
    </row>
    <row r="21" spans="2:14" x14ac:dyDescent="0.2">
      <c r="B21" s="7">
        <v>46076</v>
      </c>
      <c r="C21" s="11">
        <v>36.549999999999997</v>
      </c>
      <c r="D21">
        <f t="shared" si="0"/>
        <v>-4.8672566371681533E-2</v>
      </c>
      <c r="E21" s="8"/>
      <c r="F21" s="8"/>
      <c r="G21" s="8"/>
      <c r="H21" s="8"/>
      <c r="L21" t="s">
        <v>28</v>
      </c>
      <c r="M21" s="19">
        <v>3.6413500000000001E-2</v>
      </c>
    </row>
    <row r="22" spans="2:14" x14ac:dyDescent="0.2">
      <c r="B22" s="7">
        <v>46073</v>
      </c>
      <c r="C22" s="11">
        <v>38.42</v>
      </c>
      <c r="D22">
        <f t="shared" si="0"/>
        <v>9.1935907538744782E-3</v>
      </c>
      <c r="E22" s="8"/>
      <c r="F22" s="8"/>
      <c r="G22" s="5" t="s">
        <v>26</v>
      </c>
      <c r="H22" s="18"/>
      <c r="I22" s="15">
        <f>(1+M20*3/12)</f>
        <v>1.0091552500000001</v>
      </c>
      <c r="J22" s="27" t="s">
        <v>29</v>
      </c>
    </row>
    <row r="23" spans="2:14" x14ac:dyDescent="0.2">
      <c r="B23" s="7">
        <v>46072</v>
      </c>
      <c r="C23" s="11">
        <v>38.07</v>
      </c>
      <c r="D23">
        <f t="shared" si="0"/>
        <v>1.4118273841236045E-2</v>
      </c>
      <c r="E23" s="8"/>
      <c r="F23" s="8"/>
      <c r="G23" s="8"/>
      <c r="H23" s="8"/>
      <c r="J23" s="27" t="s">
        <v>30</v>
      </c>
      <c r="L23" s="28" t="s">
        <v>42</v>
      </c>
    </row>
    <row r="24" spans="2:14" x14ac:dyDescent="0.2">
      <c r="B24" s="7">
        <v>46071</v>
      </c>
      <c r="C24" s="11">
        <v>37.54</v>
      </c>
      <c r="D24">
        <f t="shared" si="0"/>
        <v>-2.2141182599635358E-2</v>
      </c>
      <c r="E24" s="8"/>
      <c r="F24" s="8"/>
      <c r="G24" s="5" t="s">
        <v>31</v>
      </c>
      <c r="H24" s="8"/>
      <c r="I24" s="15">
        <f>1/I22</f>
        <v>0.99092780818412229</v>
      </c>
      <c r="L24" s="28" t="s">
        <v>43</v>
      </c>
    </row>
    <row r="25" spans="2:14" x14ac:dyDescent="0.2">
      <c r="B25" s="7">
        <v>46070</v>
      </c>
      <c r="C25" s="11">
        <v>38.39</v>
      </c>
      <c r="D25">
        <f t="shared" si="0"/>
        <v>-1.4883243520656873E-2</v>
      </c>
      <c r="E25" s="8"/>
      <c r="F25" s="8"/>
      <c r="G25" s="8"/>
      <c r="H25" s="8"/>
    </row>
    <row r="26" spans="2:14" x14ac:dyDescent="0.2">
      <c r="B26" s="7">
        <v>46066</v>
      </c>
      <c r="C26" s="11">
        <v>38.97</v>
      </c>
      <c r="D26">
        <f t="shared" si="0"/>
        <v>5.1821862348178191E-2</v>
      </c>
      <c r="E26" s="8"/>
      <c r="F26" s="5" t="s">
        <v>32</v>
      </c>
      <c r="G26" s="8"/>
      <c r="H26" s="8"/>
      <c r="I26" t="s">
        <v>33</v>
      </c>
      <c r="J26">
        <f>(I22-G17)/(G16-G17)</f>
        <v>0.44271453558311213</v>
      </c>
    </row>
    <row r="27" spans="2:14" x14ac:dyDescent="0.2">
      <c r="B27" s="7">
        <v>46065</v>
      </c>
      <c r="C27" s="11">
        <v>37.049999999999997</v>
      </c>
      <c r="D27">
        <f t="shared" si="0"/>
        <v>-3.2384434578218907E-2</v>
      </c>
      <c r="E27" s="8"/>
      <c r="G27" s="8"/>
      <c r="H27" s="8"/>
      <c r="I27" t="s">
        <v>34</v>
      </c>
      <c r="J27">
        <f>1-J26</f>
        <v>0.55728546441688787</v>
      </c>
    </row>
    <row r="28" spans="2:14" x14ac:dyDescent="0.2">
      <c r="B28" s="7">
        <v>46064</v>
      </c>
      <c r="C28" s="11">
        <v>38.29</v>
      </c>
      <c r="D28">
        <f t="shared" si="0"/>
        <v>-1.7449319989735687E-2</v>
      </c>
      <c r="E28" s="8"/>
      <c r="F28" s="8"/>
      <c r="G28" s="8"/>
      <c r="H28" s="8"/>
    </row>
    <row r="29" spans="2:14" x14ac:dyDescent="0.2">
      <c r="B29" s="7">
        <v>46063</v>
      </c>
      <c r="C29" s="11">
        <v>38.97</v>
      </c>
      <c r="D29">
        <f t="shared" si="0"/>
        <v>-2.8421839940164562E-2</v>
      </c>
      <c r="E29" s="8"/>
      <c r="F29" s="8"/>
      <c r="G29" s="22"/>
      <c r="H29" s="23" t="s">
        <v>37</v>
      </c>
      <c r="I29" s="24" t="s">
        <v>38</v>
      </c>
    </row>
    <row r="30" spans="2:14" ht="63" x14ac:dyDescent="0.2">
      <c r="B30" s="7">
        <v>46062</v>
      </c>
      <c r="C30" s="11">
        <v>40.11</v>
      </c>
      <c r="D30">
        <f t="shared" si="0"/>
        <v>1.0836693548387089E-2</v>
      </c>
      <c r="E30" s="8"/>
      <c r="F30" s="8"/>
      <c r="G30" s="26" t="s">
        <v>39</v>
      </c>
      <c r="H30" s="22">
        <f>MAX(P5*G16-D5,0)</f>
        <v>13.22132591064242</v>
      </c>
      <c r="I30" s="25">
        <f>MAX(P5*G17-D5,0)</f>
        <v>0</v>
      </c>
    </row>
    <row r="31" spans="2:14" x14ac:dyDescent="0.2">
      <c r="B31" s="7">
        <v>46059</v>
      </c>
      <c r="C31" s="11">
        <v>39.68</v>
      </c>
      <c r="D31">
        <f t="shared" si="0"/>
        <v>9.9168975069252027E-2</v>
      </c>
      <c r="E31" s="8"/>
      <c r="F31" s="8"/>
      <c r="G31" s="8"/>
      <c r="H31" s="8"/>
    </row>
    <row r="32" spans="2:14" x14ac:dyDescent="0.2">
      <c r="B32" s="7">
        <v>46058</v>
      </c>
      <c r="C32" s="11">
        <v>36.1</v>
      </c>
      <c r="D32">
        <f t="shared" si="0"/>
        <v>-0.13158527784459945</v>
      </c>
      <c r="E32" s="8"/>
      <c r="F32" s="8"/>
      <c r="G32" s="8"/>
      <c r="H32" s="8"/>
    </row>
    <row r="33" spans="2:14" x14ac:dyDescent="0.2">
      <c r="B33" s="7">
        <v>46057</v>
      </c>
      <c r="C33" s="11">
        <v>41.57</v>
      </c>
      <c r="D33">
        <f t="shared" si="0"/>
        <v>-3.9953810623556511E-2</v>
      </c>
      <c r="E33" s="8"/>
      <c r="F33" s="8"/>
      <c r="G33" s="8"/>
      <c r="H33" s="8"/>
      <c r="N33" t="s">
        <v>46</v>
      </c>
    </row>
    <row r="34" spans="2:14" ht="18" x14ac:dyDescent="0.2">
      <c r="B34" s="7">
        <v>46056</v>
      </c>
      <c r="C34" s="11">
        <v>43.3</v>
      </c>
      <c r="D34">
        <f t="shared" si="0"/>
        <v>-2.0805065581185025E-2</v>
      </c>
      <c r="E34" s="8"/>
      <c r="F34" s="8"/>
      <c r="G34" s="29" t="s">
        <v>44</v>
      </c>
      <c r="H34" s="8"/>
      <c r="J34" s="30">
        <f>I24*(J26*H30+J27*I30)</f>
        <v>5.8001711434618475</v>
      </c>
    </row>
    <row r="35" spans="2:14" x14ac:dyDescent="0.2">
      <c r="B35" s="7">
        <v>46055</v>
      </c>
      <c r="C35" s="11">
        <v>44.22</v>
      </c>
      <c r="D35">
        <f t="shared" si="0"/>
        <v>-6.8856601389766334E-2</v>
      </c>
      <c r="E35" s="8"/>
      <c r="F35" s="8"/>
      <c r="G35" s="8" t="s">
        <v>45</v>
      </c>
      <c r="H35" s="8"/>
    </row>
    <row r="36" spans="2:14" x14ac:dyDescent="0.2">
      <c r="B36" s="7">
        <v>46052</v>
      </c>
      <c r="C36" s="11">
        <v>47.49</v>
      </c>
      <c r="D36">
        <f t="shared" si="0"/>
        <v>-2.310924369747887E-3</v>
      </c>
      <c r="E36" s="8"/>
      <c r="F36" s="8"/>
      <c r="G36" s="8"/>
      <c r="H36" s="8"/>
    </row>
    <row r="37" spans="2:14" x14ac:dyDescent="0.2">
      <c r="B37" s="7">
        <v>46051</v>
      </c>
      <c r="C37" s="11">
        <v>47.6</v>
      </c>
      <c r="D37">
        <f t="shared" si="0"/>
        <v>-5.761235398930898E-2</v>
      </c>
      <c r="E37" s="8"/>
      <c r="F37" s="8"/>
      <c r="G37" s="8"/>
      <c r="H37" s="8"/>
    </row>
    <row r="38" spans="2:14" x14ac:dyDescent="0.2">
      <c r="B38" s="7">
        <v>46050</v>
      </c>
      <c r="C38" s="11">
        <v>50.51</v>
      </c>
      <c r="D38">
        <f t="shared" si="0"/>
        <v>-2.370136282836353E-3</v>
      </c>
      <c r="E38" s="8"/>
      <c r="F38" s="8"/>
      <c r="G38" s="8"/>
      <c r="H38" s="8"/>
    </row>
    <row r="39" spans="2:14" x14ac:dyDescent="0.2">
      <c r="B39" s="7">
        <v>46049</v>
      </c>
      <c r="C39" s="11">
        <v>50.63</v>
      </c>
      <c r="D39">
        <f t="shared" si="0"/>
        <v>1.9738167170191421E-2</v>
      </c>
      <c r="E39" s="8"/>
      <c r="F39" s="8"/>
      <c r="G39" s="8"/>
      <c r="H39" s="8"/>
    </row>
    <row r="40" spans="2:14" x14ac:dyDescent="0.2">
      <c r="B40" s="7">
        <v>46048</v>
      </c>
      <c r="C40" s="11">
        <v>49.65</v>
      </c>
      <c r="D40">
        <f t="shared" si="0"/>
        <v>-2.0710059171597715E-2</v>
      </c>
      <c r="E40" s="8"/>
      <c r="F40" s="8"/>
      <c r="G40" s="8"/>
      <c r="H40" s="8"/>
    </row>
    <row r="41" spans="2:14" x14ac:dyDescent="0.2">
      <c r="B41" s="7">
        <v>46045</v>
      </c>
      <c r="C41" s="11">
        <v>50.7</v>
      </c>
      <c r="D41">
        <f t="shared" si="0"/>
        <v>5.920663114269022E-4</v>
      </c>
      <c r="E41" s="8"/>
      <c r="F41" s="8"/>
      <c r="G41" s="8"/>
      <c r="H41" s="8"/>
    </row>
    <row r="42" spans="2:14" x14ac:dyDescent="0.2">
      <c r="B42" s="7">
        <v>46044</v>
      </c>
      <c r="C42" s="11">
        <v>50.67</v>
      </c>
      <c r="D42">
        <f t="shared" si="0"/>
        <v>-8.6088828017999944E-3</v>
      </c>
      <c r="E42" s="8"/>
      <c r="F42" s="8"/>
      <c r="G42" s="8"/>
      <c r="H42" s="8"/>
    </row>
    <row r="43" spans="2:14" x14ac:dyDescent="0.2">
      <c r="B43" s="7">
        <v>46043</v>
      </c>
      <c r="C43" s="11">
        <v>51.11</v>
      </c>
      <c r="D43">
        <f t="shared" si="0"/>
        <v>6.8951930654058595E-3</v>
      </c>
      <c r="E43" s="8"/>
      <c r="F43" s="8"/>
      <c r="G43" s="8"/>
      <c r="H43" s="8"/>
    </row>
    <row r="44" spans="2:14" x14ac:dyDescent="0.2">
      <c r="B44" s="7">
        <v>46042</v>
      </c>
      <c r="C44" s="11">
        <v>50.76</v>
      </c>
      <c r="D44">
        <f t="shared" si="0"/>
        <v>-6.4159292035398302E-2</v>
      </c>
      <c r="E44" s="8"/>
      <c r="F44" s="8"/>
      <c r="G44" s="8"/>
      <c r="H44" s="8"/>
    </row>
    <row r="45" spans="2:14" x14ac:dyDescent="0.2">
      <c r="B45" s="7">
        <v>46038</v>
      </c>
      <c r="C45" s="11">
        <v>54.24</v>
      </c>
      <c r="D45">
        <f t="shared" si="0"/>
        <v>4.4444444444444809E-3</v>
      </c>
      <c r="E45" s="8"/>
      <c r="F45" s="8"/>
      <c r="G45" s="8"/>
      <c r="H45" s="8"/>
    </row>
    <row r="46" spans="2:14" x14ac:dyDescent="0.2">
      <c r="B46" s="7">
        <v>46037</v>
      </c>
      <c r="C46" s="11">
        <v>54</v>
      </c>
      <c r="D46">
        <f t="shared" si="0"/>
        <v>-2.5974025974025934E-2</v>
      </c>
      <c r="E46" s="8"/>
      <c r="F46" s="8"/>
      <c r="G46" s="8"/>
      <c r="H46" s="8"/>
    </row>
    <row r="47" spans="2:14" x14ac:dyDescent="0.2">
      <c r="B47" s="7">
        <v>46036</v>
      </c>
      <c r="C47" s="11">
        <v>55.44</v>
      </c>
      <c r="D47">
        <f t="shared" si="0"/>
        <v>3.4907597535934247E-2</v>
      </c>
      <c r="E47" s="8"/>
      <c r="F47" s="8"/>
      <c r="G47" s="8"/>
      <c r="H47" s="8"/>
    </row>
    <row r="48" spans="2:14" x14ac:dyDescent="0.2">
      <c r="B48" s="7">
        <v>46035</v>
      </c>
      <c r="C48" s="11">
        <v>53.57</v>
      </c>
      <c r="D48">
        <f t="shared" si="0"/>
        <v>3.2774243300559149E-2</v>
      </c>
      <c r="E48" s="8"/>
      <c r="F48" s="8"/>
      <c r="G48" s="8"/>
      <c r="H48" s="8"/>
    </row>
    <row r="49" spans="2:8" x14ac:dyDescent="0.2">
      <c r="B49" s="7">
        <v>46034</v>
      </c>
      <c r="C49" s="11">
        <v>51.87</v>
      </c>
      <c r="D49">
        <f t="shared" si="0"/>
        <v>1.3878029710711511E-2</v>
      </c>
      <c r="E49" s="8"/>
      <c r="F49" s="8"/>
      <c r="G49" s="8"/>
      <c r="H49" s="8"/>
    </row>
    <row r="50" spans="2:8" x14ac:dyDescent="0.2">
      <c r="B50" s="7">
        <v>46031</v>
      </c>
      <c r="C50" s="11">
        <v>51.16</v>
      </c>
      <c r="D50">
        <f t="shared" si="0"/>
        <v>-6.9875776397516796E-3</v>
      </c>
      <c r="E50" s="8"/>
      <c r="F50" s="8"/>
      <c r="G50" s="8"/>
      <c r="H50" s="8"/>
    </row>
    <row r="51" spans="2:8" x14ac:dyDescent="0.2">
      <c r="B51" s="7">
        <v>46030</v>
      </c>
      <c r="C51" s="11">
        <v>51.52</v>
      </c>
      <c r="D51">
        <f t="shared" si="0"/>
        <v>-3.8804811796655064E-4</v>
      </c>
      <c r="E51" s="8"/>
      <c r="F51" s="8"/>
      <c r="G51" s="8"/>
      <c r="H51" s="8"/>
    </row>
    <row r="52" spans="2:8" x14ac:dyDescent="0.2">
      <c r="B52" s="7">
        <v>46029</v>
      </c>
      <c r="C52" s="11">
        <v>51.54</v>
      </c>
      <c r="D52">
        <f t="shared" si="0"/>
        <v>-1.7349857006673092E-2</v>
      </c>
      <c r="E52" s="8"/>
      <c r="F52" s="8"/>
      <c r="G52" s="8"/>
      <c r="H52" s="8"/>
    </row>
    <row r="53" spans="2:8" x14ac:dyDescent="0.2">
      <c r="B53" s="7">
        <v>46028</v>
      </c>
      <c r="C53" s="11">
        <v>52.45</v>
      </c>
      <c r="D53">
        <f t="shared" si="0"/>
        <v>-1.8892630003741077E-2</v>
      </c>
      <c r="E53" s="8"/>
      <c r="F53" s="8"/>
      <c r="G53" s="8"/>
      <c r="H53" s="8"/>
    </row>
    <row r="54" spans="2:8" x14ac:dyDescent="0.2">
      <c r="B54" s="7">
        <v>46027</v>
      </c>
      <c r="C54" s="11">
        <v>53.46</v>
      </c>
      <c r="D54">
        <f t="shared" si="0"/>
        <v>4.9469964664311021E-2</v>
      </c>
      <c r="E54" s="8"/>
      <c r="F54" s="8"/>
      <c r="G54" s="8"/>
      <c r="H54" s="8"/>
    </row>
    <row r="55" spans="2:8" x14ac:dyDescent="0.2">
      <c r="B55" s="7">
        <v>46024</v>
      </c>
      <c r="C55" s="11">
        <v>50.94</v>
      </c>
      <c r="D55">
        <f t="shared" si="0"/>
        <v>2.5981873111782461E-2</v>
      </c>
      <c r="E55" s="8"/>
      <c r="F55" s="8"/>
      <c r="G55" s="8"/>
      <c r="H55" s="8"/>
    </row>
    <row r="56" spans="2:8" x14ac:dyDescent="0.2">
      <c r="B56" s="7">
        <v>46022</v>
      </c>
      <c r="C56" s="11">
        <v>49.65</v>
      </c>
      <c r="D56">
        <f t="shared" si="0"/>
        <v>-3.6122817579771166E-3</v>
      </c>
      <c r="E56" s="8"/>
      <c r="F56" s="8"/>
      <c r="G56" s="8"/>
      <c r="H56" s="8"/>
    </row>
    <row r="57" spans="2:8" x14ac:dyDescent="0.2">
      <c r="B57" s="7">
        <v>46021</v>
      </c>
      <c r="C57" s="11">
        <v>49.83</v>
      </c>
      <c r="D57">
        <f t="shared" si="0"/>
        <v>9.1130012150667412E-3</v>
      </c>
      <c r="E57" s="8"/>
      <c r="F57" s="8"/>
      <c r="G57" s="8"/>
      <c r="H57" s="8"/>
    </row>
    <row r="58" spans="2:8" x14ac:dyDescent="0.2">
      <c r="B58" s="7">
        <v>46020</v>
      </c>
      <c r="C58" s="11">
        <v>49.38</v>
      </c>
      <c r="D58">
        <f t="shared" si="0"/>
        <v>-4.6361620640999173E-3</v>
      </c>
      <c r="E58" s="8"/>
      <c r="F58" s="8"/>
      <c r="G58" s="8"/>
      <c r="H58" s="8"/>
    </row>
    <row r="59" spans="2:8" x14ac:dyDescent="0.2">
      <c r="B59" s="7">
        <v>46017</v>
      </c>
      <c r="C59" s="11">
        <v>49.61</v>
      </c>
      <c r="D59">
        <f t="shared" si="0"/>
        <v>3.0327537403962508E-3</v>
      </c>
      <c r="E59" s="8"/>
      <c r="F59" s="8"/>
      <c r="G59" s="8"/>
      <c r="H59" s="8"/>
    </row>
    <row r="60" spans="2:8" x14ac:dyDescent="0.2">
      <c r="B60" s="7">
        <v>46015</v>
      </c>
      <c r="C60" s="11">
        <v>49.46</v>
      </c>
      <c r="D60">
        <f t="shared" si="0"/>
        <v>-3.8267875125880713E-3</v>
      </c>
      <c r="E60" s="8"/>
      <c r="F60" s="8"/>
      <c r="G60" s="8"/>
      <c r="H60" s="8"/>
    </row>
    <row r="61" spans="2:8" x14ac:dyDescent="0.2">
      <c r="B61" s="7">
        <v>46014</v>
      </c>
      <c r="C61" s="11">
        <v>49.65</v>
      </c>
      <c r="D61">
        <f t="shared" si="0"/>
        <v>-8.7841884607707081E-3</v>
      </c>
      <c r="E61" s="8"/>
      <c r="F61" s="8"/>
      <c r="G61" s="8"/>
      <c r="H61" s="8"/>
    </row>
    <row r="62" spans="2:8" x14ac:dyDescent="0.2">
      <c r="B62" s="7">
        <v>46013</v>
      </c>
      <c r="C62" s="11">
        <v>50.09</v>
      </c>
      <c r="D62">
        <f t="shared" si="0"/>
        <v>3.6064916850331963E-3</v>
      </c>
      <c r="E62" s="8"/>
      <c r="F62" s="8"/>
      <c r="G62" s="8"/>
      <c r="H62" s="8"/>
    </row>
    <row r="63" spans="2:8" x14ac:dyDescent="0.2">
      <c r="B63" s="7">
        <v>46010</v>
      </c>
      <c r="C63" s="11">
        <v>49.91</v>
      </c>
      <c r="D63">
        <f t="shared" si="0"/>
        <v>4.0658882402001578E-2</v>
      </c>
      <c r="E63" s="8"/>
      <c r="F63" s="8"/>
      <c r="G63" s="8"/>
      <c r="H63" s="8"/>
    </row>
    <row r="64" spans="2:8" x14ac:dyDescent="0.2">
      <c r="B64" s="7">
        <v>46009</v>
      </c>
      <c r="C64" s="11">
        <v>47.96</v>
      </c>
      <c r="D64">
        <f t="shared" si="0"/>
        <v>-1.5397249024840895E-2</v>
      </c>
      <c r="E64" s="8"/>
      <c r="F64" s="8"/>
      <c r="G64" s="8"/>
      <c r="H64" s="8"/>
    </row>
    <row r="65" spans="2:8" x14ac:dyDescent="0.2">
      <c r="B65" s="7">
        <v>46008</v>
      </c>
      <c r="C65" s="11">
        <v>48.71</v>
      </c>
      <c r="D65">
        <f t="shared" si="0"/>
        <v>-2.0116676725005028E-2</v>
      </c>
      <c r="E65" s="8"/>
      <c r="F65" s="8"/>
      <c r="G65" s="8"/>
      <c r="H65" s="8"/>
    </row>
    <row r="66" spans="2:8" x14ac:dyDescent="0.2">
      <c r="B66" s="7">
        <v>46007</v>
      </c>
      <c r="C66" s="11">
        <v>49.71</v>
      </c>
      <c r="D66">
        <f t="shared" si="0"/>
        <v>2.1578298397040778E-2</v>
      </c>
      <c r="E66" s="8"/>
      <c r="F66" s="8"/>
      <c r="G66" s="8"/>
      <c r="H66" s="8"/>
    </row>
    <row r="67" spans="2:8" x14ac:dyDescent="0.2">
      <c r="B67" s="7">
        <v>46006</v>
      </c>
      <c r="C67" s="11">
        <v>48.66</v>
      </c>
      <c r="D67">
        <f t="shared" si="0"/>
        <v>-4.9609375000000122E-2</v>
      </c>
      <c r="E67" s="8"/>
      <c r="F67" s="8"/>
      <c r="G67" s="8"/>
      <c r="H67" s="8"/>
    </row>
    <row r="68" spans="2:8" x14ac:dyDescent="0.2">
      <c r="B68" s="7">
        <v>46003</v>
      </c>
      <c r="C68" s="11">
        <v>51.2</v>
      </c>
      <c r="D68">
        <f t="shared" si="0"/>
        <v>-1.7274472168905923E-2</v>
      </c>
      <c r="E68" s="8"/>
      <c r="F68" s="8"/>
      <c r="G68" s="8"/>
      <c r="H68" s="8"/>
    </row>
    <row r="69" spans="2:8" x14ac:dyDescent="0.2">
      <c r="B69" s="7">
        <v>46002</v>
      </c>
      <c r="C69" s="11">
        <v>52.1</v>
      </c>
      <c r="D69">
        <f t="shared" si="0"/>
        <v>-7.4299866641265111E-3</v>
      </c>
      <c r="E69" s="8"/>
      <c r="F69" s="8"/>
      <c r="G69" s="8"/>
      <c r="H69" s="8"/>
    </row>
    <row r="70" spans="2:8" x14ac:dyDescent="0.2">
      <c r="B70" s="7">
        <v>46001</v>
      </c>
      <c r="C70" s="11">
        <v>52.49</v>
      </c>
      <c r="E70" s="8"/>
      <c r="F70" s="8"/>
      <c r="G70" s="8"/>
      <c r="H70" s="8"/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F13C6-AFF9-184C-B769-80C5B9294F87}">
  <dimension ref="C2:R152"/>
  <sheetViews>
    <sheetView topLeftCell="A30" zoomScale="80" zoomScaleNormal="80" workbookViewId="0">
      <selection activeCell="M21" sqref="M21"/>
    </sheetView>
  </sheetViews>
  <sheetFormatPr baseColWidth="10" defaultRowHeight="16" x14ac:dyDescent="0.2"/>
  <sheetData>
    <row r="2" spans="3:18" ht="21" x14ac:dyDescent="0.25">
      <c r="C2" s="31" t="s">
        <v>47</v>
      </c>
      <c r="K2" t="s">
        <v>51</v>
      </c>
      <c r="L2" t="s">
        <v>49</v>
      </c>
      <c r="M2" t="s">
        <v>50</v>
      </c>
      <c r="N2" s="6">
        <v>45730</v>
      </c>
    </row>
    <row r="3" spans="3:18" x14ac:dyDescent="0.2">
      <c r="K3">
        <v>45</v>
      </c>
      <c r="L3">
        <v>5.05</v>
      </c>
      <c r="M3">
        <v>5.25</v>
      </c>
    </row>
    <row r="4" spans="3:18" x14ac:dyDescent="0.2">
      <c r="C4" s="6">
        <v>46091</v>
      </c>
      <c r="D4" s="9">
        <v>39.57</v>
      </c>
      <c r="E4">
        <f>(D4-D5)/D5</f>
        <v>1.124456938410421E-2</v>
      </c>
    </row>
    <row r="5" spans="3:18" x14ac:dyDescent="0.2">
      <c r="C5" s="7">
        <v>46090</v>
      </c>
      <c r="D5" s="10">
        <v>39.130000000000003</v>
      </c>
      <c r="E5">
        <f t="shared" ref="E5:E68" si="0">(D5-D6)/D6</f>
        <v>1.3730569948186557E-2</v>
      </c>
      <c r="I5" t="s">
        <v>18</v>
      </c>
      <c r="J5">
        <f>COUNTA(D4:D128)</f>
        <v>125</v>
      </c>
      <c r="P5" s="18" t="s">
        <v>35</v>
      </c>
      <c r="R5" s="15">
        <v>40.369999999999997</v>
      </c>
    </row>
    <row r="6" spans="3:18" x14ac:dyDescent="0.2">
      <c r="C6" s="7">
        <v>46087</v>
      </c>
      <c r="D6" s="11">
        <v>38.6</v>
      </c>
      <c r="E6">
        <f t="shared" si="0"/>
        <v>-4.4317900470413445E-2</v>
      </c>
      <c r="I6" s="8"/>
      <c r="J6" s="8"/>
      <c r="K6" s="8"/>
      <c r="P6" t="s">
        <v>36</v>
      </c>
      <c r="R6" s="15">
        <f>(L3+M3)/2</f>
        <v>5.15</v>
      </c>
    </row>
    <row r="7" spans="3:18" ht="25" x14ac:dyDescent="0.25">
      <c r="C7" s="7">
        <v>46086</v>
      </c>
      <c r="D7" s="11">
        <v>40.39</v>
      </c>
      <c r="E7">
        <f t="shared" si="0"/>
        <v>-2.533783783783777E-2</v>
      </c>
      <c r="I7" s="13" t="s">
        <v>19</v>
      </c>
      <c r="J7" s="12"/>
      <c r="K7" s="8">
        <f>_xlfn.STDEV.S(E4:E128)</f>
        <v>3.2602022002987806E-2</v>
      </c>
      <c r="P7" s="18"/>
      <c r="Q7" s="15"/>
    </row>
    <row r="8" spans="3:18" x14ac:dyDescent="0.2">
      <c r="C8" s="7">
        <v>46085</v>
      </c>
      <c r="D8" s="11">
        <v>41.44</v>
      </c>
      <c r="E8">
        <f t="shared" si="0"/>
        <v>7.0801033591731136E-2</v>
      </c>
      <c r="I8" s="8"/>
      <c r="J8" s="14" t="s">
        <v>21</v>
      </c>
      <c r="K8" s="14">
        <f>K7*SQRT(252)</f>
        <v>0.51754105474656975</v>
      </c>
      <c r="L8" s="27" t="s">
        <v>41</v>
      </c>
    </row>
    <row r="9" spans="3:18" x14ac:dyDescent="0.2">
      <c r="C9" s="7">
        <v>46084</v>
      </c>
      <c r="D9" s="11">
        <v>38.700000000000003</v>
      </c>
      <c r="E9">
        <f t="shared" si="0"/>
        <v>-1.2503189589180784E-2</v>
      </c>
      <c r="I9" s="8"/>
      <c r="J9" s="8"/>
      <c r="K9" s="8"/>
    </row>
    <row r="10" spans="3:18" x14ac:dyDescent="0.2">
      <c r="C10" s="7">
        <v>46083</v>
      </c>
      <c r="D10" s="11">
        <v>39.19</v>
      </c>
      <c r="E10">
        <f t="shared" si="0"/>
        <v>5.377789728421619E-2</v>
      </c>
      <c r="I10" s="5" t="s">
        <v>22</v>
      </c>
      <c r="J10" s="8"/>
      <c r="K10" s="8"/>
    </row>
    <row r="11" spans="3:18" x14ac:dyDescent="0.2">
      <c r="C11" s="7">
        <v>46080</v>
      </c>
      <c r="D11" s="11">
        <v>37.19</v>
      </c>
      <c r="E11">
        <f t="shared" si="0"/>
        <v>-2.7966544694197605E-2</v>
      </c>
      <c r="I11" s="16" t="s">
        <v>23</v>
      </c>
      <c r="J11" s="14">
        <f>EXP(K8*SQRT(6/12))</f>
        <v>1.4418929361827608</v>
      </c>
      <c r="K11" s="32" t="s">
        <v>48</v>
      </c>
    </row>
    <row r="12" spans="3:18" x14ac:dyDescent="0.2">
      <c r="C12" s="7">
        <v>46079</v>
      </c>
      <c r="D12" s="11">
        <v>38.26</v>
      </c>
      <c r="E12">
        <f t="shared" si="0"/>
        <v>-2.4725975019117996E-2</v>
      </c>
      <c r="I12" s="16" t="s">
        <v>24</v>
      </c>
      <c r="J12" s="14">
        <f>EXP(-(K8*SQRT(6/12)))</f>
        <v>0.69353276856143042</v>
      </c>
      <c r="K12" s="8"/>
      <c r="L12" t="s">
        <v>25</v>
      </c>
    </row>
    <row r="13" spans="3:18" x14ac:dyDescent="0.2">
      <c r="C13" s="7">
        <v>46078</v>
      </c>
      <c r="D13" s="11">
        <v>39.229999999999997</v>
      </c>
      <c r="E13">
        <f t="shared" si="0"/>
        <v>7.3911853271283759E-2</v>
      </c>
      <c r="I13" s="8"/>
      <c r="J13" s="8"/>
      <c r="K13" s="8"/>
    </row>
    <row r="14" spans="3:18" x14ac:dyDescent="0.2">
      <c r="C14" s="7">
        <v>46077</v>
      </c>
      <c r="D14" s="11">
        <v>36.53</v>
      </c>
      <c r="E14">
        <f t="shared" si="0"/>
        <v>-5.4719562243491166E-4</v>
      </c>
      <c r="I14" s="8"/>
      <c r="J14" s="8"/>
      <c r="K14" s="8"/>
    </row>
    <row r="15" spans="3:18" x14ac:dyDescent="0.2">
      <c r="C15" s="7">
        <v>46076</v>
      </c>
      <c r="D15" s="11">
        <v>36.549999999999997</v>
      </c>
      <c r="E15">
        <f t="shared" si="0"/>
        <v>-4.8672566371681533E-2</v>
      </c>
      <c r="I15" s="5" t="s">
        <v>27</v>
      </c>
      <c r="J15" s="8"/>
      <c r="K15" s="8"/>
      <c r="P15" s="33"/>
    </row>
    <row r="16" spans="3:18" x14ac:dyDescent="0.2">
      <c r="C16" s="7">
        <v>46073</v>
      </c>
      <c r="D16" s="11">
        <v>38.42</v>
      </c>
      <c r="E16">
        <f t="shared" si="0"/>
        <v>9.1935907538744782E-3</v>
      </c>
      <c r="I16" s="8"/>
      <c r="J16" s="8"/>
      <c r="K16" s="8"/>
      <c r="O16" t="s">
        <v>28</v>
      </c>
      <c r="P16" s="17">
        <v>3.6413500000000001E-2</v>
      </c>
    </row>
    <row r="17" spans="3:15" x14ac:dyDescent="0.2">
      <c r="C17" s="7">
        <v>46072</v>
      </c>
      <c r="D17" s="11">
        <v>38.07</v>
      </c>
      <c r="E17">
        <f t="shared" si="0"/>
        <v>1.4118273841236045E-2</v>
      </c>
      <c r="I17" s="8"/>
      <c r="J17" s="5" t="s">
        <v>26</v>
      </c>
      <c r="K17" s="18"/>
      <c r="L17" s="15">
        <f>(1+P16*SQRT(3/12))</f>
        <v>1.01820675</v>
      </c>
      <c r="M17" s="27" t="s">
        <v>29</v>
      </c>
    </row>
    <row r="18" spans="3:15" x14ac:dyDescent="0.2">
      <c r="C18" s="7">
        <v>46071</v>
      </c>
      <c r="D18" s="11">
        <v>37.54</v>
      </c>
      <c r="E18">
        <f t="shared" si="0"/>
        <v>-2.2141182599635358E-2</v>
      </c>
      <c r="I18" s="8"/>
      <c r="J18" s="8"/>
      <c r="K18" s="8"/>
      <c r="M18" s="27" t="s">
        <v>30</v>
      </c>
      <c r="O18" s="28" t="s">
        <v>42</v>
      </c>
    </row>
    <row r="19" spans="3:15" x14ac:dyDescent="0.2">
      <c r="C19" s="7">
        <v>46070</v>
      </c>
      <c r="D19" s="11">
        <v>38.39</v>
      </c>
      <c r="E19">
        <f t="shared" si="0"/>
        <v>-1.4883243520656873E-2</v>
      </c>
      <c r="I19" s="8"/>
      <c r="J19" s="5" t="s">
        <v>31</v>
      </c>
      <c r="K19" s="8"/>
      <c r="L19" s="15">
        <f>1/L17</f>
        <v>0.98211880838542853</v>
      </c>
      <c r="O19" s="28" t="s">
        <v>43</v>
      </c>
    </row>
    <row r="20" spans="3:15" x14ac:dyDescent="0.2">
      <c r="C20" s="7">
        <v>46066</v>
      </c>
      <c r="D20" s="11">
        <v>38.97</v>
      </c>
      <c r="E20">
        <f t="shared" si="0"/>
        <v>5.1821862348178191E-2</v>
      </c>
      <c r="I20" s="8"/>
      <c r="J20" s="8"/>
      <c r="K20" s="8"/>
    </row>
    <row r="21" spans="3:15" x14ac:dyDescent="0.2">
      <c r="C21" s="7">
        <v>46065</v>
      </c>
      <c r="D21" s="11">
        <v>37.049999999999997</v>
      </c>
      <c r="E21">
        <f t="shared" si="0"/>
        <v>-3.2384434578218907E-2</v>
      </c>
      <c r="I21" s="5" t="s">
        <v>32</v>
      </c>
      <c r="J21" s="8"/>
      <c r="K21" s="8"/>
      <c r="L21" t="s">
        <v>33</v>
      </c>
      <c r="M21">
        <f>(L17-J12)/(J11-J12)</f>
        <v>0.43384722421898647</v>
      </c>
    </row>
    <row r="22" spans="3:15" x14ac:dyDescent="0.2">
      <c r="C22" s="7">
        <v>46064</v>
      </c>
      <c r="D22" s="11">
        <v>38.29</v>
      </c>
      <c r="E22">
        <f t="shared" si="0"/>
        <v>-1.7449319989735687E-2</v>
      </c>
      <c r="J22" s="8"/>
      <c r="K22" s="8"/>
      <c r="L22" t="s">
        <v>34</v>
      </c>
      <c r="M22">
        <f>1-M21</f>
        <v>0.56615277578101353</v>
      </c>
    </row>
    <row r="23" spans="3:15" x14ac:dyDescent="0.2">
      <c r="C23" s="7">
        <v>46063</v>
      </c>
      <c r="D23" s="11">
        <v>38.97</v>
      </c>
      <c r="E23">
        <f t="shared" si="0"/>
        <v>-2.8421839940164562E-2</v>
      </c>
      <c r="I23" s="8"/>
      <c r="J23" s="8"/>
      <c r="K23" s="8"/>
    </row>
    <row r="24" spans="3:15" x14ac:dyDescent="0.2">
      <c r="C24" s="7">
        <v>46062</v>
      </c>
      <c r="D24" s="11">
        <v>40.11</v>
      </c>
      <c r="E24">
        <f t="shared" si="0"/>
        <v>1.0836693548387089E-2</v>
      </c>
      <c r="I24" s="8"/>
      <c r="J24" s="22"/>
      <c r="K24" s="23" t="s">
        <v>37</v>
      </c>
      <c r="L24" s="24" t="s">
        <v>38</v>
      </c>
    </row>
    <row r="25" spans="3:15" ht="63" x14ac:dyDescent="0.2">
      <c r="C25" s="7">
        <v>46059</v>
      </c>
      <c r="D25" s="11">
        <v>39.68</v>
      </c>
      <c r="E25">
        <f t="shared" si="0"/>
        <v>9.9168975069252027E-2</v>
      </c>
      <c r="I25" s="8"/>
      <c r="J25" s="26" t="s">
        <v>39</v>
      </c>
      <c r="K25" s="22">
        <f>MAX(R5*J11-K3,0)</f>
        <v>13.209217833698048</v>
      </c>
      <c r="L25" s="25">
        <v>0</v>
      </c>
    </row>
    <row r="26" spans="3:15" x14ac:dyDescent="0.2">
      <c r="C26" s="7">
        <v>46058</v>
      </c>
      <c r="D26" s="11">
        <v>36.1</v>
      </c>
      <c r="E26">
        <f t="shared" si="0"/>
        <v>-0.13158527784459945</v>
      </c>
      <c r="I26" s="8"/>
      <c r="J26" s="8"/>
      <c r="K26" s="8"/>
    </row>
    <row r="27" spans="3:15" x14ac:dyDescent="0.2">
      <c r="C27" s="7">
        <v>46057</v>
      </c>
      <c r="D27" s="11">
        <v>41.57</v>
      </c>
      <c r="E27">
        <f t="shared" si="0"/>
        <v>-3.9953810623556511E-2</v>
      </c>
      <c r="I27" s="8"/>
      <c r="J27" s="8"/>
      <c r="K27" s="8"/>
    </row>
    <row r="28" spans="3:15" x14ac:dyDescent="0.2">
      <c r="C28" s="7">
        <v>46056</v>
      </c>
      <c r="D28" s="11">
        <v>43.3</v>
      </c>
      <c r="E28">
        <f t="shared" si="0"/>
        <v>-2.0805065581185025E-2</v>
      </c>
      <c r="I28" s="8"/>
      <c r="J28" s="8"/>
      <c r="K28" s="8"/>
    </row>
    <row r="29" spans="3:15" ht="18" x14ac:dyDescent="0.2">
      <c r="C29" s="7">
        <v>46055</v>
      </c>
      <c r="D29" s="11">
        <v>44.22</v>
      </c>
      <c r="E29">
        <f t="shared" si="0"/>
        <v>-6.8856601389766334E-2</v>
      </c>
      <c r="I29" s="8"/>
      <c r="J29" s="29" t="s">
        <v>44</v>
      </c>
      <c r="K29" s="8"/>
      <c r="M29" s="30">
        <f>L19*(M21*K25+M22*L25)</f>
        <v>5.628309271426291</v>
      </c>
    </row>
    <row r="30" spans="3:15" x14ac:dyDescent="0.2">
      <c r="C30" s="7">
        <v>46052</v>
      </c>
      <c r="D30" s="11">
        <v>47.49</v>
      </c>
      <c r="E30">
        <f t="shared" si="0"/>
        <v>-2.310924369747887E-3</v>
      </c>
      <c r="I30" s="8"/>
      <c r="J30" s="8" t="s">
        <v>45</v>
      </c>
      <c r="K30" s="8"/>
    </row>
    <row r="31" spans="3:15" x14ac:dyDescent="0.2">
      <c r="C31" s="7">
        <v>46051</v>
      </c>
      <c r="D31" s="11">
        <v>47.6</v>
      </c>
      <c r="E31">
        <f t="shared" si="0"/>
        <v>-5.761235398930898E-2</v>
      </c>
    </row>
    <row r="32" spans="3:15" x14ac:dyDescent="0.2">
      <c r="C32" s="7">
        <v>46050</v>
      </c>
      <c r="D32" s="11">
        <v>50.51</v>
      </c>
      <c r="E32">
        <f t="shared" si="0"/>
        <v>-2.370136282836353E-3</v>
      </c>
    </row>
    <row r="33" spans="3:5" x14ac:dyDescent="0.2">
      <c r="C33" s="7">
        <v>46049</v>
      </c>
      <c r="D33" s="11">
        <v>50.63</v>
      </c>
      <c r="E33">
        <f t="shared" si="0"/>
        <v>1.9738167170191421E-2</v>
      </c>
    </row>
    <row r="34" spans="3:5" x14ac:dyDescent="0.2">
      <c r="C34" s="7">
        <v>46048</v>
      </c>
      <c r="D34" s="11">
        <v>49.65</v>
      </c>
      <c r="E34">
        <f t="shared" si="0"/>
        <v>-2.0710059171597715E-2</v>
      </c>
    </row>
    <row r="35" spans="3:5" x14ac:dyDescent="0.2">
      <c r="C35" s="7">
        <v>46045</v>
      </c>
      <c r="D35" s="11">
        <v>50.7</v>
      </c>
      <c r="E35">
        <f t="shared" si="0"/>
        <v>5.920663114269022E-4</v>
      </c>
    </row>
    <row r="36" spans="3:5" x14ac:dyDescent="0.2">
      <c r="C36" s="7">
        <v>46044</v>
      </c>
      <c r="D36" s="11">
        <v>50.67</v>
      </c>
      <c r="E36">
        <f t="shared" si="0"/>
        <v>-8.6088828017999944E-3</v>
      </c>
    </row>
    <row r="37" spans="3:5" x14ac:dyDescent="0.2">
      <c r="C37" s="7">
        <v>46043</v>
      </c>
      <c r="D37" s="11">
        <v>51.11</v>
      </c>
      <c r="E37">
        <f t="shared" si="0"/>
        <v>6.8951930654058595E-3</v>
      </c>
    </row>
    <row r="38" spans="3:5" x14ac:dyDescent="0.2">
      <c r="C38" s="7">
        <v>46042</v>
      </c>
      <c r="D38" s="11">
        <v>50.76</v>
      </c>
      <c r="E38">
        <f t="shared" si="0"/>
        <v>-6.4159292035398302E-2</v>
      </c>
    </row>
    <row r="39" spans="3:5" x14ac:dyDescent="0.2">
      <c r="C39" s="7">
        <v>46038</v>
      </c>
      <c r="D39" s="11">
        <v>54.24</v>
      </c>
      <c r="E39">
        <f t="shared" si="0"/>
        <v>4.4444444444444809E-3</v>
      </c>
    </row>
    <row r="40" spans="3:5" x14ac:dyDescent="0.2">
      <c r="C40" s="7">
        <v>46037</v>
      </c>
      <c r="D40" s="11">
        <v>54</v>
      </c>
      <c r="E40">
        <f t="shared" si="0"/>
        <v>-2.5974025974025934E-2</v>
      </c>
    </row>
    <row r="41" spans="3:5" x14ac:dyDescent="0.2">
      <c r="C41" s="7">
        <v>46036</v>
      </c>
      <c r="D41" s="11">
        <v>55.44</v>
      </c>
      <c r="E41">
        <f t="shared" si="0"/>
        <v>3.4907597535934247E-2</v>
      </c>
    </row>
    <row r="42" spans="3:5" x14ac:dyDescent="0.2">
      <c r="C42" s="7">
        <v>46035</v>
      </c>
      <c r="D42" s="11">
        <v>53.57</v>
      </c>
      <c r="E42">
        <f t="shared" si="0"/>
        <v>3.2774243300559149E-2</v>
      </c>
    </row>
    <row r="43" spans="3:5" x14ac:dyDescent="0.2">
      <c r="C43" s="7">
        <v>46034</v>
      </c>
      <c r="D43" s="11">
        <v>51.87</v>
      </c>
      <c r="E43">
        <f t="shared" si="0"/>
        <v>1.3878029710711511E-2</v>
      </c>
    </row>
    <row r="44" spans="3:5" x14ac:dyDescent="0.2">
      <c r="C44" s="7">
        <v>46031</v>
      </c>
      <c r="D44" s="11">
        <v>51.16</v>
      </c>
      <c r="E44">
        <f t="shared" si="0"/>
        <v>-6.9875776397516796E-3</v>
      </c>
    </row>
    <row r="45" spans="3:5" x14ac:dyDescent="0.2">
      <c r="C45" s="7">
        <v>46030</v>
      </c>
      <c r="D45" s="11">
        <v>51.52</v>
      </c>
      <c r="E45">
        <f t="shared" si="0"/>
        <v>-3.8804811796655064E-4</v>
      </c>
    </row>
    <row r="46" spans="3:5" x14ac:dyDescent="0.2">
      <c r="C46" s="7">
        <v>46029</v>
      </c>
      <c r="D46" s="11">
        <v>51.54</v>
      </c>
      <c r="E46">
        <f t="shared" si="0"/>
        <v>-1.7349857006673092E-2</v>
      </c>
    </row>
    <row r="47" spans="3:5" x14ac:dyDescent="0.2">
      <c r="C47" s="7">
        <v>46028</v>
      </c>
      <c r="D47" s="11">
        <v>52.45</v>
      </c>
      <c r="E47">
        <f t="shared" si="0"/>
        <v>-1.8892630003741077E-2</v>
      </c>
    </row>
    <row r="48" spans="3:5" x14ac:dyDescent="0.2">
      <c r="C48" s="7">
        <v>46027</v>
      </c>
      <c r="D48" s="11">
        <v>53.46</v>
      </c>
      <c r="E48">
        <f t="shared" si="0"/>
        <v>4.9469964664311021E-2</v>
      </c>
    </row>
    <row r="49" spans="3:12" x14ac:dyDescent="0.2">
      <c r="C49" s="7">
        <v>46024</v>
      </c>
      <c r="D49" s="11">
        <v>50.94</v>
      </c>
      <c r="E49">
        <f t="shared" si="0"/>
        <v>2.5981873111782461E-2</v>
      </c>
    </row>
    <row r="50" spans="3:12" x14ac:dyDescent="0.2">
      <c r="C50" s="7">
        <v>46022</v>
      </c>
      <c r="D50" s="11">
        <v>49.65</v>
      </c>
      <c r="E50">
        <f t="shared" si="0"/>
        <v>-3.6122817579771166E-3</v>
      </c>
    </row>
    <row r="51" spans="3:12" x14ac:dyDescent="0.2">
      <c r="C51" s="7">
        <v>46021</v>
      </c>
      <c r="D51" s="11">
        <v>49.83</v>
      </c>
      <c r="E51">
        <f t="shared" si="0"/>
        <v>9.1130012150667412E-3</v>
      </c>
    </row>
    <row r="52" spans="3:12" x14ac:dyDescent="0.2">
      <c r="C52" s="7">
        <v>46020</v>
      </c>
      <c r="D52" s="11">
        <v>49.38</v>
      </c>
      <c r="E52">
        <f t="shared" si="0"/>
        <v>-4.6361620640999173E-3</v>
      </c>
    </row>
    <row r="53" spans="3:12" x14ac:dyDescent="0.2">
      <c r="C53" s="7">
        <v>46017</v>
      </c>
      <c r="D53" s="11">
        <v>49.61</v>
      </c>
      <c r="E53">
        <f t="shared" si="0"/>
        <v>3.0327537403962508E-3</v>
      </c>
    </row>
    <row r="54" spans="3:12" x14ac:dyDescent="0.2">
      <c r="C54" s="7">
        <v>46015</v>
      </c>
      <c r="D54" s="11">
        <v>49.46</v>
      </c>
      <c r="E54">
        <f t="shared" si="0"/>
        <v>-3.8267875125880713E-3</v>
      </c>
    </row>
    <row r="55" spans="3:12" x14ac:dyDescent="0.2">
      <c r="C55" s="7">
        <v>46014</v>
      </c>
      <c r="D55" s="11">
        <v>49.65</v>
      </c>
      <c r="E55">
        <f t="shared" si="0"/>
        <v>-8.7841884607707081E-3</v>
      </c>
    </row>
    <row r="56" spans="3:12" x14ac:dyDescent="0.2">
      <c r="C56" s="7">
        <v>46013</v>
      </c>
      <c r="D56" s="11">
        <v>50.09</v>
      </c>
      <c r="E56">
        <f t="shared" si="0"/>
        <v>3.6064916850331963E-3</v>
      </c>
    </row>
    <row r="57" spans="3:12" x14ac:dyDescent="0.2">
      <c r="C57" s="7">
        <v>46010</v>
      </c>
      <c r="D57" s="11">
        <v>49.91</v>
      </c>
      <c r="E57">
        <f t="shared" si="0"/>
        <v>4.0658882402001578E-2</v>
      </c>
    </row>
    <row r="58" spans="3:12" x14ac:dyDescent="0.2">
      <c r="C58" s="7">
        <v>46009</v>
      </c>
      <c r="D58" s="11">
        <v>47.96</v>
      </c>
      <c r="E58">
        <f t="shared" si="0"/>
        <v>-1.5397249024840895E-2</v>
      </c>
    </row>
    <row r="59" spans="3:12" x14ac:dyDescent="0.2">
      <c r="C59" s="7">
        <v>46008</v>
      </c>
      <c r="D59" s="11">
        <v>48.71</v>
      </c>
      <c r="E59">
        <f t="shared" si="0"/>
        <v>-2.0116676725005028E-2</v>
      </c>
    </row>
    <row r="60" spans="3:12" x14ac:dyDescent="0.2">
      <c r="C60" s="7">
        <v>46007</v>
      </c>
      <c r="D60" s="11">
        <v>49.71</v>
      </c>
      <c r="E60">
        <f t="shared" si="0"/>
        <v>2.1578298397040778E-2</v>
      </c>
    </row>
    <row r="61" spans="3:12" x14ac:dyDescent="0.2">
      <c r="C61" s="7">
        <v>46006</v>
      </c>
      <c r="D61" s="8">
        <v>48.66</v>
      </c>
      <c r="E61">
        <f t="shared" si="0"/>
        <v>-4.9609375000000122E-2</v>
      </c>
    </row>
    <row r="62" spans="3:12" x14ac:dyDescent="0.2">
      <c r="C62" s="7">
        <v>46003</v>
      </c>
      <c r="D62" s="8">
        <v>51.2</v>
      </c>
      <c r="E62">
        <f t="shared" si="0"/>
        <v>-1.7274472168905923E-2</v>
      </c>
      <c r="F62" s="5"/>
      <c r="G62" s="5"/>
      <c r="I62" s="5"/>
    </row>
    <row r="63" spans="3:12" x14ac:dyDescent="0.2">
      <c r="C63" s="7">
        <v>46002</v>
      </c>
      <c r="D63" s="8">
        <v>52.1</v>
      </c>
      <c r="E63">
        <f t="shared" si="0"/>
        <v>-7.4299866641265111E-3</v>
      </c>
      <c r="F63" s="5"/>
      <c r="G63" s="5"/>
      <c r="H63" s="5"/>
      <c r="I63" s="5"/>
      <c r="J63" s="5"/>
      <c r="K63" s="5"/>
      <c r="L63" s="5"/>
    </row>
    <row r="64" spans="3:12" x14ac:dyDescent="0.2">
      <c r="C64" s="7">
        <v>46001</v>
      </c>
      <c r="D64" s="8">
        <v>52.49</v>
      </c>
      <c r="E64">
        <f t="shared" si="0"/>
        <v>-6.811731315042562E-3</v>
      </c>
      <c r="G64" s="8"/>
      <c r="H64" s="8"/>
      <c r="I64" s="8"/>
      <c r="J64" s="8"/>
      <c r="K64" s="8"/>
      <c r="L64" s="8"/>
    </row>
    <row r="65" spans="3:12" x14ac:dyDescent="0.2">
      <c r="C65" s="7">
        <v>46000</v>
      </c>
      <c r="D65" s="8">
        <v>52.85</v>
      </c>
      <c r="E65">
        <f t="shared" si="0"/>
        <v>2.5815217391304313E-2</v>
      </c>
      <c r="G65" s="8"/>
      <c r="H65" s="8"/>
      <c r="I65" s="8"/>
      <c r="J65" s="8"/>
      <c r="K65" s="8"/>
      <c r="L65" s="8"/>
    </row>
    <row r="66" spans="3:12" x14ac:dyDescent="0.2">
      <c r="C66" s="7">
        <v>45999</v>
      </c>
      <c r="D66" s="8">
        <v>51.52</v>
      </c>
      <c r="E66">
        <f t="shared" si="0"/>
        <v>1.63740382718486E-2</v>
      </c>
      <c r="G66" s="8"/>
      <c r="H66" s="8"/>
      <c r="I66" s="8"/>
      <c r="J66" s="8"/>
      <c r="K66" s="8"/>
      <c r="L66" s="8"/>
    </row>
    <row r="67" spans="3:12" x14ac:dyDescent="0.2">
      <c r="C67" s="7">
        <v>45996</v>
      </c>
      <c r="D67" s="8">
        <v>50.69</v>
      </c>
      <c r="E67">
        <f t="shared" si="0"/>
        <v>-3.466006474957152E-2</v>
      </c>
      <c r="G67" s="8"/>
      <c r="H67" s="8"/>
      <c r="I67" s="8"/>
      <c r="J67" s="8"/>
      <c r="K67" s="8"/>
      <c r="L67" s="8"/>
    </row>
    <row r="68" spans="3:12" x14ac:dyDescent="0.2">
      <c r="C68" s="7">
        <v>45995</v>
      </c>
      <c r="D68" s="8">
        <v>52.51</v>
      </c>
      <c r="E68">
        <f t="shared" si="0"/>
        <v>-4.3610163064088728E-3</v>
      </c>
      <c r="G68" s="8"/>
      <c r="H68" s="8"/>
      <c r="I68" s="8"/>
      <c r="J68" s="8"/>
      <c r="K68" s="8"/>
      <c r="L68" s="8"/>
    </row>
    <row r="69" spans="3:12" x14ac:dyDescent="0.2">
      <c r="C69" s="7">
        <v>45994</v>
      </c>
      <c r="D69" s="8">
        <v>52.74</v>
      </c>
      <c r="E69">
        <f t="shared" ref="E69:E127" si="1">(D69-D70)/D70</f>
        <v>2.0708341397329209E-2</v>
      </c>
      <c r="G69" s="8"/>
      <c r="H69" s="8"/>
      <c r="I69" s="8"/>
      <c r="J69" s="8"/>
      <c r="K69" s="8"/>
      <c r="L69" s="8"/>
    </row>
    <row r="70" spans="3:12" x14ac:dyDescent="0.2">
      <c r="C70" s="7">
        <v>45993</v>
      </c>
      <c r="D70" s="8">
        <v>51.67</v>
      </c>
      <c r="E70">
        <f t="shared" si="1"/>
        <v>6.5360824742268078E-2</v>
      </c>
      <c r="G70" s="8"/>
      <c r="H70" s="8"/>
      <c r="I70" s="8"/>
      <c r="J70" s="8"/>
      <c r="K70" s="8"/>
      <c r="L70" s="8"/>
    </row>
    <row r="71" spans="3:12" x14ac:dyDescent="0.2">
      <c r="C71" s="7">
        <v>45992</v>
      </c>
      <c r="D71" s="8">
        <v>48.5</v>
      </c>
      <c r="E71">
        <f t="shared" si="1"/>
        <v>-5.9165858389912653E-2</v>
      </c>
      <c r="G71" s="8"/>
      <c r="H71" s="8"/>
      <c r="I71" s="8"/>
      <c r="J71" s="8"/>
      <c r="K71" s="8"/>
      <c r="L71" s="8"/>
    </row>
    <row r="72" spans="3:12" x14ac:dyDescent="0.2">
      <c r="C72" s="7">
        <v>45989</v>
      </c>
      <c r="D72" s="8">
        <v>51.55</v>
      </c>
      <c r="E72">
        <f t="shared" si="1"/>
        <v>1.019008426415826E-2</v>
      </c>
      <c r="G72" s="8"/>
      <c r="H72" s="8"/>
      <c r="I72" s="8"/>
      <c r="J72" s="8"/>
      <c r="K72" s="8"/>
      <c r="L72" s="8"/>
    </row>
    <row r="73" spans="3:12" x14ac:dyDescent="0.2">
      <c r="C73" s="7">
        <v>45987</v>
      </c>
      <c r="D73" s="8">
        <v>51.03</v>
      </c>
      <c r="E73">
        <f t="shared" si="1"/>
        <v>2.9661016949152519E-2</v>
      </c>
      <c r="G73" s="8"/>
      <c r="H73" s="8"/>
      <c r="I73" s="8"/>
      <c r="J73" s="8"/>
      <c r="K73" s="8"/>
      <c r="L73" s="8"/>
    </row>
    <row r="74" spans="3:12" x14ac:dyDescent="0.2">
      <c r="C74" s="7">
        <v>45986</v>
      </c>
      <c r="D74" s="8">
        <v>49.56</v>
      </c>
      <c r="E74">
        <f t="shared" si="1"/>
        <v>-1.9972315602135613E-2</v>
      </c>
      <c r="G74" s="8"/>
      <c r="H74" s="8"/>
      <c r="I74" s="8"/>
      <c r="J74" s="8"/>
      <c r="K74" s="8"/>
      <c r="L74" s="8"/>
    </row>
    <row r="75" spans="3:12" x14ac:dyDescent="0.2">
      <c r="C75" s="7">
        <v>45985</v>
      </c>
      <c r="D75" s="8">
        <v>50.57</v>
      </c>
      <c r="E75">
        <f t="shared" si="1"/>
        <v>5.4200542005420085E-2</v>
      </c>
      <c r="G75" s="8"/>
      <c r="H75" s="8"/>
      <c r="I75" s="8"/>
      <c r="J75" s="8"/>
      <c r="K75" s="8"/>
      <c r="L75" s="8"/>
    </row>
    <row r="76" spans="3:12" x14ac:dyDescent="0.2">
      <c r="C76" s="7">
        <v>45982</v>
      </c>
      <c r="D76" s="8">
        <v>47.97</v>
      </c>
      <c r="E76">
        <f t="shared" si="1"/>
        <v>-2.0220588235294157E-2</v>
      </c>
      <c r="G76" s="8"/>
      <c r="H76" s="8"/>
      <c r="I76" s="8"/>
      <c r="J76" s="8"/>
      <c r="K76" s="8"/>
      <c r="L76" s="8"/>
    </row>
    <row r="77" spans="3:12" x14ac:dyDescent="0.2">
      <c r="C77" s="7">
        <v>45981</v>
      </c>
      <c r="D77" s="8">
        <v>48.96</v>
      </c>
      <c r="E77">
        <f t="shared" si="1"/>
        <v>-3.4890597279716065E-2</v>
      </c>
      <c r="G77" s="8"/>
      <c r="H77" s="8"/>
      <c r="I77" s="8"/>
      <c r="J77" s="8"/>
      <c r="K77" s="8"/>
      <c r="L77" s="8"/>
    </row>
    <row r="78" spans="3:12" x14ac:dyDescent="0.2">
      <c r="C78" s="7">
        <v>45980</v>
      </c>
      <c r="D78" s="8">
        <v>50.73</v>
      </c>
      <c r="E78">
        <f t="shared" si="1"/>
        <v>-3.6650208887200907E-2</v>
      </c>
      <c r="G78" s="8"/>
      <c r="H78" s="8"/>
      <c r="I78" s="8"/>
      <c r="J78" s="8"/>
      <c r="K78" s="8"/>
      <c r="L78" s="8"/>
    </row>
    <row r="79" spans="3:12" x14ac:dyDescent="0.2">
      <c r="C79" s="7">
        <v>45979</v>
      </c>
      <c r="D79" s="8">
        <v>52.66</v>
      </c>
      <c r="E79">
        <f t="shared" si="1"/>
        <v>1.0748560460652498E-2</v>
      </c>
      <c r="G79" s="8"/>
      <c r="H79" s="8"/>
      <c r="I79" s="8"/>
      <c r="J79" s="8"/>
      <c r="K79" s="8"/>
      <c r="L79" s="8"/>
    </row>
    <row r="80" spans="3:12" x14ac:dyDescent="0.2">
      <c r="C80" s="7">
        <v>45978</v>
      </c>
      <c r="D80" s="8">
        <v>52.1</v>
      </c>
      <c r="E80">
        <f t="shared" si="1"/>
        <v>-2.5621844024686691E-2</v>
      </c>
      <c r="G80" s="8"/>
      <c r="H80" s="8"/>
      <c r="I80" s="8"/>
      <c r="J80" s="8"/>
      <c r="K80" s="8"/>
      <c r="L80" s="8"/>
    </row>
    <row r="81" spans="3:12" x14ac:dyDescent="0.2">
      <c r="C81" s="7">
        <v>45975</v>
      </c>
      <c r="D81" s="8">
        <v>53.47</v>
      </c>
      <c r="E81">
        <f t="shared" si="1"/>
        <v>-3.8136355459615121E-2</v>
      </c>
      <c r="G81" s="8"/>
      <c r="H81" s="8"/>
      <c r="I81" s="8"/>
      <c r="J81" s="8"/>
      <c r="K81" s="8"/>
      <c r="L81" s="8"/>
    </row>
    <row r="82" spans="3:12" x14ac:dyDescent="0.2">
      <c r="C82" s="7">
        <v>45974</v>
      </c>
      <c r="D82" s="8">
        <v>55.59</v>
      </c>
      <c r="E82">
        <f t="shared" si="1"/>
        <v>-3.4728251432540366E-2</v>
      </c>
      <c r="G82" s="8"/>
      <c r="H82" s="8"/>
      <c r="I82" s="8"/>
      <c r="J82" s="8"/>
      <c r="K82" s="8"/>
      <c r="L82" s="8"/>
    </row>
    <row r="83" spans="3:12" x14ac:dyDescent="0.2">
      <c r="C83" s="7">
        <v>45973</v>
      </c>
      <c r="D83" s="8">
        <v>57.59</v>
      </c>
      <c r="E83">
        <f t="shared" si="1"/>
        <v>-1.3024850042844868E-2</v>
      </c>
      <c r="G83" s="8"/>
      <c r="H83" s="8"/>
      <c r="I83" s="8"/>
      <c r="J83" s="8"/>
      <c r="K83" s="8"/>
      <c r="L83" s="8"/>
    </row>
    <row r="84" spans="3:12" x14ac:dyDescent="0.2">
      <c r="C84" s="7">
        <v>45972</v>
      </c>
      <c r="D84" s="8">
        <v>58.35</v>
      </c>
      <c r="E84">
        <f t="shared" si="1"/>
        <v>-3.0569862103339365E-2</v>
      </c>
      <c r="G84" s="8"/>
      <c r="H84" s="8"/>
      <c r="I84" s="8"/>
      <c r="J84" s="8"/>
      <c r="K84" s="8"/>
      <c r="L84" s="8"/>
    </row>
    <row r="85" spans="3:12" x14ac:dyDescent="0.2">
      <c r="C85" s="7">
        <v>45971</v>
      </c>
      <c r="D85" s="8">
        <v>60.19</v>
      </c>
      <c r="E85">
        <f t="shared" si="1"/>
        <v>2.2248641304347744E-2</v>
      </c>
      <c r="G85" s="8"/>
      <c r="H85" s="8"/>
      <c r="I85" s="8"/>
      <c r="J85" s="8"/>
      <c r="K85" s="8"/>
      <c r="L85" s="8"/>
    </row>
    <row r="86" spans="3:12" x14ac:dyDescent="0.2">
      <c r="C86" s="7">
        <v>45968</v>
      </c>
      <c r="D86" s="8">
        <v>58.88</v>
      </c>
      <c r="E86">
        <f t="shared" si="1"/>
        <v>2.8292001397135953E-2</v>
      </c>
      <c r="G86" s="8"/>
      <c r="H86" s="8"/>
      <c r="I86" s="8"/>
      <c r="J86" s="8"/>
      <c r="K86" s="8"/>
      <c r="L86" s="8"/>
    </row>
    <row r="87" spans="3:12" x14ac:dyDescent="0.2">
      <c r="C87" s="7">
        <v>45967</v>
      </c>
      <c r="D87" s="8">
        <v>57.26</v>
      </c>
      <c r="E87">
        <f t="shared" si="1"/>
        <v>-2.8173794976239029E-2</v>
      </c>
      <c r="G87" s="8"/>
      <c r="H87" s="8"/>
      <c r="I87" s="8"/>
      <c r="J87" s="8"/>
      <c r="K87" s="8"/>
      <c r="L87" s="8"/>
    </row>
    <row r="88" spans="3:12" x14ac:dyDescent="0.2">
      <c r="C88" s="7">
        <v>45966</v>
      </c>
      <c r="D88" s="8">
        <v>58.92</v>
      </c>
      <c r="E88">
        <f t="shared" si="1"/>
        <v>3.0430220356768137E-2</v>
      </c>
      <c r="G88" s="8"/>
      <c r="H88" s="8"/>
      <c r="I88" s="8"/>
      <c r="J88" s="8"/>
      <c r="K88" s="8"/>
      <c r="L88" s="8"/>
    </row>
    <row r="89" spans="3:12" x14ac:dyDescent="0.2">
      <c r="C89" s="7">
        <v>45965</v>
      </c>
      <c r="D89" s="8">
        <v>57.18</v>
      </c>
      <c r="E89">
        <f t="shared" si="1"/>
        <v>-5.5344457293903873E-2</v>
      </c>
      <c r="G89" s="8"/>
      <c r="H89" s="8"/>
      <c r="I89" s="8"/>
      <c r="J89" s="8"/>
      <c r="K89" s="8"/>
      <c r="L89" s="8"/>
    </row>
    <row r="90" spans="3:12" x14ac:dyDescent="0.2">
      <c r="C90" s="7">
        <v>45964</v>
      </c>
      <c r="D90" s="8">
        <v>60.53</v>
      </c>
      <c r="E90">
        <f t="shared" si="1"/>
        <v>-2.8410914927768798E-2</v>
      </c>
      <c r="G90" s="8"/>
      <c r="H90" s="8"/>
      <c r="I90" s="8"/>
      <c r="J90" s="8"/>
      <c r="K90" s="8"/>
      <c r="L90" s="8"/>
    </row>
    <row r="91" spans="3:12" x14ac:dyDescent="0.2">
      <c r="C91" s="7">
        <v>45961</v>
      </c>
      <c r="D91" s="8">
        <v>62.3</v>
      </c>
      <c r="E91">
        <f t="shared" si="1"/>
        <v>3.1456953642384086E-2</v>
      </c>
      <c r="G91" s="8"/>
      <c r="H91" s="8"/>
      <c r="I91" s="8"/>
      <c r="J91" s="8"/>
      <c r="K91" s="8"/>
      <c r="L91" s="8"/>
    </row>
    <row r="92" spans="3:12" x14ac:dyDescent="0.2">
      <c r="C92" s="7">
        <v>45960</v>
      </c>
      <c r="D92" s="8">
        <v>60.4</v>
      </c>
      <c r="E92">
        <f t="shared" si="1"/>
        <v>-3.7450199203187276E-2</v>
      </c>
      <c r="G92" s="8"/>
      <c r="H92" s="8"/>
      <c r="I92" s="8"/>
      <c r="J92" s="8"/>
      <c r="K92" s="8"/>
      <c r="L92" s="8"/>
    </row>
    <row r="93" spans="3:12" x14ac:dyDescent="0.2">
      <c r="C93" s="7">
        <v>45959</v>
      </c>
      <c r="D93" s="8">
        <v>62.75</v>
      </c>
      <c r="E93">
        <f t="shared" si="1"/>
        <v>-2.6980927275546518E-2</v>
      </c>
      <c r="G93" s="8"/>
      <c r="H93" s="8"/>
      <c r="I93" s="8"/>
      <c r="J93" s="8"/>
      <c r="K93" s="8"/>
      <c r="L93" s="8"/>
    </row>
    <row r="94" spans="3:12" x14ac:dyDescent="0.2">
      <c r="C94" s="7">
        <v>45958</v>
      </c>
      <c r="D94" s="8">
        <v>64.489999999999995</v>
      </c>
      <c r="E94">
        <f t="shared" si="1"/>
        <v>-1.2101715686274606E-2</v>
      </c>
      <c r="G94" s="8"/>
      <c r="H94" s="8"/>
      <c r="I94" s="8"/>
      <c r="J94" s="8"/>
      <c r="K94" s="8"/>
      <c r="L94" s="8"/>
    </row>
    <row r="95" spans="3:12" x14ac:dyDescent="0.2">
      <c r="C95" s="7">
        <v>45957</v>
      </c>
      <c r="D95" s="8">
        <v>65.28</v>
      </c>
      <c r="E95">
        <f t="shared" si="1"/>
        <v>3.899411109342675E-2</v>
      </c>
      <c r="G95" s="8"/>
      <c r="H95" s="8"/>
      <c r="I95" s="8"/>
      <c r="J95" s="8"/>
      <c r="K95" s="8"/>
      <c r="L95" s="8"/>
    </row>
    <row r="96" spans="3:12" x14ac:dyDescent="0.2">
      <c r="C96" s="7">
        <v>45954</v>
      </c>
      <c r="D96" s="8">
        <v>62.83</v>
      </c>
      <c r="E96">
        <f t="shared" si="1"/>
        <v>4.3158567774935425E-3</v>
      </c>
      <c r="G96" s="8"/>
      <c r="H96" s="8"/>
      <c r="I96" s="8"/>
      <c r="J96" s="8"/>
      <c r="K96" s="8"/>
      <c r="L96" s="8"/>
    </row>
    <row r="97" spans="3:12" x14ac:dyDescent="0.2">
      <c r="C97" s="7">
        <v>45953</v>
      </c>
      <c r="D97" s="8">
        <v>62.56</v>
      </c>
      <c r="E97">
        <f t="shared" si="1"/>
        <v>2.2055219735337386E-2</v>
      </c>
      <c r="G97" s="8"/>
      <c r="H97" s="8"/>
      <c r="I97" s="8"/>
      <c r="J97" s="8"/>
      <c r="K97" s="8"/>
      <c r="L97" s="8"/>
    </row>
    <row r="98" spans="3:12" x14ac:dyDescent="0.2">
      <c r="C98" s="7">
        <v>45952</v>
      </c>
      <c r="D98" s="8">
        <v>61.21</v>
      </c>
      <c r="E98">
        <f t="shared" si="1"/>
        <v>-3.5911167112931186E-2</v>
      </c>
      <c r="G98" s="8"/>
      <c r="H98" s="8"/>
      <c r="I98" s="8"/>
      <c r="J98" s="8"/>
      <c r="K98" s="8"/>
      <c r="L98" s="8"/>
    </row>
    <row r="99" spans="3:12" x14ac:dyDescent="0.2">
      <c r="C99" s="7">
        <v>45951</v>
      </c>
      <c r="D99" s="8">
        <v>63.49</v>
      </c>
      <c r="E99">
        <f t="shared" si="1"/>
        <v>8.898776418242528E-3</v>
      </c>
      <c r="G99" s="8"/>
      <c r="H99" s="8"/>
      <c r="I99" s="8"/>
      <c r="J99" s="8"/>
      <c r="K99" s="8"/>
      <c r="L99" s="8"/>
    </row>
    <row r="100" spans="3:12" x14ac:dyDescent="0.2">
      <c r="C100" s="7">
        <v>45950</v>
      </c>
      <c r="D100" s="8">
        <v>62.93</v>
      </c>
      <c r="E100">
        <f t="shared" si="1"/>
        <v>4.0681329584918158E-2</v>
      </c>
      <c r="G100" s="8"/>
      <c r="H100" s="8"/>
      <c r="I100" s="8"/>
      <c r="J100" s="8"/>
      <c r="K100" s="8"/>
      <c r="L100" s="8"/>
    </row>
    <row r="101" spans="3:12" x14ac:dyDescent="0.2">
      <c r="C101" s="7">
        <v>45947</v>
      </c>
      <c r="D101" s="8">
        <v>60.47</v>
      </c>
      <c r="E101">
        <f t="shared" si="1"/>
        <v>-1.5627543545498956E-2</v>
      </c>
      <c r="G101" s="8"/>
      <c r="H101" s="8"/>
      <c r="I101" s="8"/>
      <c r="J101" s="8"/>
      <c r="K101" s="8"/>
      <c r="L101" s="8"/>
    </row>
    <row r="102" spans="3:12" x14ac:dyDescent="0.2">
      <c r="C102" s="7">
        <v>45946</v>
      </c>
      <c r="D102" s="8">
        <v>61.43</v>
      </c>
      <c r="E102">
        <f t="shared" si="1"/>
        <v>-2.7544720595219282E-2</v>
      </c>
      <c r="G102" s="8"/>
      <c r="H102" s="8"/>
      <c r="I102" s="8"/>
      <c r="J102" s="8"/>
      <c r="K102" s="8"/>
      <c r="L102" s="8"/>
    </row>
    <row r="103" spans="3:12" x14ac:dyDescent="0.2">
      <c r="C103" s="7">
        <v>45945</v>
      </c>
      <c r="D103" s="8">
        <v>63.17</v>
      </c>
      <c r="E103">
        <f t="shared" si="1"/>
        <v>-1.1578782663119933E-2</v>
      </c>
      <c r="G103" s="8"/>
      <c r="H103" s="8"/>
      <c r="I103" s="8"/>
      <c r="J103" s="8"/>
      <c r="K103" s="8"/>
      <c r="L103" s="8"/>
    </row>
    <row r="104" spans="3:12" x14ac:dyDescent="0.2">
      <c r="C104" s="7">
        <v>45944</v>
      </c>
      <c r="D104" s="8">
        <v>63.91</v>
      </c>
      <c r="E104">
        <f t="shared" si="1"/>
        <v>-2.8870992250417955E-2</v>
      </c>
      <c r="G104" s="8"/>
      <c r="H104" s="8"/>
      <c r="I104" s="8"/>
      <c r="J104" s="8"/>
      <c r="K104" s="8"/>
      <c r="L104" s="8"/>
    </row>
    <row r="105" spans="3:12" x14ac:dyDescent="0.2">
      <c r="C105" s="7">
        <v>45943</v>
      </c>
      <c r="D105" s="8">
        <v>65.81</v>
      </c>
      <c r="E105">
        <f t="shared" si="1"/>
        <v>-5.8912386706948721E-3</v>
      </c>
      <c r="G105" s="8"/>
      <c r="H105" s="8"/>
      <c r="I105" s="8"/>
      <c r="J105" s="8"/>
      <c r="K105" s="8"/>
      <c r="L105" s="8"/>
    </row>
    <row r="106" spans="3:12" x14ac:dyDescent="0.2">
      <c r="C106" s="7">
        <v>45940</v>
      </c>
      <c r="D106" s="8">
        <v>66.2</v>
      </c>
      <c r="E106">
        <f t="shared" si="1"/>
        <v>-3.6950829211521562E-2</v>
      </c>
      <c r="G106" s="8"/>
      <c r="H106" s="8"/>
      <c r="I106" s="8"/>
      <c r="J106" s="8"/>
      <c r="K106" s="8"/>
      <c r="L106" s="8"/>
    </row>
    <row r="107" spans="3:12" x14ac:dyDescent="0.2">
      <c r="C107" s="7">
        <v>45939</v>
      </c>
      <c r="D107" s="8">
        <v>68.739999999999995</v>
      </c>
      <c r="E107">
        <f t="shared" si="1"/>
        <v>-1.8840993434199364E-2</v>
      </c>
      <c r="G107" s="8"/>
      <c r="H107" s="8"/>
      <c r="I107" s="8"/>
      <c r="J107" s="8"/>
      <c r="K107" s="8"/>
      <c r="L107" s="8"/>
    </row>
    <row r="108" spans="3:12" x14ac:dyDescent="0.2">
      <c r="C108" s="7">
        <v>45938</v>
      </c>
      <c r="D108" s="8">
        <v>70.06</v>
      </c>
      <c r="E108">
        <f t="shared" si="1"/>
        <v>1.3452914798206378E-2</v>
      </c>
      <c r="G108" s="8"/>
      <c r="H108" s="8"/>
      <c r="I108" s="8"/>
      <c r="J108" s="8"/>
      <c r="K108" s="8"/>
      <c r="L108" s="8"/>
    </row>
    <row r="109" spans="3:12" x14ac:dyDescent="0.2">
      <c r="C109" s="7">
        <v>45937</v>
      </c>
      <c r="D109" s="8">
        <v>69.13</v>
      </c>
      <c r="E109">
        <f t="shared" si="1"/>
        <v>-3.0298779632487175E-2</v>
      </c>
      <c r="G109" s="8"/>
      <c r="H109" s="8"/>
      <c r="I109" s="8"/>
      <c r="J109" s="8"/>
      <c r="K109" s="8"/>
      <c r="L109" s="8"/>
    </row>
    <row r="110" spans="3:12" x14ac:dyDescent="0.2">
      <c r="C110" s="7">
        <v>45936</v>
      </c>
      <c r="D110" s="8">
        <v>71.290000000000006</v>
      </c>
      <c r="E110">
        <f t="shared" si="1"/>
        <v>2.1200401088669302E-2</v>
      </c>
      <c r="G110" s="8"/>
      <c r="H110" s="8"/>
      <c r="I110" s="8"/>
      <c r="J110" s="8"/>
      <c r="K110" s="8"/>
      <c r="L110" s="8"/>
    </row>
    <row r="111" spans="3:12" x14ac:dyDescent="0.2">
      <c r="C111" s="7">
        <v>45933</v>
      </c>
      <c r="D111" s="8">
        <v>69.81</v>
      </c>
      <c r="E111">
        <f t="shared" si="1"/>
        <v>1.512287334593582E-2</v>
      </c>
      <c r="G111" s="8"/>
      <c r="H111" s="8"/>
      <c r="I111" s="8"/>
      <c r="J111" s="8"/>
      <c r="K111" s="8"/>
      <c r="L111" s="8"/>
    </row>
    <row r="112" spans="3:12" x14ac:dyDescent="0.2">
      <c r="C112" s="7">
        <v>45932</v>
      </c>
      <c r="D112" s="8">
        <v>68.77</v>
      </c>
      <c r="E112">
        <f t="shared" si="1"/>
        <v>3.0416541804015602E-2</v>
      </c>
      <c r="G112" s="8"/>
      <c r="H112" s="8"/>
      <c r="I112" s="8"/>
      <c r="J112" s="8"/>
      <c r="K112" s="8"/>
      <c r="L112" s="8"/>
    </row>
    <row r="113" spans="3:12" x14ac:dyDescent="0.2">
      <c r="C113" s="7">
        <v>45931</v>
      </c>
      <c r="D113" s="8">
        <v>66.739999999999995</v>
      </c>
      <c r="E113">
        <f t="shared" si="1"/>
        <v>2.6769230769230691E-2</v>
      </c>
      <c r="G113" s="8"/>
      <c r="H113" s="8"/>
      <c r="I113" s="8"/>
      <c r="J113" s="8"/>
      <c r="K113" s="8"/>
      <c r="L113" s="8"/>
    </row>
    <row r="114" spans="3:12" x14ac:dyDescent="0.2">
      <c r="C114" s="7">
        <v>45930</v>
      </c>
      <c r="D114" s="8">
        <v>65</v>
      </c>
      <c r="E114">
        <f t="shared" si="1"/>
        <v>4.6175157765124112E-4</v>
      </c>
      <c r="G114" s="8"/>
      <c r="H114" s="8"/>
      <c r="I114" s="8"/>
      <c r="J114" s="8"/>
      <c r="K114" s="8"/>
      <c r="L114" s="8"/>
    </row>
    <row r="115" spans="3:12" x14ac:dyDescent="0.2">
      <c r="C115" s="7">
        <v>45929</v>
      </c>
      <c r="D115" s="8">
        <v>64.97</v>
      </c>
      <c r="E115">
        <f t="shared" si="1"/>
        <v>4.8918308040038765E-2</v>
      </c>
      <c r="G115" s="8"/>
      <c r="H115" s="8"/>
      <c r="I115" s="8"/>
      <c r="J115" s="8"/>
      <c r="K115" s="8"/>
      <c r="L115" s="8"/>
    </row>
    <row r="116" spans="3:12" x14ac:dyDescent="0.2">
      <c r="C116" s="7">
        <v>45926</v>
      </c>
      <c r="D116" s="8">
        <v>61.94</v>
      </c>
      <c r="E116">
        <f t="shared" si="1"/>
        <v>-2.5764895330113316E-3</v>
      </c>
      <c r="G116" s="8"/>
      <c r="H116" s="8"/>
      <c r="I116" s="8"/>
      <c r="J116" s="8"/>
      <c r="K116" s="8"/>
      <c r="L116" s="8"/>
    </row>
    <row r="117" spans="3:12" x14ac:dyDescent="0.2">
      <c r="C117" s="7">
        <v>45925</v>
      </c>
      <c r="D117" s="8">
        <v>62.1</v>
      </c>
      <c r="E117">
        <f t="shared" si="1"/>
        <v>-3.6013660353927356E-2</v>
      </c>
      <c r="G117" s="8"/>
      <c r="H117" s="8"/>
      <c r="I117" s="8"/>
      <c r="J117" s="8"/>
      <c r="K117" s="8"/>
      <c r="L117" s="8"/>
    </row>
    <row r="118" spans="3:12" x14ac:dyDescent="0.2">
      <c r="C118" s="7">
        <v>45924</v>
      </c>
      <c r="D118" s="8">
        <v>64.42</v>
      </c>
      <c r="E118">
        <f t="shared" si="1"/>
        <v>1.5928087052515458E-2</v>
      </c>
      <c r="G118" s="8"/>
      <c r="H118" s="8"/>
      <c r="I118" s="8"/>
      <c r="J118" s="8"/>
      <c r="K118" s="8"/>
      <c r="L118" s="8"/>
    </row>
    <row r="119" spans="3:12" x14ac:dyDescent="0.2">
      <c r="C119" s="7">
        <v>45923</v>
      </c>
      <c r="D119" s="8">
        <v>63.41</v>
      </c>
      <c r="E119">
        <f t="shared" si="1"/>
        <v>-3.7706205813040376E-3</v>
      </c>
      <c r="G119" s="8"/>
      <c r="H119" s="8"/>
      <c r="I119" s="8"/>
      <c r="J119" s="8"/>
      <c r="K119" s="8"/>
      <c r="L119" s="8"/>
    </row>
    <row r="120" spans="3:12" x14ac:dyDescent="0.2">
      <c r="C120" s="7">
        <v>45922</v>
      </c>
      <c r="D120" s="8">
        <v>63.65</v>
      </c>
      <c r="E120">
        <f t="shared" si="1"/>
        <v>-2.631176380602732E-2</v>
      </c>
      <c r="G120" s="8"/>
      <c r="H120" s="8"/>
      <c r="I120" s="8"/>
      <c r="J120" s="8"/>
      <c r="K120" s="8"/>
      <c r="L120" s="8"/>
    </row>
    <row r="121" spans="3:12" x14ac:dyDescent="0.2">
      <c r="C121" s="7">
        <v>45919</v>
      </c>
      <c r="D121" s="8">
        <v>65.37</v>
      </c>
      <c r="E121">
        <f t="shared" si="1"/>
        <v>-2.0674157303370719E-2</v>
      </c>
      <c r="G121" s="8"/>
      <c r="H121" s="8"/>
      <c r="I121" s="8"/>
      <c r="J121" s="8"/>
      <c r="K121" s="8"/>
      <c r="L121" s="8"/>
    </row>
    <row r="122" spans="3:12" x14ac:dyDescent="0.2">
      <c r="C122" s="7">
        <v>45918</v>
      </c>
      <c r="D122" s="8">
        <v>66.75</v>
      </c>
      <c r="E122">
        <f t="shared" si="1"/>
        <v>1.6445865692096821E-2</v>
      </c>
      <c r="G122" s="8"/>
      <c r="H122" s="8"/>
      <c r="I122" s="8"/>
      <c r="J122" s="8"/>
      <c r="K122" s="8"/>
      <c r="L122" s="8"/>
    </row>
    <row r="123" spans="3:12" x14ac:dyDescent="0.2">
      <c r="C123" s="7">
        <v>45917</v>
      </c>
      <c r="D123" s="8">
        <v>65.67</v>
      </c>
      <c r="E123">
        <f t="shared" si="1"/>
        <v>-1.0546933855657718E-2</v>
      </c>
      <c r="G123" s="8"/>
      <c r="H123" s="8"/>
      <c r="I123" s="8"/>
      <c r="J123" s="8"/>
      <c r="K123" s="8"/>
      <c r="L123" s="8"/>
    </row>
    <row r="124" spans="3:12" x14ac:dyDescent="0.2">
      <c r="C124" s="7">
        <v>45916</v>
      </c>
      <c r="D124" s="8">
        <v>66.37</v>
      </c>
      <c r="E124">
        <f t="shared" si="1"/>
        <v>1.3282442748091672E-2</v>
      </c>
      <c r="G124" s="8"/>
      <c r="H124" s="8"/>
      <c r="I124" s="8"/>
      <c r="J124" s="8"/>
      <c r="K124" s="8"/>
      <c r="L124" s="8"/>
    </row>
    <row r="125" spans="3:12" x14ac:dyDescent="0.2">
      <c r="C125" s="7">
        <v>45915</v>
      </c>
      <c r="D125" s="8">
        <v>65.5</v>
      </c>
      <c r="E125">
        <f t="shared" si="1"/>
        <v>-1.3257005122024639E-2</v>
      </c>
      <c r="G125" s="8"/>
      <c r="H125" s="8"/>
      <c r="I125" s="8"/>
      <c r="J125" s="8"/>
      <c r="K125" s="8"/>
      <c r="L125" s="8"/>
    </row>
    <row r="126" spans="3:12" x14ac:dyDescent="0.2">
      <c r="C126" s="7">
        <v>45912</v>
      </c>
      <c r="D126" s="8">
        <v>66.38</v>
      </c>
      <c r="E126">
        <f t="shared" si="1"/>
        <v>2.075964939258795E-2</v>
      </c>
      <c r="G126" s="8"/>
      <c r="H126" s="8"/>
      <c r="I126" s="8"/>
      <c r="J126" s="8"/>
      <c r="K126" s="8"/>
      <c r="L126" s="8"/>
    </row>
    <row r="127" spans="3:12" x14ac:dyDescent="0.2">
      <c r="C127" s="7">
        <v>45911</v>
      </c>
      <c r="D127" s="8">
        <v>65.03</v>
      </c>
      <c r="E127">
        <f t="shared" si="1"/>
        <v>7.7483341081667437E-3</v>
      </c>
      <c r="G127" s="8"/>
      <c r="H127" s="8"/>
      <c r="I127" s="8"/>
      <c r="J127" s="8"/>
      <c r="K127" s="8"/>
      <c r="L127" s="8"/>
    </row>
    <row r="128" spans="3:12" x14ac:dyDescent="0.2">
      <c r="C128" s="7">
        <v>45910</v>
      </c>
      <c r="D128" s="8">
        <v>64.53</v>
      </c>
      <c r="E128" s="8"/>
      <c r="G128" s="8"/>
      <c r="H128" s="8"/>
      <c r="I128" s="8"/>
      <c r="J128" s="8"/>
      <c r="K128" s="8"/>
      <c r="L128" s="8"/>
    </row>
    <row r="129" spans="3:12" x14ac:dyDescent="0.2">
      <c r="E129" s="8"/>
      <c r="G129" s="8"/>
      <c r="H129" s="8"/>
      <c r="I129" s="8"/>
      <c r="J129" s="8"/>
      <c r="K129" s="8"/>
      <c r="L129" s="8"/>
    </row>
    <row r="130" spans="3:12" x14ac:dyDescent="0.2">
      <c r="E130" s="8"/>
      <c r="G130" s="8"/>
      <c r="H130" s="8"/>
      <c r="I130" s="8"/>
      <c r="J130" s="8"/>
      <c r="K130" s="8"/>
      <c r="L130" s="8"/>
    </row>
    <row r="131" spans="3:12" x14ac:dyDescent="0.2">
      <c r="C131" s="7"/>
      <c r="D131" s="8"/>
      <c r="E131" s="8"/>
      <c r="G131" s="8"/>
      <c r="H131" s="8"/>
      <c r="I131" s="8"/>
      <c r="J131" s="8"/>
      <c r="K131" s="8"/>
      <c r="L131" s="8"/>
    </row>
    <row r="132" spans="3:12" x14ac:dyDescent="0.2">
      <c r="C132" s="7"/>
      <c r="D132" s="8"/>
      <c r="E132" s="8"/>
    </row>
    <row r="133" spans="3:12" x14ac:dyDescent="0.2">
      <c r="C133" s="7"/>
      <c r="D133" s="8"/>
      <c r="E133" s="8"/>
    </row>
    <row r="134" spans="3:12" x14ac:dyDescent="0.2">
      <c r="C134" s="7"/>
      <c r="D134" s="8"/>
      <c r="E134" s="8"/>
    </row>
    <row r="135" spans="3:12" x14ac:dyDescent="0.2">
      <c r="C135" s="7"/>
      <c r="D135" s="8"/>
      <c r="E135" s="8"/>
    </row>
    <row r="136" spans="3:12" x14ac:dyDescent="0.2">
      <c r="C136" s="7"/>
      <c r="D136" s="8"/>
      <c r="E136" s="8"/>
    </row>
    <row r="137" spans="3:12" x14ac:dyDescent="0.2">
      <c r="C137" s="7"/>
      <c r="D137" s="8"/>
      <c r="E137" s="8"/>
    </row>
    <row r="138" spans="3:12" x14ac:dyDescent="0.2">
      <c r="C138" s="7"/>
      <c r="D138" s="8"/>
      <c r="E138" s="8"/>
    </row>
    <row r="139" spans="3:12" x14ac:dyDescent="0.2">
      <c r="C139" s="7"/>
      <c r="D139" s="8"/>
      <c r="E139" s="8"/>
    </row>
    <row r="140" spans="3:12" x14ac:dyDescent="0.2">
      <c r="C140" s="7"/>
      <c r="D140" s="8"/>
      <c r="E140" s="8"/>
    </row>
    <row r="141" spans="3:12" x14ac:dyDescent="0.2">
      <c r="C141" s="7"/>
      <c r="D141" s="8"/>
      <c r="E141" s="8"/>
    </row>
    <row r="142" spans="3:12" x14ac:dyDescent="0.2">
      <c r="C142" s="7"/>
      <c r="D142" s="8"/>
      <c r="E142" s="8"/>
    </row>
    <row r="143" spans="3:12" x14ac:dyDescent="0.2">
      <c r="C143" s="7"/>
      <c r="D143" s="8"/>
      <c r="E143" s="8"/>
    </row>
    <row r="144" spans="3:12" x14ac:dyDescent="0.2">
      <c r="C144" s="7"/>
      <c r="D144" s="8"/>
      <c r="E144" s="8"/>
    </row>
    <row r="145" spans="3:5" x14ac:dyDescent="0.2">
      <c r="C145" s="7"/>
      <c r="D145" s="8"/>
      <c r="E145" s="8"/>
    </row>
    <row r="146" spans="3:5" x14ac:dyDescent="0.2">
      <c r="C146" s="7"/>
      <c r="D146" s="8"/>
      <c r="E146" s="8"/>
    </row>
    <row r="147" spans="3:5" x14ac:dyDescent="0.2">
      <c r="C147" s="7"/>
      <c r="D147" s="8"/>
      <c r="E147" s="8"/>
    </row>
    <row r="148" spans="3:5" x14ac:dyDescent="0.2">
      <c r="C148" s="7"/>
      <c r="D148" s="8"/>
      <c r="E148" s="8"/>
    </row>
    <row r="149" spans="3:5" x14ac:dyDescent="0.2">
      <c r="C149" s="7"/>
      <c r="D149" s="8"/>
      <c r="E149" s="8"/>
    </row>
    <row r="150" spans="3:5" x14ac:dyDescent="0.2">
      <c r="C150" s="7"/>
      <c r="D150" s="8"/>
      <c r="E150" s="8"/>
    </row>
    <row r="151" spans="3:5" x14ac:dyDescent="0.2">
      <c r="C151" s="7"/>
      <c r="D151" s="8"/>
      <c r="E151" s="8"/>
    </row>
    <row r="152" spans="3:5" x14ac:dyDescent="0.2">
      <c r="C152" s="7"/>
      <c r="D152" s="8"/>
      <c r="E152" s="8"/>
    </row>
  </sheetData>
  <sortState xmlns:xlrd2="http://schemas.microsoft.com/office/spreadsheetml/2017/richdata2" ref="C61:D109">
    <sortCondition descending="1" ref="C61:C109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3 months</vt:lpstr>
      <vt:lpstr>6 months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Edoardo Pandolfo - edoardo.pandolfo@studio.unibo.it</dc:creator>
  <cp:lastModifiedBy>Edoardo Pandolfo</cp:lastModifiedBy>
  <dcterms:created xsi:type="dcterms:W3CDTF">2026-03-10T13:43:08Z</dcterms:created>
  <dcterms:modified xsi:type="dcterms:W3CDTF">2026-03-19T21:23:34Z</dcterms:modified>
</cp:coreProperties>
</file>